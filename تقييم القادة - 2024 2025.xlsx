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تقييم القادة مايو 2025 - معتمد" sheetId="1" r:id="rId5"/>
    <sheet state="hidden" name="تحليل تقييم 2025 - مايو" sheetId="2" r:id="rId6"/>
    <sheet state="hidden" name="2024 مقارنة ب 2025" sheetId="3" r:id="rId7"/>
    <sheet state="hidden" name="ملخص 2025" sheetId="4" r:id="rId8"/>
    <sheet state="hidden" name="الملخص 2024" sheetId="5" r:id="rId9"/>
    <sheet state="hidden" name="بعد تعديل المجاملين - أغسطس 202" sheetId="6" r:id="rId10"/>
    <sheet state="hidden" name="الأصلي - أغسطس 2024" sheetId="7" r:id="rId11"/>
    <sheet state="hidden" name="الملخص2 (باستثناء المجاملين)" sheetId="8" r:id="rId12"/>
    <sheet state="hidden" name="التقييم الدوري2 - المدراء" sheetId="9" r:id="rId13"/>
    <sheet state="hidden" name="تم استبعادهم - أبريل 2025 (مجام" sheetId="10" r:id="rId14"/>
    <sheet state="visible" name="تقويم قيادة ثمانية - ديسمبر 202" sheetId="11" r:id="rId15"/>
    <sheet state="visible" name="مقارنة 2024 - 26" sheetId="12" r:id="rId16"/>
  </sheets>
  <definedNames>
    <definedName hidden="1" localSheetId="0" name="_xlnm._FilterDatabase">'تقييم القادة مايو 2025 - معتمد'!$B$1:$AF$82</definedName>
    <definedName hidden="1" localSheetId="4" name="_xlnm._FilterDatabase">'الملخص 2024'!$E$7:$H$32</definedName>
    <definedName hidden="1" localSheetId="5" name="_xlnm._FilterDatabase">'بعد تعديل المجاملين - أغسطس 202'!$D$1:$AF$98</definedName>
    <definedName hidden="1" localSheetId="6" name="_xlnm._FilterDatabase">'الأصلي - أغسطس 2024'!$D$1:$AF$97</definedName>
    <definedName hidden="1" localSheetId="7" name="_xlnm._FilterDatabase">'الملخص2 (باستثناء المجاملين)'!$E$5:$G$29</definedName>
    <definedName hidden="1" localSheetId="9" name="_xlnm._FilterDatabase">'تم استبعادهم - أبريل 2025 (مجام'!$B$1:$AF$6</definedName>
    <definedName hidden="1" localSheetId="10" name="_xlnm._FilterDatabase">'تقويم قيادة ثمانية - ديسمبر 202'!$A$1:$AG$197</definedName>
    <definedName hidden="1" localSheetId="11" name="_xlnm._FilterDatabase">'مقارنة 2024 - 26'!$M$11:$Q$46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tc={3bca7f1e-7f5b-493d-be6b-8653602dfadd}</author>
  </authors>
  <commentList>
    <comment authorId="0" xr:uid="{3bca7f1e-7f5b-493d-be6b-8653602dfadd}" ref="B31">
      <text>
        <t xml:space="preserve">[Threaded comment]
 Your version of Excel allows you to read this threaded comment; however, any edits to it will get removed if the file is opened in a newer version of Excel. Learn more: https://go.microsoft.com/fwlink/?linkid=870924
Comment:
	اشوف نحذفه، كلهم ثنين.
</t>
      </text>
    </comment>
  </commentList>
</comments>
</file>

<file path=xl/sharedStrings.xml><?xml version="1.0" encoding="utf-8"?>
<sst xmlns="http://schemas.openxmlformats.org/spreadsheetml/2006/main" count="7430" uniqueCount="3199">
  <si>
    <t>Submission ID</t>
  </si>
  <si>
    <t>Respondent ID</t>
  </si>
  <si>
    <t>Submitted at</t>
  </si>
  <si>
    <t>أنا</t>
  </si>
  <si>
    <t>أود تقييم</t>
  </si>
  <si>
    <t>مُديري فعّال في توصيل المعلومة والأفكار وإيضاح المهام.</t>
  </si>
  <si>
    <t>مُديري يحدد الأولويات، ويعيد ترتيب موارد الفريق بانتظام.</t>
  </si>
  <si>
    <t>مُديري يتخذ قرارات صائبة تصب في مصلحة العمل والفريق.</t>
  </si>
  <si>
    <t>مُديري يبني ويضع أهداف طموحة وواقعية للقسم والفريق.</t>
  </si>
  <si>
    <t>هل لديك مرئيات لتطور مديرك حول «الوضوح والأولويات»؟</t>
  </si>
  <si>
    <t>مُديري يُمكّن ويحفّز استقلاليتي، وأشعر بثقته العالية بالفريق.</t>
  </si>
  <si>
    <t>مُديري يحسن في تفويض المهام ومشاركتنا المسؤوليات.</t>
  </si>
  <si>
    <t>مُديري يقدم يد العون والمشورة في العمل متى ما طلبت منه.</t>
  </si>
  <si>
    <t>مُديري لديه وعي ذاتي وذكاء عاطفي ويتفهم مشاعر الفريق.</t>
  </si>
  <si>
    <t>هل لديك مرئيات لتطور مديرك حول «طريقة العمل»؟</t>
  </si>
  <si>
    <t>مُديري يؤثر في معنويات الفريق ويحفزني باستمرار.</t>
  </si>
  <si>
    <t>مُديري يشجع ويسهل التعاون داخل الفريق.</t>
  </si>
  <si>
    <t>مُديري يعمل على تعزيز بيئة مشجعة وإيجابية تحت قيادته.</t>
  </si>
  <si>
    <t>مُديري يُشرك الفريق ويشاورهم عند اتخاذ القرارات.</t>
  </si>
  <si>
    <t>هل لديك مرئيات لتطور مديرك حول «قيادة الفريق»؟</t>
  </si>
  <si>
    <t>مُديري يستثمر وقتاً وجهدًا لتطويري مهنيًا وعمليًا.</t>
  </si>
  <si>
    <t>مُديري يشاركني مرئيات بناءة تساعدني على التطور.</t>
  </si>
  <si>
    <t>مُديري يساهم في رفع الأداء والإنتاجية لدى الفريق.</t>
  </si>
  <si>
    <t>مُديري يشجع ويدعم التفكير الإبداعي والأفكار المختلفة.</t>
  </si>
  <si>
    <t>هل لديك مرئيات لتطور مديرك حول «الدعم والتطوير»؟</t>
  </si>
  <si>
    <t>أي شيء آخر تودّ مشاركته مع مديرك؟</t>
  </si>
  <si>
    <t>أي شيء آخر تودّ مشاركته مع الموارد البشرية فقط فيما يخص مديرك؟</t>
  </si>
  <si>
    <t>Untitled checkboxes field</t>
  </si>
  <si>
    <t>Untitled checkboxes field (بمجرد الإرسال، سيتم اعتماد تقييمك حول مديرك. هل أنت متأكد؟)</t>
  </si>
  <si>
    <t>متوسط التقييم</t>
  </si>
  <si>
    <t>Np55v5B</t>
  </si>
  <si>
    <t>oaBlRM</t>
  </si>
  <si>
    <t>وديان</t>
  </si>
  <si>
    <t>أسيل باعبدالله</t>
  </si>
  <si>
    <t xml:space="preserve">الوضع الحالي يحتاج تدخلك كل شوي، وكأننا موظفين عاديين وليسوا مدراء. 
ساعدينا في اتخاذ القرارات الصحيحة حتى ننطلق بمفردنا، ونتعلم طريقة تفكيرك. </t>
  </si>
  <si>
    <t>لا يوجد خطة أو آلية عمل واضحة..</t>
  </si>
  <si>
    <t>أحيانًا ما نعرف كيف تُتخذ القرارات والتغييرات الداخلية.. وعندما تتم، ما يوصلنا الخبر في الوقت ذاته.</t>
  </si>
  <si>
    <t>مع أننا ما نجلس إلا نادرًا، لكن يعجبني أسلوبك في مشاركة المرئيات، وأفكارك، وأتحمس جدًا بعد كل جلسة معك. كثري منها.</t>
  </si>
  <si>
    <t>لا يوجد</t>
  </si>
  <si>
    <t>بمجرد الإرسال، سيتم اعتماد تقييمك حول مديرك. هل أنت متأكد؟</t>
  </si>
  <si>
    <t>81ooYJk</t>
  </si>
  <si>
    <t>v0oJyX</t>
  </si>
  <si>
    <t>أنس الأهدل</t>
  </si>
  <si>
    <t>دايمًا ألاحظك تركزي عالطوارئ والهام والعاجل، وتسحبي عالهام وغير العاجل. مثلًا، واضح أن التواصل كان يحتاج بناء فريق، كتّاب تحديدًا. بينما معظم تركيزك كان عالعمليات اليومية وحملات الإطلاق وإطفاء الحرائق.</t>
  </si>
  <si>
    <t>أحب الشغل معك، وعادة ننجز، لكن اللي يضاقني أنه إنجاز بعفوية وعشوائية. بدون آلية عمل مستدامة لا تعتمد على تدخل أسيل وتواجدها الدائم. كثير أحيان أحس أننا في 2018.</t>
  </si>
  <si>
    <t xml:space="preserve">فيه ثغرة في التواصل الداخلي واتخاذ القرارات داخل الفريق. أؤمن أن كل قرار تتخذيه لسبب. نتمنى فقط مشاركتنا أو مشورتنا قبل اتخاذ القرارات الكبيرة، خاصة بما يؤثر فريقنا. </t>
  </si>
  <si>
    <t>تعجبني صراحتك وكرمك في المرئيات. ما تخبي شيء إيجابي أو سلبي.</t>
  </si>
  <si>
    <t>jaDD456</t>
  </si>
  <si>
    <t>70KZy2</t>
  </si>
  <si>
    <t>مشاري الحمود</t>
  </si>
  <si>
    <t>أسيل لديها قدرة في اقتراح ترتيب جديد للفريق بين المشاريع، دائمًا أرجع ولا أستغني عن رأيك. 
أظن أننا جميعًا تطورنا خلال الفترة الماضية في التواصل وشرح التحديثات، وأقدر هذا جدًا. 
بخصوص أهداف الفريق أحيانًا جميعنا يجرفنا الحماس للمشاريع الجديدة الرائعة وننسى مواردنا وقدرات الفريق وعامل الوقت، أنا متهم بهذه أيضًا.</t>
  </si>
  <si>
    <t>الفترة الماضية من أفضل فتراتنا في العمل من ناحية التفويض والثقة، وأقدر هذا جدًا. 
أحيانًا نغرق في وسط المهام ولا نجد الوقت الكافي للاستشارة، ولكن الأمور جيدة بشكل عام. 
كثير من نقاشاتنا بخصوص الفريق تتعلق بالموظفين الذي يمرون فترات سيئة، أحاول دائمًا تقديم الرحمة على القسوة، ومحاولة التطوير والخروج من الفترة السيئة، وفي الفترة الأخيرة للأمانة أرى تعاون عالي منك، وأشكرك على ذلك.</t>
  </si>
  <si>
    <t>لا أحد يستشير فريقه عن القرارات الكبيرة أكثر منك أسيل، وأشكرك على هذا. 
الفريق «الموظفين الذين لا تتقاطعين معهم» ينظر لك بإكبار ويحب العمل معك، ولكن طبيعي مع انشغالاتك تقل التداخلات، ولكن حضورك معهم يسعدهم.</t>
  </si>
  <si>
    <t xml:space="preserve">أتمنى لو أسمع منك مرئيات أكثر، في حال وجودها.
أنتِ من أفضل من يعطي مرئيات، وتتعاطفي معنا، لكن هذا لو جلسنا. ونادرًا ما نجلس. 
استثمري أكثر في الجلوس مع الفريق ومشاركة المرئيات.. ليس مجرد متابعة مهام. </t>
  </si>
  <si>
    <t>مدري وشلون أقولها، ولكن خلينا نروح لمنطقة أبعد، أدري الموضوع عن رئيس الشركة هههه بس خلونا نكبر خلاص ختمنا مرحلة الشركة الصغيرة.</t>
  </si>
  <si>
    <t>QK22Zvk</t>
  </si>
  <si>
    <t>ReoEjp</t>
  </si>
  <si>
    <t>ميسم</t>
  </si>
  <si>
    <t>كل شيء فُل ويحمّس!
 لكن أولويات المشاريع ما تُبنى بشكل فعّال، كثير من الأحيان تكون بشكل مفاجئ بحسب رغبة لحظية، زي «خلونا نلحق نسويه قبل رمضان، وباقي على رمضان أسبوع» هههه احنا فريق رهيب نقدر نتشكّل بسرعة وننفذ، لكن هذا مب صحي إذا نبغى برامجنا الرهيبة تكبر وتكثر، وأخذت وقتها الكافي في بناء المحتوى. 
 ماذا لو قدرنا نلتزم بخطة الربع ونقفلها بالشمع الأحمر على قولتك. وأي شيء جديد ننقله مباشرة للربع الجاي؟ 
 بيساعد في ضبط التوقعات عند فريق المالية، والإنتاج، والأعمال، والنشر.</t>
  </si>
  <si>
    <t>الله يسدد خطاها ويعينها.
 ودي لو تنفتح أسيل على الثقة بباقي الفريق وتصير تفوّض مهام أكثر، أحيان مو صح يشعر الفريق ان فيه ناس مُفضلّين عن غيرهم. + المُفضلين يشيلون أكثر من ما ينبغي لأن أسيل ما تثق إلا فيهم بالتالي حتى مافيه فايدة من التوظيف إذا كنت بسوي كل شيء في النهاية. هههه</t>
  </si>
  <si>
    <t>في كثير من الأحيان يشعر الفريق تحت التهديد للتنفيذ، أو انهم ما راح يحصلوا على رضى وكلمة حلوة من الادارة إلا لو عملوا 24 ساعة بدون اجازة نهاية أسبوع، أو حتى اجازات سنوية، وهذا يعزز القلق وغير صحي.
 ما أعرف وش التصرف الصحيح بالضبط لكن أعتقد لو أشعرنا الفريق بان القيادة في صفكم دائمًا، راح نقدر نحافظ على نفسيات حلوة تعمل بحُب، وتاخذ أيام الراحة والاجازات بدون خوف من فكرة انها «خذلت الادارة».
 + إنتاجاتنا أكثر من الفريق القائم عليها، أعتقد مفترض نستوعب هالشيء قبل ما نقول ان فيه أحد مقصّر.</t>
  </si>
  <si>
    <t>احنا في عجلة نركض طوال السنة، يصعب أحيان كثيرة وجود أيام بصفاء ذهني يساعد على حضور برنامج يطوّر من مهاراتي.
 + المرئيات أكثرها عن انجاز الإنتاجات من عدمها، ودي لو مره نجلس ويكون فيه مرئيات واضحة على مهاراتي في العمل، تخليني أنتبه للسلبيات وأتعلّم منك وش ممكن يطوّرها.</t>
  </si>
  <si>
    <t>44XXZ8d</t>
  </si>
  <si>
    <t>PerexQ</t>
  </si>
  <si>
    <t>سيف</t>
  </si>
  <si>
    <t>لا</t>
  </si>
  <si>
    <t>نحبك، ونعلم دائما أنك أفضل مدير ممكن يتمودر علينا، صالح مصطلح يتمودر؟ والله ماهو صالح</t>
  </si>
  <si>
    <t>1APvyOW</t>
  </si>
  <si>
    <t>Qar8O8</t>
  </si>
  <si>
    <t xml:space="preserve">نوره الرشيد </t>
  </si>
  <si>
    <t xml:space="preserve">لا يوجد </t>
  </si>
  <si>
    <t>ما يجي ببالي شيء معين، إلا شكرًا لدعمك المستمر.</t>
  </si>
  <si>
    <t>ما يجي ببالي إلا أني أظنه من أفضل المدراء في ثمانية، بس أحيانًا تحسه بعيد عن الفريق لكن ما نقصّر وننشب له. 👍</t>
  </si>
  <si>
    <t>yPZqa7p</t>
  </si>
  <si>
    <t>WX1Xbv</t>
  </si>
  <si>
    <t>مديري يجيد ترتيب أولويات المهام والوقت من يوم يومه، فما ألاحظ تحسن لأنو ما عندي تعقيب على هاذ الشي من قبل</t>
  </si>
  <si>
    <t>لالا</t>
  </si>
  <si>
    <t>...</t>
  </si>
  <si>
    <t>دائما يحاول أنس أنو يقدملك منصات تساعدك في شغلك، مرئيات، كورسات... إلخ</t>
  </si>
  <si>
    <t>لا والله...</t>
  </si>
  <si>
    <t>لو يبقى أنس مديري، توقعوا مني راح صير مكان أبو مالح يوما ما</t>
  </si>
  <si>
    <t>44XOZQA</t>
  </si>
  <si>
    <t>GVxbDz</t>
  </si>
  <si>
    <t xml:space="preserve">نورة السبيعي </t>
  </si>
  <si>
    <t>تكّة وضوح بس وتصير الدنيا وردية.</t>
  </si>
  <si>
    <t>لا، ممتازة.</t>
  </si>
  <si>
    <t>لا.</t>
  </si>
  <si>
    <t>بس لو يشاركنا مرئيات أكثر حول عملنا، ويساعدنا على التطوير المستمر.</t>
  </si>
  <si>
    <t>ما عندي ملاحظات، رائع أنس في الدعم وفتح المساحة، ودائم لما أحتاج شيء وأرجع له ما يقصر أبدًا فحتى لو عندي ملاحظات سهل جدًا أقولها له في وقتها فالتواصل معه سهل. لكن ودّي بمرئيات أكثر حول العمل والتطوير المستمر.</t>
  </si>
  <si>
    <t>aQNyjMW</t>
  </si>
  <si>
    <t>rbd0eo</t>
  </si>
  <si>
    <t>شهد باعبدالله</t>
  </si>
  <si>
    <t xml:space="preserve">الأولويات وإيضاح المهام تصل دائمًا بعد الطلب، بالنسبة لي. كثير مرات أتمنى لو تذكر هذه الأمور من طرفك، وهو مو من إهمال قد ما أنك تعرف وتعّي بأني متابعة وأعرف المطلوب مني، مثلًا. ولكن الكلام مجانًا، والبخل في الوضوح والحديث ليس من سمات الناس الكويسة. (مع كل الحب —  والتفهم جدًا) </t>
  </si>
  <si>
    <t>خيرٌ من ألف مدير. 
لو توظفت خمس مرات، بطلبهم بكل مرة يخلونه مديري. 😁
كل النقاط اللي ذكرت فوق، أنس أفضل من يقدّمها لفريقه. وأعتقد بأن الذكي كفايه بيستغلها وبينطلق. هذا و الله أعلم. فأنا ممتنة أشدّ الامتنان على كل هذا.</t>
  </si>
  <si>
    <t xml:space="preserve">ما عليه كلام. </t>
  </si>
  <si>
    <t>ما عليه كلام، من جد.</t>
  </si>
  <si>
    <t xml:space="preserve">ما قد شفت منك إلّا كل ما هو خير. 
وفي كل مرة، أتأكد بأن كل الأزمات العالمية حول المدير، هي كذبة وأنس أبطلها واحدة واحدة. 
وأي تعليق أو تقييم حول الأداء أو كل الأسئلة اللي ذكرت فوق هي مرئيات عابرة، ولا تأثر على سيّر العمل، وأمور قابل للنقاش عنها دومًا ومشاركتها معك.. وتتقبّلها وتتعدل، عادي. فأنا متأكدة بأن كل نموذج مميز في الفريق وصار غير قابل للتخلي عنه لاحقًا في الشركة لأن عليه لمسات قيادتك. —&gt; نوادر ثمانية. 
وصلنا السنة الثالثة، وأعي جيّدًا بكل مرة بأن المرحلة اللي بعدها بندخل خط يحمسني للعمل فيه معك أكثر، ولا أتمنى بأن يتوقف هذا الشغف. 
—
ومع الجزئية الرابعة في المرئيات. صار لازم أذكر حقيقة بأن أعتقد بأن الأمور الوظيفية الشخصية فعلًا مفقودة وغائبة عن الظهور. ولا أشوف بأن فيه تعزيز لأي قيادة داخلية في الفريق رغم أنها بسيطة وتقدر تُبنى خصوصًا مع زيادة الأعداد، وبتزيد أكثر.
حتى الترقية، وتغيير المسمى الوظيفي - كما هو مستحق - ما حصل. وأرى من غير العدل بأن أتساوّى مستوى مع أشخاص توهم توظفوا، ومطلوب مني أشرف عليهم خلال مدة عملهم.
أعي بأن صلاحياتي بالعمل تزيد، وهذا كرمًا منك، ولكن المسار المهني مضروب وباقي كما هو وما اختلف شيء. المسمى مفقود، القيادة مفقودة، الترقية مفقودة، المستحق طالبت فيه وأخذته بشقّ الأنفاس وهو مجرد تصحيح للصمت اللي حصل وما تم تداركه.
 وأنا أرى بأن كل هذا له قيمة عالية جدًا، والكلام عنه مزعج لأن مفترض يكون تلقائي. </t>
  </si>
  <si>
    <t xml:space="preserve">لا تخلونه يروح مكان مهما يكن. لمصلحة الشركة صدقوني. </t>
  </si>
  <si>
    <t>RGKeZNJ</t>
  </si>
  <si>
    <t>vVODdd</t>
  </si>
  <si>
    <t>عمر خطاب</t>
  </si>
  <si>
    <t xml:space="preserve">أشوف الأمور جيدة جدًا في هذه الناحية، يعطيك ألف عافية.
 أحيانًا بعض المهام الجديدة بطبيعتها قد تحتاج توضيح أكثر في البداية. ونعاني في الأولويات وأوقات تسليم المهام أحيانًا عشان نأخذ مهام من فرق أخرى جديدة ومستعجلة، أحيانًا كثيرة بشكل يومي. </t>
  </si>
  <si>
    <t xml:space="preserve">هذه من أحلى الحاجات في ثقافة الشركة وفريقنا. أثمّن الثقة والاستقلالية بشكل دائم، وما عندي أي ملاحظات. </t>
  </si>
  <si>
    <t>بالمجمل الأمور طيبة هنا.
ربما بكون ممتاز لو أقدر أسمع بين فترة وثانية رأيك\انطباعات\أفكار\اقتراحات عن المهام التي نعمل عليها، حاجات نفكّر فيها أكثر للمستقبل القريب.. إلخ</t>
  </si>
  <si>
    <t>ما عندي ملاحظات مفصّلة هنا، لكن لو في البال أي مساحات معينة تشوف نحتاج نستثمر فيها وقت أكثر من ناحية البحث أو التعلم، أو حاجات رح نتعلمها في المستقبل بكون رائع</t>
  </si>
  <si>
    <t xml:space="preserve">يعطيك ألف عافية أنس. متحمس للفترات القادمة، والأمور طيّبة. 
لخّصت أبرز الحاجات اللي ببالي في النقاط أعلاه. زبدتها:
- بعض المهام الجديدة ممكن بحتاج فيها توضيح أكثر.
- أحيانا نعاني من مهام مستعجلة ومفاجئة من فرق أخرى وتأخر المهام المرتبطة بفريقنا.. وأحيانًا بشكل كبير. جاءت فترة  جيدة هذا الربع يكون عندي مهمة جديدة ومستعجلة يوميًا تقريبًا، وهذا شوي يكون مرهق في ترتيب أولويات مهامي
- أحب أعرف بين فترة وثانية لو في بالبال أي ملاحظات أو اقتراحات أو أفكار عن مخرجات المهام وكذا.
شكرًا جزيلًا يا أنس مرة أخرى، ويعطيك العافية يا رب. </t>
  </si>
  <si>
    <t>VLEWK7j</t>
  </si>
  <si>
    <t>LE8QVG</t>
  </si>
  <si>
    <t>فيصل</t>
  </si>
  <si>
    <t>عبدالرحمن أبومالح</t>
  </si>
  <si>
    <t>-</t>
  </si>
  <si>
    <t>WO9a4NL</t>
  </si>
  <si>
    <t>5lJ7oM</t>
  </si>
  <si>
    <t>معاذ الحربي</t>
  </si>
  <si>
    <t>العمل معك بالغالب مريح وواضح.
 الشي الوحيد اللي أشوف ممكن يضيف فرق، هو لو تشاركنا أكثر بالصورة الكبيرة والخطط طويلة المدى، عشان نحس إننا ماشين سوا على نفس الطريق ونكون جزء من الرؤية بشكل أكبر.</t>
  </si>
  <si>
    <t>متواجد وقت ما نحتاجك دائمًا، وما تقصّر أبدًا في الدعم والمشورة.
 وبرغم إن عندك وعي وذكاء عاطفي ممتازين، أحيانًا أحس إنك تكون مندفع وما تاخذ برأي أحد غيرك. لو صار فيه تواصل أعمق بهالجانب، أتوقع راح ينعكس بشكل كبير وإيجابي على الفريق.</t>
  </si>
  <si>
    <t>أقدّر حرصك على خلق بيئة إيجابية ومشجعة داخل الفريق، ودائمًا تبذل جهد في تعزيز التعاون بيننا. لكن أحس إن فيه مساحة لتأثير أكبر على معنويات الفريق، خصوصًا في أوقات الضغط أو التحديات.
 وبالنسبة لموضوع المشاركة في اتخاذ القرار، أحيانًا أحس إنك تمشي بسرعة قبل ما تستشير الفريق بشكل كافٍ، وأشوف إن وجود مساحة أوسع للنقاش ممكن يطلع بقرارات أقوى، ويزيد شعور الفريق بالشراكة والمسؤولية.</t>
  </si>
  <si>
    <t>مشاركتك المرئيات ممتاز ودايم تفتح مساحة للنقاش، وهذا ساعدني كثير إني أتطوّر وأشتغل بثقة أفضل.
 بس أحيانًا أحس إن سرعة العمل تخليك ما تركز على تطوير كل فرد بنفس المستوى أو ما تتابع معنا بشكل شخصي كفاية. يمكن لو كان فيه وقت مخصص للتوجيه الفردي بيكون له أثر كبير على تطوّر الفريق ككل، خصوصًا في فترات الركود أو التكرار.</t>
  </si>
  <si>
    <t>0QrRrrj</t>
  </si>
  <si>
    <t>OjbpoR</t>
  </si>
  <si>
    <t>البراء</t>
  </si>
  <si>
    <t>الأمور تمام والتواصل معك دائمًا واضح، أرجوا فقط أن يكون هناك موائمة دائمة بالأولويات.</t>
  </si>
  <si>
    <t>لا توجد ملاحظات، طريقة العمل بيننا رائعة وأشعر أن لدي كل الثقة والاستقلالية.</t>
  </si>
  <si>
    <t>لا نطالب أبدًا بالتسليك والتلميع في غير محله، لكن التشجيع والثناء عندما تضبط الأمور لها وقع كبير على الفريق، وخصوصًا القادة. والعكس صحيح، فالنقد أمام الملأ فيه من تظبيط المعنويات ما ينقلب ضد نفعية النقد.</t>
  </si>
  <si>
    <t>سبق وشاركتني عدة مرئيات مفيدة وفي محلها! لكن قطعًا هناك مساحة لإحراز نجاحات أكبر في دعم وتطوير الرؤساء والقادة مهنيًا وعمليًا. سأشارك بعض الأفكار والقرارات المقترحة معك في اجتماعنا القادم.</t>
  </si>
  <si>
    <t>pbxpxrq</t>
  </si>
  <si>
    <t>ajV76E</t>
  </si>
  <si>
    <t>أسيل</t>
  </si>
  <si>
    <t>مبدئيًا أنا أعترض على التقييم المستمر للمدراء، قبل أقل من سنة سوّينا نفس التقييم، ليش نتخيّل أنّه يحتاج يرجع يسمع كل شيء من جديد؟ ما أفهم. عمومًا، أزمة الأولويات هي أزمة عامّة ومتوقعة لأي شركة ناشئة، أو لأي شركة مسرعة. فما عادت لخبطة الأولويات تؤثّر فيني، ممكن تؤثر في الفريق التقني أكثر. في الإنتاج صارت أقل حدّة، بس ممكن المشكلة أننا نحدد الأولويات، ونتوقع أنّها تنتهي في أسبوعين، بالرغم من أنّها عملية تحتاج أشهر أو أسابيع حتّى تبان نتائجها. غير أن كل شيء أولوية، يجعل من كل شيء متعطّل. ما أظن أني أتوقع من عبدالرحمن شيء، إلا الصبر والثقة في أن الأولويات ستجد طريقها لتكون واقعًا، وأن تفعيل مود الطوارئ والغضب باستمرار، يجعل كل شيء يخلّص عشان نهدئ المدير، أكثر من أنّه الصح الذي يجب أن يكون.</t>
  </si>
  <si>
    <t>آخر سؤال فخ، لو ما حطّوه أحسن.</t>
  </si>
  <si>
    <t>أشعر أن فريق الإنتاج الأقل حظًّا في تشجيع عبدالرحمن، يمكن لأنه أقدم الفرق، أو الأكثر حظًّا بالتقدير من الجمهور. بس، أظن وجود تعليقات داعمّة يمنةَ ويسرة لفريق الإنتاج أمام الآخرين، بتكون لفتة لطيفة.
 أحب مناوشاته مع فريق المحتوى باستمرار، بس أحيانًا أشعر أنّهم يخافون منها ههههه أفهم أنّهم مفترض ما يخافون، لكن ممكن لو نشارك المدح، بحيث يصير الانتقاد أخف وطأة.</t>
  </si>
  <si>
    <t>قلتها سابقًا، صعبة عبدالرحمن يفكّر في الدعم والتطوير، لأننا كبار وكذا. لكن، ممكن تكون في فتح الفرص والآفاق للتنفيذيين.
 وجودي في اجتماعات مهمّة وحساسة في مستقبل الشركة، أكيد أنّه جزء من تطويري، وسبق وناقشتها مع الريّس.
 خلق طرق تفكير جديدة، أو اقتراح برامج محتوى جديدة ... إلخ كلها أشياء داعمة، ويسوّيها عبدالرحمن باستمرار، ما يقصّر.</t>
  </si>
  <si>
    <t>xXx5MN9</t>
  </si>
  <si>
    <t>XvEqpj</t>
  </si>
  <si>
    <t>علي بوصالح</t>
  </si>
  <si>
    <t>- مديري كان لديه مشكلة في الوضوح، لكن في الفترة الأخيرة تحسّن.
- الأولويات تتغير كثير وأشوفها مشكلة.</t>
  </si>
  <si>
    <t>- مُمكّن رائع. ما أذكر يوم من الأيام حسّيت إنّي عندي عوائق في اتخاذ القرارات.
- في تحدّي لمن يبدأ يتدخّل في التفاصيل الصغيرة، لأنه أحيانًا هو ما هو داخل كفاية معانا في عملية التطوير. فالمفترض إذا قلنا رأي مُخالف له علاقة بآلية العمل يسمع لنا.
- أحيانًا يزعل من الفريق ويبدأ يتصرّف بشكل قد ينفر الموظفين.</t>
  </si>
  <si>
    <t>- ما يتدخّل كثير بيني وبين أعضاء الفريق الآخرين، وأشوفه شيء جيّد لأن كلّنا خبرتنا كبيرة فالمفترض نتعامل مع بعضنا البعض ونخلص المواضيع.
- الموضوع فيه أريحية كبيرة في التعامل.</t>
  </si>
  <si>
    <t>- أكثر المرئيات تكون على المهارات الإدارية وأتوقع هنا دوره الأكبر يكون.</t>
  </si>
  <si>
    <t>أبد، عساك على القوّة.</t>
  </si>
  <si>
    <t>لا يوجد شيء.</t>
  </si>
  <si>
    <t>RGKy1KP</t>
  </si>
  <si>
    <t>yrE0N8</t>
  </si>
  <si>
    <t>زياد السرور</t>
  </si>
  <si>
    <t>عبدالله الغامدي</t>
  </si>
  <si>
    <t>عدم وضوح بالأولويات والأهداف، وتغيرات مفاجئه تسبب عدم أريحية بالوضع</t>
  </si>
  <si>
    <t xml:space="preserve">مشاريع يُتخذ فيها قرار دون علم مدير المشروع. وهذا مربك قليلا. </t>
  </si>
  <si>
    <t>اجعلها سهلة بالتواصل، ولا تكون مركزية للبعد عن المشاحنات والتنافس الضار.</t>
  </si>
  <si>
    <t>البعد عن المركزية، والاستماع الفعال للكل بتنوع مرئياتهم واقتراحاتهم وتجربتها</t>
  </si>
  <si>
    <t>فوض وراقب، ولا تفوض وتراقب وتدخل في النهايات بأسئلة تبعث الريبة بالعمل كاملا
الاسلوب الجميل الواضح منهجك، ونريده اكثر 
بالمهام يطلب التحديث اذا لا يوجد بتاتا
التحديثات لا تطلب يوميا لانها تعتمد على أطراف أخرى
تقسيم المنتجات والبيع لها وطلبات الفريق امنيتي ان تؤخذ بعين الاعتبار على ما بها من اعتبار</t>
  </si>
  <si>
    <t>أسلوبي واضح أريد تغيير بعض الشيء لما يناسب. 
-
أمنيتي الوضوح بين عبدالله وفيصل لأنه يسبب إرباك غير مريح. 
ملاحظاتي للتحسين، وعبدالله جدًا ممتاز ، ولكن التحسين مطلب.</t>
  </si>
  <si>
    <t>Bz4RevN</t>
  </si>
  <si>
    <t>e899yx</t>
  </si>
  <si>
    <t>بندر العاصمي</t>
  </si>
  <si>
    <t>لايوجد</t>
  </si>
  <si>
    <t>1APeW2p</t>
  </si>
  <si>
    <t>DEabvp</t>
  </si>
  <si>
    <t>أميرة</t>
  </si>
  <si>
    <t>بعض القرارات تُتخذ بدون توضيح كافي للآلية، 
الوضع الحالي ممتاز. لكن دائما نستطيع تحسينه.</t>
  </si>
  <si>
    <t>ياريت فيه وضوح أكثر بين عبدالله وفيصل لأن هذا الشيء يشتت.</t>
  </si>
  <si>
    <t>فوض المهام بيسر، استمع للأراء بإنصات، دون تهكّم</t>
  </si>
  <si>
    <t>عبدالله جدًا ممتاز .. ملاحظاتي للتحسين فقط.</t>
  </si>
  <si>
    <t xml:space="preserve">طبيعة عملنا المتغيرة، تحتاج توجيه مستمر، وذكاء عاطفي عالي
ووجود 3 موظفين جدد تطلب بالفترة الاخيرة مجهود وادارة جيدة
وعبدالله كان مرن في ذلك. فيشكر عليه فعلًا. </t>
  </si>
  <si>
    <t>شكرا على احسانكم، والتأكد من سماع صوت كل فرد في ثمانية</t>
  </si>
  <si>
    <t>XxlaOjL</t>
  </si>
  <si>
    <t>2zOODg</t>
  </si>
  <si>
    <t>الصوفي</t>
  </si>
  <si>
    <t>عبدالوهاب محمد</t>
  </si>
  <si>
    <t xml:space="preserve">اهم شي تستمر على ما انت عليه وتسمع اكثر </t>
  </si>
  <si>
    <t xml:space="preserve">الحلو انك قريب من الفريق بشكل ممتاز </t>
  </si>
  <si>
    <t>استمر</t>
  </si>
  <si>
    <t>eqZVBLO</t>
  </si>
  <si>
    <t>BqMoXA</t>
  </si>
  <si>
    <t>أحمد سالم</t>
  </si>
  <si>
    <t>الوضوح يخلي العمل مريح حتى مع وجود الضغط، لا توجد لدي مرئيات، استمر بنفس الأسلوب.</t>
  </si>
  <si>
    <t>طريقة العمل مناسبة بالنسبة لي.</t>
  </si>
  <si>
    <t>يعجبني ثناؤه وتشجيعه لكل أفراد الفريق.</t>
  </si>
  <si>
    <t>يعجبني مشاركة مرئياتك مع نهاية كل مشروع، استمر بهذا.</t>
  </si>
  <si>
    <t>لا توجد.</t>
  </si>
  <si>
    <t>لا تعطوه مسؤولية قسم زيادة فوق المصورين والملونين والتخزين هههههه
سيبولنا شوي منه، ما نبغاه يتشتت.</t>
  </si>
  <si>
    <t>elz87k</t>
  </si>
  <si>
    <t>ياسر</t>
  </si>
  <si>
    <t>اتمنى يستمر اكثر ، ونكثر اجتماعاتنا لكي نصل الى توافق اكثر. ولانشعر بالقلق من ترتيب أولوياتنا.</t>
  </si>
  <si>
    <t>لايوجد ، وودي ياحب انك تقلل الظغط على نفسك.</t>
  </si>
  <si>
    <t>لا واستمر في ذالك،</t>
  </si>
  <si>
    <t>احترم فيك التشجيع للفريق ، واحترم فيك انك تاتي لنا كل فترة وتناقشنا في الاغلاط وايضاً في الايجابيات.</t>
  </si>
  <si>
    <t>لايوجد.</t>
  </si>
  <si>
    <t>9qGVWb1</t>
  </si>
  <si>
    <t>عمار الطحان</t>
  </si>
  <si>
    <t>الأولويات عندي واضحة للأشهر القادمة وهذا رائع جدا
 التواصل بيننا جيد ولكن ممكن يفيدني تقييم متكرر بشكل أكبر، يساعدني أخرج من دوامة "أنا كيف هذي الفترة"
 أعتقد أن الأهداف الموضوعة أحيانا طموحة جدا فوق الواقعي، ما تأخذ بعين الاعتبار التعقيد الموجود في الصنعة
 مستندات المزايا المطلوبة أحسها انكتبت بسرعة أحيانا وفيها اختصار مخل</t>
  </si>
  <si>
    <t>الدعم اللي أشوفه شخصيا ممتاز، أحس اني مُمَكن عندما أحتاج</t>
  </si>
  <si>
    <t>أحيانا أحس التحفيز السلبي (ليش تأخرنا هنا، خلونا نخلص هناك) يطغى على الايجابي (حبيت اننا ركزنا في هذي النقطة وخلصناها مثل المتوقع)</t>
  </si>
  <si>
    <t>أحس ان مهارات القيادة (المهارات الناعمة) مغفول عنها في ثمانية عموما</t>
  </si>
  <si>
    <t>Gxxezxz</t>
  </si>
  <si>
    <t>GaYaoz</t>
  </si>
  <si>
    <t>محمد عطاالله</t>
  </si>
  <si>
    <t>مديري ممتاز جدًا في توضيح الأفكار وتحديد الأولويات، وأسلوبه الواضح يجعل العمل أسهل علينا كفريق. لو في شيء بسيط ممكن نطوره، فهو إنه نراجع الأولويات مع بعض بشكل مستمر، خاصة لما يصير فيه تغييرات مفاجئة.</t>
  </si>
  <si>
    <t>مديري يُظهر تفهّمًا جيدًا لمشاعر الفريق، إلا أنه أحيانًا لا ينعكس ذلك على تخفيف حجم العمل أو مرونة المدة الزمنية بشكل يتناسب مع ضغط المهام.</t>
  </si>
  <si>
    <t>قيادة مديري ملهمة جدًا، فهو يحفزنا باستمرار، ويشجع التعاون والروح الإيجابية داخل الفريق.
وجوده يجعل بيئة العمل مشجعة ومريحة، ومشاركته لنا في اتخاذ القرارات تعزز شعورنا بالمسؤولية والانتماء.</t>
  </si>
  <si>
    <t>مديري داعم جدًا ويساهم بشكل واضح في تطوير الفريق وتشجيع الأفكار الجديدة.
سيكون رائعًا لو تم تخصيص وقت إضافي أحيانًا لجلسات تطوير فردية تساعد كل شخص على تحديد مساره المهني بشكل أوضح.
بشكل عام دعمه وتحفيزه يعطينا طاقة إيجابية ويدفعنا نكون أفضل.</t>
  </si>
  <si>
    <t>D44krG5</t>
  </si>
  <si>
    <t>ANqyXe</t>
  </si>
  <si>
    <t>محمد الطويل</t>
  </si>
  <si>
    <t>مديري يجيد ترتيب الأولويات</t>
  </si>
  <si>
    <t>مزيد من الثقة بقدرة الفريق</t>
  </si>
  <si>
    <t>مشاركة الخطط المستقبلية مع الفريق</t>
  </si>
  <si>
    <t>اسناد المزيد من المهام الصعبة لاعضاء الفريق</t>
  </si>
  <si>
    <t>A77pqJk</t>
  </si>
  <si>
    <t>6GrVgA</t>
  </si>
  <si>
    <t xml:space="preserve">محمد مصطفى </t>
  </si>
  <si>
    <t>ليس لدى، لانها من الاشياء التى يبرع فيها، يقوم بها على اكمل وجه</t>
  </si>
  <si>
    <t xml:space="preserve">ليس لدى </t>
  </si>
  <si>
    <t>بالنسبة لأخر نقطة تحتاج الى تحسين وهى مشارك الفريق فى أتخاذ القرارت.</t>
  </si>
  <si>
    <t xml:space="preserve">شكرا لك لقد جعلت بيئة العمل ايسر وافضل واضفت الكثير من التنظيم والجودة الى الفريق وبيئة العمل </t>
  </si>
  <si>
    <t xml:space="preserve">لا شكرا </t>
  </si>
  <si>
    <t>A77dG0N</t>
  </si>
  <si>
    <t>AN4goz</t>
  </si>
  <si>
    <t>محمد عاصم</t>
  </si>
  <si>
    <t>عمار يسمع لأراء الأشخاص ولكن اعتقد محتاج يسمع اكثر للاراء ووضع احتمالية ان يكون راي الاخرين افضل ولو بشكل بسيط</t>
  </si>
  <si>
    <t>نقطة التطوير دي بتبقي بناءً علي المجهود الشخصي. محتاجين يبقي في خطه ليها مع المدير</t>
  </si>
  <si>
    <t xml:space="preserve">-وضع خطة لاعطاء الاشخاص فرصه للتطوير واعطاء الوقت ومراعاة ذلك في تحديد مدة المهمات.
- استمرار تحفيز الاشخاص ومراعاة المجهود المبذول وصعوبة المهمات.
-الشكر علي محاولة تحسين بيئة العمل وتحسين المشاكل الموجوده و محاولة حلها.
</t>
  </si>
  <si>
    <t>- عند طلب اجازه احس منه بصعوبة الموضوع واشتراطه احيانا بإنهاء مهمات معينه معه ان الاجازات ممكن تكون قهريه ولمدة يوم او اثنين وليس مده كبيره</t>
  </si>
  <si>
    <t>Npqp57l</t>
  </si>
  <si>
    <t>jqJGB1</t>
  </si>
  <si>
    <t>هادي حفني</t>
  </si>
  <si>
    <t>وضوح الأهداف وتحديد الأولويات اثّر بشكل ايجابي على اداء الفريق وجودة المخرجات.</t>
  </si>
  <si>
    <t>طريقة العمل ممتازة بشكل عام واثّرت بشكل ايجابي وواضح على انتاجية الفريق، لكن في بعض الاحيان يجب المناقشة مع الفريق لفهم مشاعرهم تجاه بعض القرارات والتعامل معها</t>
  </si>
  <si>
    <t>بعض القرارات تحتاج الي مناقشة اطول مع الفريق.</t>
  </si>
  <si>
    <t>اجتماع المحطة الدورى (1 الي 1) جيد لمشاركة المرئيات، لكن لا يوجد خطة واضحة لتطويري مهنيًا وعمليًا.</t>
  </si>
  <si>
    <t>بشكل عام اداء وانتاجية الفريق وجودة المخرجات تحسنت بشكل كبير عما سبق.</t>
  </si>
  <si>
    <t>Gxexvge</t>
  </si>
  <si>
    <t>WXY9BR</t>
  </si>
  <si>
    <t>محمد بدر</t>
  </si>
  <si>
    <t>لا، دائمًا يحدد اولويات الدورة بالترتيب من الأهم ثم المهم</t>
  </si>
  <si>
    <t>ODQA9jg</t>
  </si>
  <si>
    <t>Per81d</t>
  </si>
  <si>
    <t>نواف العُمري</t>
  </si>
  <si>
    <t xml:space="preserve">عمار توب التوب </t>
  </si>
  <si>
    <t>عمار شخص رهيب، ولمسنا وجوده من اول اسبوع له بالفريق. 
محظوظين فيه</t>
  </si>
  <si>
    <t>9qN1dWG</t>
  </si>
  <si>
    <t>A691az</t>
  </si>
  <si>
    <t>إبراهيم القرعاوي</t>
  </si>
  <si>
    <t>فيصل الغامدي</t>
  </si>
  <si>
    <t>من اوضح ما رأيت</t>
  </si>
  <si>
    <t>أحس أنك لا تهتم لحدود المسمى الوظيفي، وهذا يخلق ضغط على الفريق لأنه يضطر يسوي شغله وشغل غيره. ويقلل التركيز على المهام الرئيسية التي وجد لأجلها كل شخص</t>
  </si>
  <si>
    <t>محزم مليان</t>
  </si>
  <si>
    <t>J910P4z</t>
  </si>
  <si>
    <t>x1gp2d</t>
  </si>
  <si>
    <t>رامي هاشم</t>
  </si>
  <si>
    <t>أتعلم منه</t>
  </si>
  <si>
    <t>ممتاز</t>
  </si>
  <si>
    <t>قيادة فعالة</t>
  </si>
  <si>
    <t>الفريق يحتاج منك أحيان الدعم المعنوي البناء</t>
  </si>
  <si>
    <t>شكرأ على التطور إلي سويته لي وللفريق</t>
  </si>
  <si>
    <t>فيصل من ٦شهور غير فيصل الحي وأكيد للأحسن</t>
  </si>
  <si>
    <t>QKod2Kk</t>
  </si>
  <si>
    <t>8yXagz</t>
  </si>
  <si>
    <t>غالبًا ماتكون واضح يعطيك العافية.</t>
  </si>
  <si>
    <t>أشوف من الجيد نشد على الموظفين الجدد، لكن لا ننسى أن التأقلم في فريقنا مب أسهل شيء.
فعادي لو ياخذ الموظف وقته بشكل منطقي، لكن يهمني ما نخسر الناس الجيدة بالضغط عليهم طوال الوقت.</t>
  </si>
  <si>
    <t>أظن قربك الحالي بشكل عام ممتاز، تعرف متى تشد ومتى ترخي على الفريق. فشكري الجزيل.</t>
  </si>
  <si>
    <t>دائمًا ما تكون متعطش لتطوير الجميع.</t>
  </si>
  <si>
    <t>ما أقولها مجاملة، لكن صدقًا لا أظن أن فيه شخص يعرف كيف يتعامل مع ثمانية «في الأعمال» كثره.</t>
  </si>
  <si>
    <t>RGKq7p9</t>
  </si>
  <si>
    <t>V7jEOj</t>
  </si>
  <si>
    <t>شهاب</t>
  </si>
  <si>
    <t xml:space="preserve">يفوض، لكن أحيانًا يتدخل في تفاصيل وصغيرة الأمور. </t>
  </si>
  <si>
    <t>شاركت كثير لكن دون جدوى</t>
  </si>
  <si>
    <t>jaeLBla</t>
  </si>
  <si>
    <t>4DkpLk</t>
  </si>
  <si>
    <t>جمانة سكلوع</t>
  </si>
  <si>
    <t>لينا الشهري</t>
  </si>
  <si>
    <t>الأفضل في وضع الأولويات وجعلها واضحة بين الفريق</t>
  </si>
  <si>
    <t xml:space="preserve">طريقة العمل محفزة، وفي إحسان بالحرص على موازنة كمية المهام </t>
  </si>
  <si>
    <t xml:space="preserve">ممتنة لجو التعاون الإيجابي الموجود في الفريق </t>
  </si>
  <si>
    <t xml:space="preserve">الجهود كافية ووافية 🌟 </t>
  </si>
  <si>
    <t>EkqLBQL</t>
  </si>
  <si>
    <t>6zKxgo</t>
  </si>
  <si>
    <t>وفاء العتيبي</t>
  </si>
  <si>
    <t>9qNO41Y</t>
  </si>
  <si>
    <t>ANkrGy</t>
  </si>
  <si>
    <t>أحمد عيد</t>
  </si>
  <si>
    <t>لا اواجه اي مشكلة هنا</t>
  </si>
  <si>
    <t xml:space="preserve">لو ممكن نشوي اجتماع نتبادل فيها خبرات كل فرد بحيث نفيد بعد كفريق </t>
  </si>
  <si>
    <t xml:space="preserve">لو نرجع نجتمع من جديد بكل دوري مرتين اسبوعيا بيكون امر لطيف .. الاجتماع بالنسبة أمر بسد بيه فجوة العمل عن بعد </t>
  </si>
  <si>
    <t>kdb07gJ</t>
  </si>
  <si>
    <t>LBgpXO</t>
  </si>
  <si>
    <t>عبدالله مقيبل</t>
  </si>
  <si>
    <t>محمد الحرازي</t>
  </si>
  <si>
    <t xml:space="preserve">ممكن نتناقش عن تقسيم المهام بشكل دائم مع الفريق و نقسم تقسيمة معتدلة لكل شخص </t>
  </si>
  <si>
    <t xml:space="preserve">كل شخص عندة ظروفة و حياتة الخارجية الي صعب احيانا يصرح عنها ، وكل شخص يحاول يعطي العمل حقة و يقفل العمل بي اكمل وجه و برضو يعطي لحياته الخارجية حقها ، بس .
و لازم نعرف انو لكل مهمه لها تحدياتها و كل حلقة او تشويقة نشتغل عليها لابد يكون فيها تحدي معين ، وما اذكر اني قد اشتغلت على مهمة وما كان فيها تحدي من الإنتاج او في التحرير و آلخ.. ، و يأخرني ، فلازم نحسب حساب هذا الشي </t>
  </si>
  <si>
    <t>b5Z2Dv7</t>
  </si>
  <si>
    <t>Ee22p4</t>
  </si>
  <si>
    <t>عمر صافية</t>
  </si>
  <si>
    <t xml:space="preserve">أتمنى تعيين مدير عمليات يكون لديه الإطلاع والتنسيق بين تقاطعات الفرق المختلفة لتجنب المهام في اللحظات الأخيرة أو تجنب تمطيط المهام بلا داعي </t>
  </si>
  <si>
    <t xml:space="preserve">أن يكون أوضح فيما يتوقعه مني، وأن يحفزني ويوجهني لمكامن قوتي </t>
  </si>
  <si>
    <t xml:space="preserve">أن يكون هناك لحمة وتفاعل أكبر بين الفريق وتعرف أكبر على بعضهم الآخر، وأن نجري اجتماعات أكبر فهي كفيلة بخلق تبادل إبداعي </t>
  </si>
  <si>
    <t xml:space="preserve">أن يدلني أكثر على مكامن القوة التي يجب استغلالها، وينبهني على مكامن الضعف التي ينبغي تحسينها </t>
  </si>
  <si>
    <t>zxE0vL8</t>
  </si>
  <si>
    <t>8VAldo</t>
  </si>
  <si>
    <t>محمد نور</t>
  </si>
  <si>
    <t>جيد جدا وتحسن ملحوظ في ترتيب المهام والاوليات</t>
  </si>
  <si>
    <t xml:space="preserve">تحسن ملحوظ في عدة نواحي ابرزها الذكاء العاطفي </t>
  </si>
  <si>
    <t>اتوقع امورنا تمام ، مافي بالي شي معين</t>
  </si>
  <si>
    <t xml:space="preserve">ليس لدي شي اضافي ، وفي اعتقادي ان الرغبة في التطوير والتطور ينبع من النفس </t>
  </si>
  <si>
    <t>jae0YaR</t>
  </si>
  <si>
    <t>PWrKpx</t>
  </si>
  <si>
    <t>مرام الضبيبان</t>
  </si>
  <si>
    <t xml:space="preserve">احيان أولويات الفريق داخليًا تختلف عن توقعات الفرق الاخرى. وابو هاني ما يقصّر في إيضاح أولوياتنا للجميع، لكن يُفضل لو تتم هذه العملية في وقت ابكر حتى ما يتفاجئ فريقنا بمهام إضافية. </t>
  </si>
  <si>
    <t xml:space="preserve">ابو هاني ما يقصّر في تقديم الدعم متى ما طُلب منه، وتشجيع الفريق، وتوزيع العمل بما يضمن تحقيق جميع المستهدفات. ولكن احيان مع كثرة الضغط تطلع نبرة في الخطاب والتواصل تشعرنا احيان بعدم التقدير. </t>
  </si>
  <si>
    <t xml:space="preserve">اكثر شيء احبه هو عندما نتحدث كفريق حتى نفكر معًا بصوت عالِ لإتخاذ قرارات تغير طري عملنا، او تجعلنا نخطو خطوات ابعد في مهامنا اليومية. لذا اشكر ابو هاني على كل لحظة يجلس فيها ويشرح لنا ما فباله لتطوير العمل وتحسينه. فقط اود لو نراعي موضوع الدعم المعنوي والتشجيع، لانه اكثر شيء نحتاجه كفريق في لحظات الضغط وهو اكثر شيء يساعدنا لتجاوز العقبات. </t>
  </si>
  <si>
    <t xml:space="preserve">ابو هاني ما يقصّر كذلك في دعم التفكير الإبداعي والإنصات لكل فكرة جديدة قد تساعدنا كفريق للعمل بجودة وفعالية اكثر. 
فقط اود لو نكثّف جانب المرئيات اكثر. الوعي بجوانب التحسين والتطوير مهم وضروري؛ حتى اضمن دائمًا ان اعمل كنسخة افضل من ذاتي ضمن هذا الفريق الرائع. </t>
  </si>
  <si>
    <t xml:space="preserve">شكرًا جزيلًا على كل ما تقوم به لجعل الفريق يعمل بأفضل شكل ممكن. 
ممتنه ومقدرة لجميع جهودك. اجزم ان عدد مخرجاتنا كفريق تضاعف منذ انضمامك للعمل معنا، وهذا بحد ذاته يجعلني فخورة اني اعمل ضمن فريق انت قائدة. 
فقط أود لو نراعي التواصل فيما بيننا، ماذا لو كان هنا اجتماع شهري يجمعنا بك، ويجعلنا نناقش معك المهام المنجزة ومشاكلها والمهام المستقبلية. 
ايضًا بودّي لو نراعي جوانب الدعم والتشجيع، لما اسمع كلمة كفو منك تزيد ثقتي بنفسي واسعى لتقديم الأكثر. 
كذلك لو نراعي أسلوب الخطاب والتواصل اثناء لحظات الضغط، فالكل يسعى لتقديم الأفضل. 
كل ما قلته لا ينفي إدراكي  لحجم المسؤولية والمهام الذي تشرف عليها وتقوم بها، ومقدرة جدًا لجهودك وسعيدة اني اعمل ضمن إدارتك. </t>
  </si>
  <si>
    <t>kdb01Gj</t>
  </si>
  <si>
    <t>Ml8VxA</t>
  </si>
  <si>
    <t xml:space="preserve">شهد البقمي </t>
  </si>
  <si>
    <t>يعطيك العافية، على الجهد اللي تبذله، والتشجيع المتواصل اللي تقدمه، والنصح والتوجيه المستمر في كل مره أحتاج له 
-أعتقد أن الأشياء اللي تصير للانسان مؤخرًا هي اللي تستحضرها ذاكرته في أي تجربة كتابة أو عصف ذهني مثل هذا :)
بودي أشكرك على جلسة مصممي الموشن الأخيرة، كانت صدقًا تجربة مفيدة، خاصة أن أغلبنا يعمل عن بعد، ففرص التواصل المثري غالبًا ضئيلة. أعتقد أن تلك الساعة خلقت تجربة رائعة لتبادل الخبرات والأراء والنصائح، أو على أقل تقدير أدركت خلالها معنى أن تكون ضمن فريق بشكل حقيقي-</t>
  </si>
  <si>
    <t>Zj9GBdo</t>
  </si>
  <si>
    <t>x1z9oG</t>
  </si>
  <si>
    <t>ريان بكيل</t>
  </si>
  <si>
    <t>قائد وكفو يعطيك العافية، ياليت بس نقلل من الاتصالات الهاتفية ونحاول نكتب ونوثّق كل شيء في بيسكامب.
موارد الفريق مبعثرة وتحتاج متابعة.</t>
  </si>
  <si>
    <t>سبق وتناقشنا عن استقطاب محررين لمعيشة «من شهور» وحتى هذه اللحظة ما جاء أحد، قلّة العدد مضر وجالسين نناقض الشييت تبع فريق التحرير.</t>
  </si>
  <si>
    <t>المشاورات غالبًا تصير في الاتصالات الهاتفية، مما يقلل من وضوحها والرجوع لها.</t>
  </si>
  <si>
    <t>تختفي وتسكت كثير، أنا تعودت على السباحة والرمي في البحر ههههه بس حلو لو تخش معنا في اللوب.
أيضًا موضوع الاتصالات الهاتفية يؤثر هنا.</t>
  </si>
  <si>
    <t>Zj9G7yv</t>
  </si>
  <si>
    <t>ANWdQe</t>
  </si>
  <si>
    <t>أنس الخليل</t>
  </si>
  <si>
    <t>شعرت في السابق كان فيه بعض اللخبطة في مهامي ولكن آخر فترة صار الوضع مترتب أكثر وأفضل من السابق، ولو نتابع بهذا المنوال بيكون ممتاز</t>
  </si>
  <si>
    <t>صراحة مثل ما ذكرت في المرئية السابقة أشعر في البداية كان فيه شوية تحديات ولكن أشعر مؤخرًا أصبحت طريقة العمل أفضل وكل شخص واضح له المطلوب منه، وبرضو في الفزعات ما تقصّر معنا .. يمكن لو عندي شيء أذكره واللي هو شيء أفهم أنه قد يكون خارج عن الإرادة، ولكن أحيان كثير العمل في الويكند ولساعات متأخرة قد يكون شيء ودي يترتب أكثر ويصير ما نضطر كثير أحيان نشتغل في الويكند</t>
  </si>
  <si>
    <t>أشعر وصلنا مرحلة جيدة من التفاهم بيننا جميعًا كفريق، وهذا بالطبع يرجع لجهودك في الاجتماعات اللي نسويها كل فترة ونجتمع كلنا ونتناقش عن تحدياتنا وما إلى ذلك، ولكن في نفس الوقت أشعر أحيانًا أنه فريقنا مب مرره مجتمعين سوا (كأننا عائلة مشتتة ههههه) يعني أشعر باقي الفرق كذا دايم تلقاهم سوا بس حنا نادر نجتمع سوا (بالصدق مش إلكترونيًا) فأحس يبيلنا نصير نتجمع سوا أكثر (مثلًا نخلّي اجتماع الأخبار والتحديثات على غدا زي سوبرانوس خخخ، بس صدق أحس أنه بيكون شي رائع ويقربنا من بعض أكثر</t>
  </si>
  <si>
    <t>أتوقع بيكون حلو لو نصير نجرّب أشياء جديدة وأعرف أنه هذه الخطة اللي تناقشنا فيها وقلنا بنحاول نصير نجرّب أشياء جديدة أو أشياء حنا نحبها وسويناها من قبل بس وقفنا نسويها، فهذا صراحة اللي ودي فيه حاليًا، ودي نصير نقدر نرجع نجرّب في أشياء حنا شغوفين تجاهها</t>
  </si>
  <si>
    <t>متحمّس للمرحلة القادمة، وأشعر بعد الفترة القادمة راح يكون عندي مرئيات أكثر، أما بالنسبة للفترة الماضية أشوف أنها كانت جيدة جدًا، تبنّينا أساليب عمل جديدة ومرنة، وبرضو وصلنا مرحلة ممتازة من التواصل ومن التفاهم بيننا، وبرضو الاستقلالية زادت واللي هو شيء مهم بالنسبة لي وأكيد بالنسبة لك .. وشكرًا على الجهود :)</t>
  </si>
  <si>
    <t>vGXqGAl</t>
  </si>
  <si>
    <t>xE6M9J</t>
  </si>
  <si>
    <t>رؤى بوصالح</t>
  </si>
  <si>
    <t>محمد عطالله</t>
  </si>
  <si>
    <t>مديري يحدد الأولويات فنحن نعرف خطواتنا القادمة دائمًا، لكن ينقصنا الاتفاق على تاريخ تسليم محدد حتى نضبط التوقعات وننجز بوضوح.
كذلك الاحظ إن هناك مهام كثيرة مفتوحة ما نعرف أيش وضعها، أظن مهم تراجع بشكل دوري بحيث نجدولها أو نحذفها تمامًا لأن وجودها بدون متابعة بهذا الشكل يسبب لخبطة وعدم وضوح.
والحقيقة أنا أقدر جهود أبوكريم لأنه يؤدي عدة أدوار في نفس الوقت لكن أعتقد وجود مدير مشروع أو منتج في الفريق راح يساعد كثير.</t>
  </si>
  <si>
    <t>التوجه التقني وتصميم الحلول على مستوى المهام والدورات مبهر، لكن ينقصنا وجود آلية عمل واضحة متفق عليها من قبل جميع المطورين. اقترح تطوير دليل إرشادي يشمل تفاصيل دورة التطوير كاملة من كتابة الكود ومراجعته والمتابعة والتوثيق والاختبار وحتى الرفع بحيث ما يكون الموضوع محط تساؤل واجتهاد شخصي في كل مرة.
من قبل كانت الأمور بسيطة ولكن الآن الفريق كبر والمشاريع صارت معقدة شوي، فوجود آلية عمل واضحة راح تحسن جودة المخرجات وتسهل التواصل بين الفريق.</t>
  </si>
  <si>
    <t xml:space="preserve">كل الشكر على الأسلوب السمح والتفهم الدائم.
طابع الاجتماعات اليومية جدي بعض الشيء، حلو لو يكون في حديث جانبي سريع (icebreaker) مع الفريق من وقت لآخر لتلطيف الجو.
</t>
  </si>
  <si>
    <t>مديري يشجعنا باستمرار ويقدر كل الجهود جزاه الله خير.
اجتماع المحطة مفيد في تحديد جوانب التطوير، لكن بيكون ممتاز لو فيه توجيه فردي مباشر خلال الأيام العادية يساعد في تحقيق الأهداف بخطوات عملية.</t>
  </si>
  <si>
    <t>dWE5OON</t>
  </si>
  <si>
    <t>ajkeRq</t>
  </si>
  <si>
    <t xml:space="preserve">محمد علاء </t>
  </si>
  <si>
    <t>المدير يتميز بوضوح ممتاز في توجيه الفريق وتحديد الأولويات، مما يسهل تنفيذ المهام بكفاءة. ومع ذلك، سيكون من المفيد الحصول على رؤية أوضح لاتجاه بيزنس العمل لفترة مستقبليه لا تقل عن 4 أشهر، وذلك لتجنب المفاجآت المتعلقة بالمهام الجديدة أو إضافة الميزات، مما يساعد في التخطيط الأفضل وتنظيم العمل بفعالية.</t>
  </si>
  <si>
    <t>حاليًا، لا توجد لدي ملاحظات أو اقتراحات بخصوص طريقة العمل، لكن إن وجدت أي نقاط تستحق التطوير مستقبلاً، سأحرص على مشاركتها.</t>
  </si>
  <si>
    <t>أرى أن أسلوب القيادة واضح وفعّال، وحاليًا لا توجد لدي ملاحظات.</t>
  </si>
  <si>
    <t>يمكن تعزيز الدعم والتطوير من خلال اقتراح كتب دورية للقراءة في مختلف تخصصات الفريق، مما يساعد في توسيع المعرفة وتحفيز التطوير الذاتي لكل فرد وفقًا لمجال عمله.</t>
  </si>
  <si>
    <t>شكرًا على دعمك المستمر وجهودك الدائمة في تطوير الفريق! 🙌</t>
  </si>
  <si>
    <t>لا يوجد شيء لمشاركته، شكرًا لكم على مجهوداتكم. 😊</t>
  </si>
  <si>
    <t>BzE8NoA</t>
  </si>
  <si>
    <t>aP0Orb</t>
  </si>
  <si>
    <t>نعيم أشلحي</t>
  </si>
  <si>
    <t>الأمور واضحة كأننا نقرأ من ورقة ..</t>
  </si>
  <si>
    <t>دائما حاضر عندما نحتاجه ..</t>
  </si>
  <si>
    <t>يخلي الفريق قلب واحد ..</t>
  </si>
  <si>
    <t>هو يطوّر لا يضغط ..</t>
  </si>
  <si>
    <t>شكرا لأنك أفضل مدير يمكن الحصول عليه ..</t>
  </si>
  <si>
    <t xml:space="preserve">لا شيء.. لكن شكرا لأنكم تسألون .. </t>
  </si>
  <si>
    <t>Zj9vDoV</t>
  </si>
  <si>
    <t>r0q9Zo</t>
  </si>
  <si>
    <t>محمود فرح</t>
  </si>
  <si>
    <t>كله تمام 👌🏻</t>
  </si>
  <si>
    <t>تمام التمام 👌🏻</t>
  </si>
  <si>
    <t>يعطيك ألف عافية🙏🏻</t>
  </si>
  <si>
    <t>أعتقد نحتاج خطة لتطوير مهارات الفريق بشكل عام.</t>
  </si>
  <si>
    <t>ob9kRjP</t>
  </si>
  <si>
    <t>y07ag6</t>
  </si>
  <si>
    <t>إسماعيل شجر</t>
  </si>
  <si>
    <t>لا شيء</t>
  </si>
  <si>
    <t>لا شيء
فقط اريد ان اشكرك علي الاعتماد علي محمود فرح مما جعل فعلا الانتاجية منك و منا كفريق افضل :)</t>
  </si>
  <si>
    <t>نحتاج ان نضع خطط للتطوير المهني و خاصة الدورات التقنية مما يفيد الشركة و الفريق</t>
  </si>
  <si>
    <t xml:space="preserve">من افضل ما اتاحة محمد عطالله هو جعل محمود فرح نائبا له فيما يتعلق بمهام التنظيم و ادارة المهام و المتابعة فهو يقوم بكثير من المهام القيادية مع محمد عطالله في الفريق مما ساعدنا و ساعد محمد عطالله كثيرا نسبه لنقص القادة في فريق التقنية ككل .
</t>
  </si>
  <si>
    <t>9qN45Y1</t>
  </si>
  <si>
    <t>lXZAOV</t>
  </si>
  <si>
    <t>ميس الحراكي</t>
  </si>
  <si>
    <t>إشراك الفريق في قرارات تحديد الأولويات مع فهم أسباب أهمية هذه الأولويات لتعزيز روح المسؤولية تجاه إنجازها في أسرع وقت.</t>
  </si>
  <si>
    <t>تفعيل العمل المشترك على المهام بين أعضاء الفريق، بحيث يعمل اثنان على حل مهمة مشتركة بطريقة pair programming لتعزيز المشاركة وتحفيز أفكار إبداعية جديدة.</t>
  </si>
  <si>
    <t>المهام عادة تسند لكل مطور على حدى، فلا يكون هناك عمل مشترك بين مطورين أو أكثر، كما ذكرت في المرئيات السابقة، وحيث أن المطورين يميلون عادة للعمل بشكل فردي، فالتشجيع الإضافي أو دفعنا للعمل معًا (في نفس الوقت وتجاه نفس الأهداف) في بعض الأوقات مهم جدًا، كثير من الأفكار تظهر حين التفاعل (لحظيًا) بين مطوّرَين أو أكثر.</t>
  </si>
  <si>
    <t>كله تمام. :)</t>
  </si>
  <si>
    <t>q45gNP2</t>
  </si>
  <si>
    <t>EeJYGL</t>
  </si>
  <si>
    <t>محمد السعدون</t>
  </si>
  <si>
    <t xml:space="preserve">بناء الوجهة والطموح  للفريق (المرئيات) بشكل أكثر وضوحا
التواصل مع الفريق بشكل دوري
المساعدة في إيجاد الفُرص
</t>
  </si>
  <si>
    <t xml:space="preserve">من يعرّف لماذا لفريقه سيسهل عليه أن يكون قائداً. </t>
  </si>
  <si>
    <t>تمنياتي لك بالتوفيق</t>
  </si>
  <si>
    <t>PdRegK5</t>
  </si>
  <si>
    <t>dXOM0K</t>
  </si>
  <si>
    <t>ثمود</t>
  </si>
  <si>
    <t xml:space="preserve">هي مشكلة أزلية في كل الفرق، لكن نحتاج طريقة فعالة في التواصل المستمر بين الفريق. في بعض الأحيان تغيب تفاصيل أو مستجدات بسبب قلة التواصل </t>
  </si>
  <si>
    <t>قد يشعر الموظف بأن الإدارة ما تشوف المنتج النهائي. الاستقلالية جميلة، لكن الموظف أحيانا مثل الطفل الصغير الي يدور رضا الوالدين، كلمة طيبة او حتى توجيه بالتحسين ونصيحة واضحة ممكن تحغز</t>
  </si>
  <si>
    <t>لعل التنويع بين المهام الابداعية بحيث يتم ادخال الموظفين في برامج مختلفة كمشاركة في انتاج حلقة سيساعد على تجدد النشاط كونه نوع من التغيير وأيضًا يزيد الترابط والتقاطع مع بقية الفريق</t>
  </si>
  <si>
    <t>شكرًا على كل الجهود</t>
  </si>
  <si>
    <t>RGWal5Q</t>
  </si>
  <si>
    <t>e899Qk</t>
  </si>
  <si>
    <t>مخلف</t>
  </si>
  <si>
    <t>أكثر شيء أحبه بأبو حمود وضوحه.</t>
  </si>
  <si>
    <t>أنا أشهد إنه عون متى ما احتاجه أحد.</t>
  </si>
  <si>
    <t>لا يوجد.</t>
  </si>
  <si>
    <t>ودّي أسمع منه وأستفيد من خبرته أكثر الصدق.</t>
  </si>
  <si>
    <t>مقدّر انشغالك الفترة الماضية الله يقويك ويعينك، بس طمعان باجتماعات دورية ودّية مع الفريق ككل، نستفيد من تجارب بعض ونسمع من بعض. ومو شرط تكون على شكل اجتماع، يمكن تكون غداء أو عشاء أو قهوة. صدقني راح تفرق بنقل الخبرات والمهارات بيننا.</t>
  </si>
  <si>
    <t>pbeXyBq</t>
  </si>
  <si>
    <t>QWNzXp</t>
  </si>
  <si>
    <t>عمر العمران</t>
  </si>
  <si>
    <t>مستهدفاته واضحة ومحفزة.</t>
  </si>
  <si>
    <t>جرّبت ثلاثة أنواع من المدراء في ثمانية. أحدهم يعطي مسؤولية وصلاحية كاملة دون أي متابعة أو مراجعة تقريبًا. وأحدهم العكس، يقيّد مساحة عمل من يعمل تحته. والصحيح ما يكون بينهما، وهو اللي يجيده مشاري؛ الاتزان الدقيق بينهما.</t>
  </si>
  <si>
    <t>كذلك رأيته يوازن بين تقدير مُدخل الموظف من جهة، ورأيه المستحق كمدير من جهة. يعتمد كثيرًا على الموظفين تحته في الابتكار والإبداع، وهذا رائع.</t>
  </si>
  <si>
    <t>نوعًا ما كان توجيهه لي أقل من المعدّل الكامل، ولكن ذلك متفهم من جهتي، وأعيده لحجم المسؤوليات وتعدد الموظفين تحته، واللي يجعله بشكل طبيعي مرتبط أكثر بالمشاريع والموظفين اللي يواجهون تحدّي، بينما ربما المشاريع اللي أعمل عليها وضعها مستقر أكثر.
لكن مثلًا التقييم الدوري كان فرصة جيّدة لمشاركة المرئيات. وهذي ميزة هذه المبادرة، أنها تضمن الحد الأدنى من مشاركة المرئيات مع الموظفين، اللي قد ما تحصل بحال لم تكن موجودة؛ لأن المدير كما قلت طبيعي يهتم أكثر بالمشاريع والموظفين اللي وضعهم أقل استقرار.</t>
  </si>
  <si>
    <t>أعتقد أكبر تحدّي يواجه الإنتاج، وثمانية بالعموم، هو التسويق + وصولية الابتكارات الجديدة. وأمانةً فيه تحسّن فيهم الإثنين؛ فدخول وديان حسّن كثير من وضع التسويق، وكذلك الاتجاه الأخير في ابتكار المنتجات الجديدة وتحوّل المنتجات القائمة نحو المحتوى المرئي بدلًا من الاقتصار على المحتوى المسموع والمكتوب فقط بيحسّن كثير من الأمر الثاني، والنتائج المبدئية لذا قال وجادي وأيضًا سابقًا مرتدة عندما خاض نفس التحوّل أعتقد تثبت جدوى هذا الاتجاه.
ليش اعتبرت الأمر الثاني مرتبط بموظفين الإنتاج رغم أنه قد يبدو ارتباطه بثمانية ككل أكبر؟ لأن نجاح المنتج من الناحية التسويقية والوصولية من أهم محفزات العمل والاستمرار عليه. أكيد أن خالد عون تحمّس أكثر لمنتجه بعد الوصول الرائع لحلقات هالموسم. وأعتقد مرات كثيرة يكون المنتج نفسه جودته عالية ولكن يظلمه الوسط اللي يقدّم فيه: المسموع والمكتوب حصرًا، والواقع يقول أن المتلقي السعودي والعربي يميل وبضخامة ضخمة جدًا للمحتوى المرئي.
«وصولية الابتكارات الجديدة» أتصوّر تتحقق بالتحوّل للوسط المرئي، ولكن أعتقد أيضًا تتحقق بجرأة أكبر في نوعية الضيوف والمنتجات الجديدة؛ لكون المنافسين محليًا وخليجيًا ببساطة يؤثرون علينا سلبًا بسبب ذلك. وربما كذلك بالاستثمار في منتج حواري جديد؛ فنجاح مربّع سابقًا ثم غيابه الآن يعني وجود مساحة لذلك.</t>
  </si>
  <si>
    <t>حافظوا عليه. هههههههههه</t>
  </si>
  <si>
    <t>2Ej9NdA</t>
  </si>
  <si>
    <t>WlAL5R</t>
  </si>
  <si>
    <t>فارس الفرزان</t>
  </si>
  <si>
    <t>مافيه صراحة، رهيب والشغل معه واضح ومريح</t>
  </si>
  <si>
    <t>Gxe2MBp</t>
  </si>
  <si>
    <t>ZAjaeV</t>
  </si>
  <si>
    <t>أحمد الحافي</t>
  </si>
  <si>
    <t xml:space="preserve">أعتقد أن الأولويات والتوقعات واضحة </t>
  </si>
  <si>
    <t>Y5PD7q0</t>
  </si>
  <si>
    <t>0zobbA</t>
  </si>
  <si>
    <t>ثامر السنيدي</t>
  </si>
  <si>
    <t>مراجعة الأهداف جميعًا على الدوام أظنها بتكون فعّالة 👑</t>
  </si>
  <si>
    <t>على هالوزنية وأفضل وفالنا الخير 🫡</t>
  </si>
  <si>
    <t>أظن المرئيات بعد الأعمال بتكون ممتازة لو صارت شيء دائم ويمكن التقصير مني ما أطلبها 👨🏼‍🦼</t>
  </si>
  <si>
    <t>غداء وشاهي 🤝</t>
  </si>
  <si>
    <t>رائع والحفاظ عليه مكسب لسوق المحتوى ماهو بس لنا في ثمانية 🤝</t>
  </si>
  <si>
    <t>zxjxyjR</t>
  </si>
  <si>
    <t>Ee8bBr</t>
  </si>
  <si>
    <t xml:space="preserve">رهام الزعيبي </t>
  </si>
  <si>
    <t xml:space="preserve">التواصل لدى مشاري رائع، ويعجبني دائمًا كيف يرتب الأولويات،  ويجعلها واقعية وتصب في مصلحة الموظف والعمل.  </t>
  </si>
  <si>
    <t xml:space="preserve">لا يوجد. </t>
  </si>
  <si>
    <t xml:space="preserve">قائد رائع. </t>
  </si>
  <si>
    <t xml:space="preserve">داعم في كل وقت، وممتنين دائمًا لتواجده رغم كثرة المسؤوليات. </t>
  </si>
  <si>
    <t>44Q404O</t>
  </si>
  <si>
    <t>VaDyXy</t>
  </si>
  <si>
    <t>لينا عامر</t>
  </si>
  <si>
    <t>معاذ المغذوي</t>
  </si>
  <si>
    <t>أستاذ في ترتيب الأولويات، أو حتى ضبطها مابيننا بدون ضغط أو توتر مهما كانت الأمور طارئة، وهذا يحفز الجميع لتظاهر أفضل ماعنده.</t>
  </si>
  <si>
    <t>في كل مرّة أشاركك لطلب استشارة أو مساعدة أعرف إنك ماراح تتردد، وهذا يخلي ثقة عالية في طريقة العمل مابيننا.</t>
  </si>
  <si>
    <t>ضبط جلسات العصف الذهني والاجتماعات بشكل أكبر بين الفريق ككل، وهي مسؤولية مشتركة من جهتي كذلك، من الرائع تبادل الخبرات والمرئيات بين الفريق الابداعي.</t>
  </si>
  <si>
    <t>تسعدني دائمًا نصائحك وملاحظاتك البناءة حول ادارتي للفريق.</t>
  </si>
  <si>
    <t>q4L48DY</t>
  </si>
  <si>
    <t>WeQg5L</t>
  </si>
  <si>
    <t>رزان</t>
  </si>
  <si>
    <t xml:space="preserve">في بعض الأحيان كانت تواجهني صعوبة في فهم بعض أولويات المشاريع والمهام بشكل عام. مثال: مشروع ألعاب ثمانية بالتوازي مع دمج منصة ثمانية «الموقع+الاستضافة» والإعلانات. وأعتقد بسبب قلة الموارد الحالية قد يتطلب تحديد أولويات المشاريع </t>
  </si>
  <si>
    <t>جدًا متعاون ومتفهم.</t>
  </si>
  <si>
    <t>لسا لازلنا أعتقد في مرحلة بناء الفريق...</t>
  </si>
  <si>
    <t>تفرق كثير الاجتماعات الدورية في كل أسبوع التي يتخللها النقاط المذكورة :)</t>
  </si>
  <si>
    <t>ODaQ1Qk</t>
  </si>
  <si>
    <t>YKdjY6</t>
  </si>
  <si>
    <t>فؤاد الهتلان</t>
  </si>
  <si>
    <t>موفق العبيد</t>
  </si>
  <si>
    <t>لا أعتقد اني واجهت مشاكل في جدولة الأعمال بين بعضها مع موفق لكن الوضوح والأولويات تكون متفاوتة بسبب عدم استقلالية موفق فهو إلى الآن ليس لديه استقلالية كاملة في اتخاذ القرارات وهذا يسبب عدم الوضوح والأولويات ويعتمد بشكل كبير بأشخاص آخرين لاتخاذ بعض القرارات.</t>
  </si>
  <si>
    <t>موفق يفهم انه كل شخص لديه امكانياته وموهبته الخاصة ويحاول يحفز الجميع بانهم يطلعون أفضل ما عندهم لكن لابد من وجود قرارات صارمة تحرك الفريق ان كان هنالك قرارات من أعضاء الفريق قد تضره أو تضر الفريق مثل عدم رغبته في العمل بمشروع معين.</t>
  </si>
  <si>
    <t>حتى نصل فريق متكامل يكون هناك تواصل مستمر بين القائد وأعضائه ويكون لكل شخص هدف واضح ووين كل شخص ممكن يساهم في تطوير الفريق. فلابد من وجود اجتماعات دورية نناقش فيها تحديات الفريق وكيف كل شخص ممكن يضيف حتى لا يصبح تعارض بين أعضاء في المشاريع وتحديدا في المشاريع المشتركة.</t>
  </si>
  <si>
    <t>موفق يساهم في التحفيز في الأفكار والأعمال الإبداعية ويساعدني دايما لما أكون في مشكلة تحتاج الى حل ودائما مساند لي فيها لكن لا أجد نفسي أتطور من ناحية إبداعية ومهنية فالفريق بشكل عام إلى حد ما متشابهين في المستوى وهذا يصعب بأن يكون القائد في إعطاء مرئيات واضحة تساعد على تطوير الفريق إبداعيا ومهنيا ويصبح الأمر ذوق وآراء شخصية.</t>
  </si>
  <si>
    <t>التواصل، التواصل، التواصل
عادي اذا مافي وقت يكون في تحديثات بالبنق بدل ما تكون اجتماع طويل لكت ضروري يكون في تواصل مستمر في ما يخص الأعمال ويكون هنالك نظام نعمل عليه. وممكن يكون في مشروع بالبيسكامب خاص بالمخرجين وتكون المشاريع موجودة ونتناقش فيها وكيف نحسن من الفريق ككل.</t>
  </si>
  <si>
    <t>ليش إلى الآن موفق لا يوجد لديه استقلالية في اتخاذ قرارته؟ كذلك فيما يخص التقييم الدوري بآرائه المكتوبة في التقييم تكون متأثرة بأشخاص آخرين وهذا لا يساعده بانه يتخذ قرارات بقناعاته.
إلى هذي اللحظة يصعب علي التكيف في الفريق ولا أكون على طبيعيتي لانه يوجد تعارضات كثيرة بيني وبين موفق مثل اختلاف المهارات والخلفيات المهنية المختلفة بيننا. وهذا ينعكس أيضا على أعضاء الفريق</t>
  </si>
  <si>
    <t>gDaeqPN</t>
  </si>
  <si>
    <t>P2Ko8b</t>
  </si>
  <si>
    <t>محمد الحقبانس</t>
  </si>
  <si>
    <t xml:space="preserve">رائع موفق في ادارة الفريق الإبداعي، نحتاج نشوف جانب استراتيجي للقسم و وين رايحين وايش نبغى. 
احس هذا ينقصنا. </t>
  </si>
  <si>
    <t xml:space="preserve">لا يوجد أفضل منه. </t>
  </si>
  <si>
    <t xml:space="preserve">هذا الجانب صراحة هو أكثر كفائة من غيره، يتفهم طريقة عملنا و يوصل التوجيهات من مدرائه لنا بطريقة رائعة وسهلة. </t>
  </si>
  <si>
    <t xml:space="preserve">لا يوجد بسبب فترة نهاية السنة و مشاريع قبل رمضان و رمضان ما نتقاطع كثير لكثرة العمل بين الاقسام المختلفة. 
</t>
  </si>
  <si>
    <t>jaZ6pj4</t>
  </si>
  <si>
    <t>XkjjlY</t>
  </si>
  <si>
    <t xml:space="preserve">سليمان صبحي </t>
  </si>
  <si>
    <t>حتى هذه اللحظة لا.</t>
  </si>
  <si>
    <t xml:space="preserve">لا، لأنه دائما متواجد في الخدمة متى ما احتجته. </t>
  </si>
  <si>
    <t xml:space="preserve">حتى هذه اللحظة لا. 
بسبب انه داعم لي في اغلب المشاريع، ويشاركني مرئياته باستمرار. </t>
  </si>
  <si>
    <t>EkKW2kX</t>
  </si>
  <si>
    <t>VBY0bN</t>
  </si>
  <si>
    <t>مهند باعارمه</t>
  </si>
  <si>
    <t>موفق واضح جدًا والأولويات بشكل عام واضحة بالنسبة لي</t>
  </si>
  <si>
    <t>مايقصر موفق ومستهدفاتي الشخصية واضحة لي ورح تطورني وتخليني أجرب اشياء أكثر</t>
  </si>
  <si>
    <t>شكرًا لك 🫶</t>
  </si>
  <si>
    <t>حبيبنا موفق لا تزعلوه 🤓</t>
  </si>
  <si>
    <t>Gx6dDMQ</t>
  </si>
  <si>
    <t>bXBBd1</t>
  </si>
  <si>
    <t>جمال كتبي</t>
  </si>
  <si>
    <t xml:space="preserve">موفق يصعّب عليك مرئيات التطوير، مثلا هو مميز في تبسيط الأفكار الفنية جدا وترجمتها لأسلوب تنفيذ، ودي انه يزيد واقعية واختبار الرؤى الفنية اللي نشتغل عليها.
</t>
  </si>
  <si>
    <t>هي كلها 10 من 10 بسبب أني الآن صرت أفضل في نقاط التقييم أعلاه، بفضل الله ثم البيئة والتواصل الجيد اللي بيني وبين موفق،
صرت أكثر انفتاحًا وطلبا للمشورة.
طريقة العمل تسهّل عليك إنجاز المهام الكبيرة؛ بما أني مدرك التوقعات تماما.
حتى صارت عادة بيني وبين موفق:
يدخّلني المشروع، ونتقابل بعد ما نفكر ونصور ونحرر، ونتفق على نفس الإيجابيات والسلبيات.</t>
  </si>
  <si>
    <t>تحديدا الأخيرة، في قرارات مهمة ولها انعكاس إيجابي على حماسنا لما تتم بالمشاورة، وهذه نقطة جيدة عند موفق.
أذكر موقف جميل، كان عندي تصوير في جنوب جنوب الرياض، لفلم آخر أغا — جاء وتعنّى حتى يحضر ويشجع ثم ودّعنا وكتب في دردشة المشروع كلمتين طيبة لي وللفريق 🙏🏼
عندي فكرة جانبية ممكن نجربها:
ودي نلتقي أكثر كفريق حتى لو كاجوالي، لأننا مخرجين وكل واحد فينا غرقان في مشاريعه، وصعب يتقاطع مع الآخر — الأكيد أننا بنتواصل بشكل فردي وأحيانا يومي، لكن ماقد اجتمعنا سوا.</t>
  </si>
  <si>
    <t>ساعات أتفرج على الشغل اللي يعمله، وتجيني رغبة في معرفة الكواليس وكيف يكون هو في وقت التصوير — يعجبني ستايله في اللقطات، تحديدا شغل الإعلانات.
لكن بيجي اليوم اللي ننزل ست يكون هو مخرجه.</t>
  </si>
  <si>
    <t>aQ96a09</t>
  </si>
  <si>
    <t>x0o5Qy</t>
  </si>
  <si>
    <t>وهاب</t>
  </si>
  <si>
    <t>ميسم المنيع</t>
  </si>
  <si>
    <t xml:space="preserve">لو تقدري توضحي أكثر في كل المهام الجوهرية اللي تسنديها، يعني في بعض الأحيان نضيع في التفاصيل او نصير مو متأكدين من الهدف النهائي. كلما كان التوجيه أوضح، كلما كانت النتائج أفضل.
تحديد الأولويات بشكل منطقي، يعني، نقدر نعدل الأولويات على حسب الظروف بدل ما نكون دايمًا متمسكين بنفس الخطة مهما كانت الظروف.
عادي تكون الأهداف طموحة، لكن بواقعية، يكون أفضل للفريق عشان نعرف نحقّقها، وبنفس الوقت نبقى دايمًا متحفزين للإنجاز.
القرارات لو تكون واضحة وصريحة وتشرح لنا الأسباب، نكون أكثر تجاوبًا معها، ونعرف كيف نساهم فيها.
</t>
  </si>
  <si>
    <t>أنا أحتاج استقلالية أكبر، لكن هذا ما يعني حرية تامة ولا إدارة مجهرية. التوازن مطلوب. لو كان كل شيء مفتوح بدون توجيه واضح، هذا يخليني أضيع بين الأولويات اللي عندنا. وفي نفس الوقت، لو كل قرار لازم يتم بطريقتك أنتِ، هذا يلغي دور خبرتي، خصوصًا في الأمور اللي أعرف تفاصيلها أكثر من غيري وأقدر أقرر فيها بشكل أسرع وأدق. الأفضل يكون في وضوح وتواصل يخليني أتحرك بثقة، وأعرف متى أقرر بنفسي ومتى أرجع لك.
إذا كان في توجيه مباشر لتوزيع المهام، يعني مش كل مرة لازم نكون في حالة ضياع، خاصة في المشاريع الكبيرة. يُفضل لو تكون الأمور أكثر تنظيماً.
خلّي الدعم والاستشارة مش بس لما نطلبها، يكون في تفاعل أكثر في كل مرحلة من مراحل العمل.
وعيك بمشاعر الفريق مهم جدًا، كأنك تكوني جزء مننا. وليس مجرد مدير من بعيد يطلع وقت المصائب.</t>
  </si>
  <si>
    <t>معنويات الفريق مهمة جدًا، وما فيه شيء أجمل من لما تحفزينا وتكوني معنا في كل خطوة. لما يشعر الفريق بالتقدير، رح ينعكس هذا على الإنتاجية.
التعاون يكون أساسي في فريق ناجح، يعني لو يكون فيه تناغم بيننا، بنقدر ننجز أسرع وبأفضل جودة.
يا ليت لو نكون جزء من عملية اتخاذ القرارات، لما نشعر إننا مشاركين معك بيزيد حافزنا ويكون عندنا مسؤولية أكبر.</t>
  </si>
  <si>
    <t xml:space="preserve">الملاحظات البناءة هي الطريق الأمثل لتحسين قيادتي. لما تكون الملاحظات متواصلة وواقعية، نقدر نركز على تطوير الجوانب اللي محتاجة شوية شغل. مش لازم تحفزيني فقط، بل تسهلي علي التفكير وتشجعيني على تقديم أفكار جديدة وأستبق المشاكل بالحلول. </t>
  </si>
  <si>
    <t>أنتِ مديرة، مديرة لأهم قادة الإنتاج، وهذا مو بس منصب إداري، هذا دور يتطلب حضور حقيقي وفهم عميق لاحتياجات الفريق. شخصيا أحتاج أشعر إنك ظهر لنا، مش بس شخص يوزع مهام ويتابع تنفيذها. لما تصير خلافات بيننا كقادة، الطبيعي إنك تكوني الشخص اللي نلجأ له عشان تحلّي الأمور،  مو تكوني شخص يراقب من بعيد أو ينقل الكلام بين الأطراف بدون ما يكون في تدخل حقيقي لحل الخلافات. لما الإدارة تكون وسيط يساعد على التفاهم، الفريق يقوى، لكن لما تصير عامل يزيد التوتر، الأمور تصير أصعب على الكل.
وإذا كان في أي خلاف بيني وبينك، الأفضل إنها تُناقش بشكل مباشر. لما ما يكون فيه مواجهة أو وضوح، هذا يخليني أشعر بعدم الارتياح ويطرح تساؤلات عن مدى ملائمة أسلوب إدارتك لي. المدير الناجح هو اللي يفتح حوار، يسمع، يناقش، ويوصل لحلول، مو اللي يترك الأمور عالقة أو تتعقد مع الوقت وينتهي بها الحال حبيسة نفس.</t>
  </si>
  <si>
    <t>مديري المباشر مسؤولة عن قادة الإنتاج، وأي خلل في إدارتها ينعكس بشكل مباشر على جودة العمل والروح العامة للفريق. الإداري المفروض يكون عنصر دعم وتوجيه، مش مجرد مشرف على تنفيذ المهام. لما يكون القائد بعيد عن فريقه، وما يعرف كيف يحتوي الخلافات، تصير بيئة العمل مليانة توتر وسوء فهم، وهذا بالضبط اللي قاعد يصير. بدل ما تكون عنصر تهدئة وإصلاح، أحيانًا تكون عنصر يزيد التوتر بين الفريق، وهذا شيء خطير في بيئة إنتاج تعتمد على التعاون المستمر.
غير كذا، لما يكون في أي خلاف أو سوء فهم، ما في مواجهة مباشرة، كل شيء يصير بشكل غير واضح، وهذا يخلق جوًّا من الغموض وعدم الأمان الوظيفي. أنا شخصيًا أشعر إن استمراري تحت إدارتها بهذا الشكل راح يكون صعب، وإذا ما صار تغيير واضح في طريقة إدارتها، بيكون من الصعب علي التأقلم أو العطاء بنفس الكفاءة.
أنا ما أقول إنها سيئة، أبدًا. بالعكس، يغلب عليها الإحسان في تعاملها، وهذا شيء يُشكر. لكن في النهاية، إحنا بشر، والكمال مو لأحد، الكمال للّه وحده. الفرق بين المدير اللي يتطور واللي يثبت مكانه هو قدرته على تقبّل الملاحظات والتعامل معها بعقلية النمو. المشكلة تبدأ لما الواحد يظن إنه بمجرد ما وصل لمنصب معين، فهو اكتفى، وصار فوق النقد، وكأن أي ملاحظة عليه تُعتبر انتقاص. هذا التفكير غير صحيح، ولا أعتقد إنه يشبه ثقافتنا، لا في العمل ولا حتى في الحياة. شخصيًا، منهجي إن الإنسان يظل يتطور، يسمع، ويأخذ خطوة للأمام بدل ما يبني حوله جدار يعزله عن فريقه. 
في النهاية، الإدارة الفعالة مو مجرد قرارات وتنظيم، هي فن في خلق بيئة صحية تعزز الإنتاجية، مو بيئة تزيد التوتر والانقسامات.</t>
  </si>
  <si>
    <t>yPMlZOg</t>
  </si>
  <si>
    <t>YXAXJ5</t>
  </si>
  <si>
    <t>محمد باحسن</t>
  </si>
  <si>
    <t xml:space="preserve">الإنتاج بالمجمل لا يخلوا من تحديات او قد يكون اصل فيه ببعض الحالات
وحتى نضمن عجلة انتاج مرنة، قد يكون من المهم عند توجيه المهام، ان يتم اعطاء او وضوح في الصلاحيات والميزانيات، والتي بمقام ادوات اساسية، لا بد منها
</t>
  </si>
  <si>
    <t>كل التوفيق والسداد</t>
  </si>
  <si>
    <t>GaJld2</t>
  </si>
  <si>
    <t>أيمن خالد</t>
  </si>
  <si>
    <t>في أمور اتفهم انها صعب تتوضح بالذات ان طبيعة عمل الإنتاج تعتمد على الطوارئ ولكن في جانب كبير بالإمكان ضبط الأولويات والتوقعات فيه وننجز مشاريعنا على وضوح بيّن</t>
  </si>
  <si>
    <t>يمكن جزئية تفهم مشاعر الفريق او من نعمل معهم ونتقاطع معهم نحتاج نركز في الذكاء العاطفي معهم ونتفهمهم اكثر وما ننظر دائماً الامور من جهتنا ونغض الطرف عن طرفهم</t>
  </si>
  <si>
    <t>جانب يحتاج له الكثير والكثير من التحسين</t>
  </si>
  <si>
    <t>الحمدلله أشعر اني تحت قيادة ميسم اني مستقل دائماً بكل شيء وهذا أمر ايجابي فعلاً حقيقي
لكن السلبي هو انك تنطلق خلال السنة بين المشاريع وتتفاجئ ان مافي احد خلفك يسندك ويطورك ويشير عليك بجوانب الضعف الي تحتاج تطوير لين تتفاقم بعض السلبيات وندخل في مرحلة اللوم مين المتسبب؟</t>
  </si>
  <si>
    <t>اتفهم كثرة المسؤوليات على عاتق ميسم لكن ضروري جداً انها تتخفف وتنظر للفريق وتكون معهم وما نوصل لمرحلة نحس ان ميسم في عالم ثاني مختلف عن عالمنا الاستقلالية بشكل مُطلق شيء ممتاز وجميل لكن ماهو مناسب للجميع ولا مناسب لجميع الظروف في تحديات كثيرة نحتاج نكون في صف بعض فيها والمهمة ماهي سهلة بالطبع</t>
  </si>
  <si>
    <t>يمكن الكثير من التناقضات في التقييم لكن أقدر أجزم شخصياً ان ميسم هي انسب مدير لي شخصياً يمكن فترات اختلافنا اكثر من اتفاقنا لكن مافي احد عملي ويبذل كل طاقته في العمل مثل ميسم وانا شخصياً احتاج هذا المدير بشكل فعلي
ملاحظة أخيرة للموارد البشرية:
قسم المُنتجين يحتاج شخص يديره بشكل فعلي الفراغ الحالي سلبي عالقسم</t>
  </si>
  <si>
    <t>RZpMOJ</t>
  </si>
  <si>
    <t>محمود أبو ندى</t>
  </si>
  <si>
    <t xml:space="preserve">تواصلي بشكل مستمر مع الفريق، نراجع الأهداف، وطريقة سيرها. </t>
  </si>
  <si>
    <t xml:space="preserve">التواصل معك سلس ودائمًا يكون مفيد وذو نتائج، لكنه ينقطع أحيانًا. </t>
  </si>
  <si>
    <t xml:space="preserve">شاركي وشاوري فريقك أكثر في القرارات والمهام المتقاطعة مع الفرق الأخرى. </t>
  </si>
  <si>
    <t xml:space="preserve">شاركي فريقك من فترة لآخرى مرئيات حول أعمالهم، حلقة أعجبتك؟ فيديو ما عجبك؟ مهمة حبيتي إحسانهم فيها..إلخ.. 
</t>
  </si>
  <si>
    <t xml:space="preserve">ثقتك بالفريق تعطيني قوة ومساحة للإبداع والإحسان، وليستمر هذا، على الثقة أن تتجدد دائمًا. </t>
  </si>
  <si>
    <t>لا يوجد :)</t>
  </si>
  <si>
    <t>Np5WG2l</t>
  </si>
  <si>
    <t>d4VlJd</t>
  </si>
  <si>
    <t>محمد هاني</t>
  </si>
  <si>
    <t>خطة الإنتاج طوال السنة هي أهم خطة، لبناء توقعات صحيحة وهدف واضح نسعى خلفه للوصول.</t>
  </si>
  <si>
    <t>أشعر توزيع الأدوار هي منطقة فضفاضة عندنا، ماذا لو قدرنا نفكر بها بشكل مختلف؟</t>
  </si>
  <si>
    <t>كثير مشاريع نقرر فيها ونعتمدها فجأة ثم أعمل عليها بشكل مستقل.</t>
  </si>
  <si>
    <t>ما عندي مرئيات تتناسب مع هذه المساحة.</t>
  </si>
  <si>
    <t>الضغط اللي يواجهكم ملحوظ، والتحديات كبيرة، بس دائمًا لو تشاركونا تحدياتكم ونكون معكم في الصورة، بيساعدنا نفكر في حلول وطرق جديدة تساعد على تجاوز التحديات، وخلق آليات عمل تسهل العمل على الفريق كله، استثمري وقت في اجتماعات قصيرة كل فترة، نتناقش فيه عن الجو العام والتوجه اللي بنمشي فيه، أعتقد هذه الاجتماعات القصيرة بيكون لها أثر كبير، وأكيد نراعي الوقت فيها، وتكون محددة ومركزة.</t>
  </si>
  <si>
    <t>أعتقد مديري يواجه تحديات كبيرة مع إلتزام فريق المحتوى، وضغط كبير في المستهدفات.</t>
  </si>
  <si>
    <t>J9K0VWK</t>
  </si>
  <si>
    <t>0bpo56</t>
  </si>
  <si>
    <t>غيداء التميمي</t>
  </si>
  <si>
    <t>لخصتها بشكل موجز في المرئيات العامة.</t>
  </si>
  <si>
    <t xml:space="preserve">احترت لو أكتب هذه المرئيات هنا أو في مجموعة معيّنة، لكن حقًا أقدر الثقة والاستقلالية كثيرًا، فشكرًا على ثقتك ودعمك فيها. 
أشعر أننا نحتاج نركز أكثر في منطقة التطوير أو الأهداف بشكل عام، لو نجلس بين فترة وأخرى نراجع فيها الفترة الماضية ونحدد أهداف الفترة القادمة، قد تكون هذه أهداف تطويرية للشخص نفسه أو أهداف القسم بحيث يكون عندنا فكرة عن إيش أهدافنا للسنة لكل ربع والسنة بشكل عام، سواءً من ناحية المهام أو التطوير.
من ناحية التطوير، ممكن التنويع في المشاريع أو المهام بحيث يعطي فرصة لتنويع التطوير مثلًا وقد يعطي الفريق فرصة أنه يعرف اختلافات المشاريع واختلافات تحدياتها وتوسع دائرة تجاربهم.
</t>
  </si>
  <si>
    <t>Gxv0GXo</t>
  </si>
  <si>
    <t>GaLbkj</t>
  </si>
  <si>
    <t>جميل عبدالأحد</t>
  </si>
  <si>
    <t>الأولويات واضحة، لكن يكون أجمل لو يتم مشاركة الميزانيات مٌسبقاً لكل مشروع بشكل أوضح من قبل البدء بالمشروع ليساعد في التخطيط المسبق.</t>
  </si>
  <si>
    <t>أرشح يكون عندنا اجتماع مرة او مرتين في الشهر مع باقي القادة في الانتاج بحيث نعرف المستجدات ونشارك التحديات. والأهم اننا نطلع بحلول للتحديات.
عند تقصير أحد الموظفين ورفضه إنجاز مهامه، يفضل التواصل معه وتوضيح مهامه وأولوياته، ولا نكتفي بإزالته من المشروع بحيث تكون أشبه بـ "مكافأة" له وينضغط باقي الفريق في محاولة إنجاز مهامه. لأنه بهذا الشكل يزداد ثقة أنها لم تكن أولوية له من الأساس.</t>
  </si>
  <si>
    <t>أشوف يكون جيد ان الفريق يعيش تجارب منوعة بين الأفلام والإذاعة ليكتسب خبرة متنوعة.
وممكن ترشيح ورش عمل وترتيب العمل بحيث الفريق يقدر يحضر هذه الورش.</t>
  </si>
  <si>
    <t>xXxZq7k</t>
  </si>
  <si>
    <t>QpbReA</t>
  </si>
  <si>
    <t>انوار</t>
  </si>
  <si>
    <t>نواف قوارش</t>
  </si>
  <si>
    <t>- بحكم أن قسمنا سريع التغييرات نتوقع عدم وضوح المتطلبات والأدوار أحيانًا، لكن أتمنى التركيز على نقاط قوة كل شخص ونضع أولوياته بالمهام بناءً عليها.</t>
  </si>
  <si>
    <t>- أتمنى الإندماج أكثر مع أعضاء الفريق بين فترة وأخرى لندعم التواصل الفعال ونتعرف أكثر على أدوار كل فرد بحيث لو احتجنا دعم في يوم، نعرف نفيد بعض.</t>
  </si>
  <si>
    <t>- بشكل عام أتمنى إشراك الفريق أكثر في مهام تبين قدرتهم على التفكير والمشاركة في الرأي مادامت تخص قسمنا وفريقنا، بالتالي رح نوصل أكثر من فكرة للقائد ونجعل إتخاذ القرار أسهل وأقوى + رح نكون بالصورة كلنا كفريق لأي تغيير بالقسم أو تحديث من البداية بسبب أننا شاركنا في الموضوع الفلاني.
(القرارات ممكن تطلع من أبسط فكرة، ومن أهدى صوت).</t>
  </si>
  <si>
    <t>التواصل الدوري أعتقد رح يساعد في تطويرنا كلنا، نفهم أفكار بعض وأسلوبهم في التواصل وبالتالي العمل رح يصير أسهل للجميع.</t>
  </si>
  <si>
    <t>للأمانة الموضوع مايخص مديري، ولكن أحتجت أكتب هالمعلومة هنا بما انه يوجد مجال أمامي.
في كثير من الأحيان ما أشعر ان المهام اللي تجيني تساعد في تطويري أو تنقلني من مكان لمكان، وهذا الشعور لأنه صار كثير فأكيد أنه مؤشر غير جيد. إما أنها أدنى من إمكانياتي«بمعنى أقدر أقدم أكثر» أو لعله ليس مكاني اللي رح أبرز فيه قوتي وأفيد فيه أكثر.
هذا الشيء يحسسني بالإحباط بين فترة وفترة.</t>
  </si>
  <si>
    <t>JxQedo</t>
  </si>
  <si>
    <t>رفقه ماجد الهليس</t>
  </si>
  <si>
    <t>لا يوجد كل شي في السليم بحول الله</t>
  </si>
  <si>
    <t>الحمدلله أشوف نواف متفهم ويحسن توزيع المهام وفهم الفريق</t>
  </si>
  <si>
    <t xml:space="preserve">أشوفه يثق في قدرات الفريق الحمدلله وموضوع المشورة شاركنا أكثر من مرة </t>
  </si>
  <si>
    <t>يمكن الفترة قصيرة بس الحمدلله أشوف أنه مبسوطة 
مع الفريق والمرئيات الي تجيني من نواف تساعدني أتطور ومنطقية 🙏</t>
  </si>
  <si>
    <t>1APPRYQ</t>
  </si>
  <si>
    <t>eGZL0x</t>
  </si>
  <si>
    <t>أريج المصطفى</t>
  </si>
  <si>
    <t>غالبًا كل شيء واضح قبل ما أسأل عنه حتى، ويساعدني أعرف أيش المتوقع مني بشكل دوري.</t>
  </si>
  <si>
    <t>.</t>
  </si>
  <si>
    <t>شخصيًّا، أتمنى لو كان فيه طرق أو مهام أكثر تساعد على التطوير والانتقال من مستوى لآخر.</t>
  </si>
  <si>
    <t>مدير كفو، يساعدك في كل كبيرة وصغيرة، يحترم جهودك ويقدرها ويساعدك تتطور دائمًا.</t>
  </si>
  <si>
    <t>PdjjPYb</t>
  </si>
  <si>
    <t>4DLMYA</t>
  </si>
  <si>
    <t>محمد جعفر</t>
  </si>
  <si>
    <t>وديان بحه</t>
  </si>
  <si>
    <t>مهم أن يكون في مستهدفات فرعيّة غير الوصول، نقيس فيها أداء الفريق.</t>
  </si>
  <si>
    <t>ساعات تكوني واثقة في الفريق وساعات تكوني مديرة بشكل دقيق، وأحس إن هذا الشيء يسبب ربكة.</t>
  </si>
  <si>
    <t>نقلل من حدّة الزفّ شويّ بس هههههه. اللطف واللين حلو.</t>
  </si>
  <si>
    <t>أحس عندك خبرة للحين ما شفناها بسبب الضغط، ودّي أتعلم منك أكثر.</t>
  </si>
  <si>
    <t>تراك مثابرة، وأتمنى إن الكلّ شايف إنك تعطين من قلب وباللي تقدرين عليه. واصلي. 🫶🏼</t>
  </si>
  <si>
    <t>2g4xBb</t>
  </si>
  <si>
    <t>RGdeG5Q</t>
  </si>
  <si>
    <t>وديان واضحة وتعطي ترتيب الأولويات أولوية غالبًا 🫶</t>
  </si>
  <si>
    <t xml:space="preserve">أشوف أمورنا في السليم </t>
  </si>
  <si>
    <t xml:space="preserve">أدري بيبان إني أسلك بس صدقًا راح أظلم وديان لو حطيت أقل </t>
  </si>
  <si>
    <t xml:space="preserve">شكرًا لأنك دايمًا معانا ونحسك مننا، أظن أنه المدير الرهيب هو الي ما يحسسك أنه مدير -من تجاربي- </t>
  </si>
  <si>
    <t>rjBZE0L</t>
  </si>
  <si>
    <t>MlgRMl</t>
  </si>
  <si>
    <t>فايز القرني</t>
  </si>
  <si>
    <t>أحيانًا صعب أنك تعرفين كل ما يدور في كل مهمة من مهام الفريق، أتفهم.
لكن، أحيانًا أشعر أنك تعطين مهام ومهام أخرى، في نفس الوقت، وتطلبينها في نفس الوقت، أو في أوقات متداخلة مع مهام أخرى؛ شخصيًا هذا يوتّرني.
بدل من هذا ممكن تسألين عن تاريخ أنا أعطيه أكثر، فأصير أعطي تاريخ، توافقينه، أو تفاوضين فيه، يمكن ما ألتزم ههه، بس أنه يصير إلتزام علي أني أعطي تاريخ واقعي بالنسبة لي، وأنا اللي أعطيته فالمفروض ألتزم به.
وأيضًا في الوضوح أحيان كثيرة أشعر أن الفكرة الكبرى غائبة من المهام، تمام فيه تقسيم أرقام ونسب، لكن ماذا يعني كل هذا؟ ليش ودّي أحقق هذه الأرقام والنسب؟ ليش أقوم من النوم و أتجه للعمل لتحقيق هذه النسبة.</t>
  </si>
  <si>
    <t>أدري أنك تستعملين المنشن على المهام غالبًا للتذكير، بس أنه غالبًا يصير اعتمادي عليها عشان أسويها، فأصير أستنى منشن وديان عشان أسوي المهمة.
بدل من هذا ممكن تجرّبين المراجعة الأسبوعية في ظني، أخطر لي، أخطر للمنتجات، بس أريح لي وأريح لك، وتعطي حس بالمسؤولية أكثر.
أيضًا أحيانًا لإحساس اللي يجيني المنشن يسأل عادةً «ليش؟» بدون ما يكون فعلًا يسأل ليش؛ يمكن فيه «ليش» فعلًا.</t>
  </si>
  <si>
    <t>على المشاورة، الإحساس اللي يجيني هو أنك تعطين المهام على شكل مشاورة لكنها ليست فعلًا مشاورة ههههه.
في أغلب الأحيان تكونين مقررة، مع أطراف أخرى، فليش نتشاور؟
وأظن المشاورة معنا قبل اتخاذ القرار مع الأقسام مهمة؛ موب لاز تأخذين بمشاورتنا بس تعرفين كيف ممكن يعمل هذا الفريق مع هذه المهمة.</t>
  </si>
  <si>
    <t>ما عندي شيء.</t>
  </si>
  <si>
    <t>pbdEBEy</t>
  </si>
  <si>
    <t>8y79kA</t>
  </si>
  <si>
    <t>القاسم</t>
  </si>
  <si>
    <t xml:space="preserve">مديري طور من آلية العمل، ونحتاج نضبط الآلية أكثر بحيث كل مدير منصة لديه مستهدفات أسبوعية أكثر وضوحًا، وتضمن أهداف فرق الإنتاج والأعمال مع مستهدفات التسويق.
</t>
  </si>
  <si>
    <t xml:space="preserve">مديري شعلة من الطاقة فقط نحتاج العودة إلى الخلف ومراجع طريقة العمل بشكل دوري، ونعمل على تحديثها وتحسينها، بحيث يزيد الإنتاجية حتى لو لم تكن منخفضة.
</t>
  </si>
  <si>
    <t>بصراحة هناك تطور في قيادة الفريق منذ بداية مديري العمل وحتى اليوم، نحتاج تعزيز الإيجابية مع الواقعية، لأن بعض الموظفين يستغل هذه النقاط، ويكون الأداء أقل من المتوقع بكثير.</t>
  </si>
  <si>
    <t>نحتاج بشكل دوري نراجع بعض المحتوى التسويقي لكي يحقق نتائج أفضل، لأن بعض المحتوى لا يحقق مستهدفاته، ويحتاج إلى مراجعة وتطوير.</t>
  </si>
  <si>
    <t xml:space="preserve">للأمانة مديري في تغير مستمر على نحو إيجابي في إدارة الفريق، وتكيف على نحو سريع مع المجموعة، وساعد على نمو أداء الفريق.
</t>
  </si>
  <si>
    <t>يا موارد بشرية فريق التسويق ليس فريق جانبياً، بل هو فريق يدخل مع فرق الإنتاج والأعمال إلى حد بعيد، لذلك مع نمو الإنتاج نحتاج نمواً أكبر في التسويق، والنمو لا يحدث بدون موارد بشرية.</t>
  </si>
  <si>
    <t>Y5jdLNz</t>
  </si>
  <si>
    <t>القائد</t>
  </si>
  <si>
    <t>📈 نقاط القوة</t>
  </si>
  <si>
    <t>📉 نقاط الضعف</t>
  </si>
  <si>
    <t>✅ التوصيات</t>
  </si>
  <si>
    <t>👥 الفريق المثالي</t>
  </si>
  <si>
    <t>🛠️ خطوات عملية</t>
  </si>
  <si>
    <t>📊 مقارنة بـ 2024 وباقي القادة</t>
  </si>
  <si>
    <t xml:space="preserve"> أسيل باعبدالله</t>
  </si>
  <si>
    <t>1. أسلوب تواصلي إيجابي ومحبب للفريق.
2. حضور واضح كقائدة ملهمة وليس مجرد مشرفة.
3. تتميز بحماس ونشاط دائم ينعكس على طاقة الفريق.
4. قادرة على التعامل مع ضغوط العمل.
5. تقدّر أعضاء الفريق وتشكر جهودهم.
6. تفتح الباب للتطوير وتقبل النقد بصدر رحب.</t>
  </si>
  <si>
    <t>1. تدخل مفرط في تفاصيل يومية، يخلق ضغطًا على الفريق.
2. تذبذب في ترتيب الأولويات، مما يربك الموظفين.
3. غياب التوثيق والمرجعية الواضحة للقرارات.
4. لا توجد جلسات دورية كافية مع الموظفين لمراجعة الأداء.
5. تعليقات متكررة عن قلة الثقة في الفريق رغم النوايا الطيبة.
6. الفريق يشعر أنه يُعامل وكأنه "مبتدئ" طوال الوقت.</t>
  </si>
  <si>
    <t>1. تقليل التدخل في المهام التفصيلية بعد التفويض.
2. بناء هيكل واضح للأولويات الشهرية.
3. جلسات 1:1 دورية مع كل موظف.
4. كتابة وتوثيق المشاريع والمهام في Basecamp.
5. تعيين مساعد/منسق مشاريع يخفف الضغط عنها.
6. ضبط سقف التوقعات الواقعي، وتوضيحه مسبقًا.</t>
  </si>
  <si>
    <t>- فرق صغيرة مبدعة تحتاج إلهامًا وليس إدارة مباشرة.
- يجب وجود مدير مشروع/منسق يساعدها في المتابعة اليومية.</t>
  </si>
  <si>
    <t>1. اجتماع شهري لمراجعة الأولويات الجماعية.
2. تخصيص وقت أسبوعي للمرئيات الفردية.
3. تفويض جزئي لمهام التشغيل مع مراقبة النتائج فقط.
4. استخدام وثائق Google واضحة لمهام كل شخص.
5. تخصيص ساعة أسبوعيًا لتوثيق ما تم وما هو قادم.
6. توزيع المهام حسب مبدأ الثقة لا الرقابة.</t>
  </si>
  <si>
    <t>- تراجع في تقييمها مقارنة بـ 2024.
- تعاني من نفس نقاط الضعف التي اشتكى منها الفريق سابقًا.
- مقارنة بأنس أو عبدالوهاب، تقييمها أقل بسبب الضغط والإرباك اليومي للفريق.</t>
  </si>
  <si>
    <t>1. محبوب جدًا من الفريق.
2. يجيد تحفيز الموظفين بشكل غير مباشر.
3. يتعامل بود واحترام حتى في أوقات التوتر.
4. واضح في التعليمات ومهتم بالجودة.
5. يخلق مساحة نفسية مريحة للأفكار.
6. يعامل الجميع على قدم المساواة.</t>
  </si>
  <si>
    <t>1. قد يكون مفرطًا في "اللطف" ما يسبب ترددًا في الحزم.
2. مساحة التجريب والابتكار خارج الخطة الرسمية قليلة.
3. بعض الأفراد يشعرون أن “المثالية” تعيق سرعة القرارات.
4. لا يوجد دائمًا مرجعية واضحة للمهام.
5. محدودية التوجيه المكتوب.
6. عدم وضوح في بعض الحدود الإدارية بين الفريق والمدير.</t>
  </si>
  <si>
    <t>1. إدخال أدوات توثيق للقرارات والتوجيهات.
2. تشجيع الفريق على التجريب خارج الخطة.
3. تعزيز مفهوم "الخطأ الآمن" لتقليل الخوف من المخاطرة.
4. زيادة التواصل الكتابي للمشاريع.
5. مراجعة شهرية لكل عضو لمعرفة العقبات.
6. تدريب أحد الفريق على أن يكون مساعده التنفيذي.</t>
  </si>
  <si>
    <t>- فرق تعتمد على الثقة والانضباط الذاتي.
- موظفون مبتكرون يفضلون بيئة لا مركزية.</t>
  </si>
  <si>
    <t>1. تخصيص مساحة أسبوعية للاقتراحات الخارجة عن الخطة.
2. توثيق المهام الرئيسية في لوحة Trello أو Google Sheet.
3. استخدام رسائل Basecamp للرد على الاستفسارات المتكررة.
4. تدريب أعضاء الفريق على اتخاذ قرارات مستقلة.
5. تعيين قائد ثانوي لكل مشروع لتقليل الاعتماد المباشر عليه.
6. جلسة ربع سنوية للتغذية الراجعة الصريحة مع الفريق.</t>
  </si>
  <si>
    <t>- تراجع طفيف عن 2024 لكنه ما زال الأعلى في “الثقة”.
- أفضل مدير من حيث “الراحة النفسية” مقارنة بالآخرين.</t>
  </si>
  <si>
    <t>1. ملهم وذكي وله نظرة استراتيجية قوية.
2. يعطي مساحة للرأي والنقاش.
3. يعبر عن رؤيته بشكل واضح.
4. يحفز الناس بأسلوب غير مباشر.
5. يقدّر العاملين معه ويحترمهم.
6. مرن وقابل لتعديل الآراء.</t>
  </si>
  <si>
    <t>1. التوقعات غير المعلنة تربك الفريق.
2. تغييرات مفاجئة دون تهيئة أو شرح كافٍ.
3. التوجيه غالبًا شفهي وغير موثق.
4. يترك بعض التفاصيل معلقة دون مسؤول واضح.
5. الفريق أحيانًا "يحاول يقرأ النية".
6. التعامل غير المنتظم في إدارة المشاريع.</t>
  </si>
  <si>
    <t>1. كتابة الخطة الكبرى مع أهداف ربع سنوية واضحة.
2. استخدام وسيلة واحدة للاتصال (Basecamp فقط).
3. تخصيص وقت دوري للإجابة على تساؤلات الفريق.
4. تقليل تغيير المسار بدون نقاش مسبق.
5. تكوين مجلس مصغّر يساعد في نقل الرؤية.
6. تعيين مدير مشروع يترجم الرؤية اليومية للفريق.</t>
  </si>
  <si>
    <t>- فرق ناضجة فكريًا، تعتمد على توجيه إستراتيجي لا يومي.
- تحتاج وسيط إداري بينه وبين المنفذين.</t>
  </si>
  <si>
    <t>1. إرسال ملخص أسبوعي للقرارات والتغييرات.
2. اعتماد قالب وثيقة “رؤية المشروع” لأي فكرة جديدة.
3. عقد جلسة “أسئلة مفتوحة” شهرية مع الفريق.
4. تدريب مدير مشروع مساعد لتقليل الحيرة.
5. هيكلة مراجعات ربع سنوية للأداء والاتجاه.
6. تقليل توجيه اللحظة، واستبداله بتوجيه مكتوب.</t>
  </si>
  <si>
    <t>- تراجع واضح عن 2024.
- فقدان الوضوح هو العامل الأبرز في التراجع.
- من أعلى المدراء في التأثير، لكن من الأقل وضوحًا.</t>
  </si>
  <si>
    <t>1. حريص على التوثيق والمراجعة.
2. يقدّر العمل الجيد ويشكر عليه.
3. يُظهر انفتاحًا على الأفكار المختلفة.
4. يبني علاقات جيدة داخل الفريق.
5. يعمل بمرونة ويتفهم الظروف.
6. لديه حس تنظيم عالي في المشاريع.</t>
  </si>
  <si>
    <t>1. تأخر في الردود والتوجيه أحيانًا.
2. لا يتابع تفاصيل المهام بعد التفويض.
3. بعض الموظفين يشعرون بأنه "بعيد" عن التفاصيل اليومية.
4. لا يوضح المعايير التي يقيم عليها الفريق.
5. تباين في مستوى الدعم بين أعضاء الفريق.
6. يحتاج لمزيد من الحزم أحيانًا في مواجهة الأخطاء.</t>
  </si>
  <si>
    <t>1. وضع نظام متابعة أسبوعي ثابت للمهام.
2. تحسين سرعة الرد على استفسارات الفريق.
3. تحديد معايير واضحة للتقييم.
4. استخدام أدوات مرئية لمتابعة المهام.
5. مراجعة الأداء مع كل عضو شهريًا.
6. وضع خطة تطوير فردية لكل عضو.</t>
  </si>
  <si>
    <t>- فريق منظم، يحب الحرية التشغيلية، لكنه يحتاج وضوحًا في التوقعات.</t>
  </si>
  <si>
    <t>1. إرسال جدول أسبوعي لتوزيع المهام.
2. تخصيص وقت ثابت أسبوعيًا للرد على الفريق.
3. تصميم نموذج لتقييم الأداء داخل الفريق.
4. اعتماد Check-ins سريعة مع كل فرد.
5. تعيين مساعد إداري لمساعدته في المتابعة.
6. تخصيص وقت للملاحظات المكتوبة على Basecamp.</t>
  </si>
  <si>
    <t>- تقييم مستقر لكن يفتقر للتحفيز العالي أو الانتقاد الكبير.
- يعتبر من "المدراء الصامتين" مقارنةً بأنس أو عبدالرحمن.</t>
  </si>
  <si>
    <t xml:space="preserve"> فيصل الغامدي</t>
  </si>
  <si>
    <t>1. محترم في تعامله مع الجميع.
2. واضح في التوجيه.
3. يترك مساحة للفريق لاتخاذ القرار.
4. سريع في معالجة المشكلات.
5. يستوعب ضغوط العمل بهدوء.
6. يهتم بتطوير الأداء بشكل ملحوظ.</t>
  </si>
  <si>
    <t>1. بعض الأعضاء لا يفهمون الأولويات بدقة.
2. لا يشارك أهدافه طويلة المدى.
3. دعم محدود عند حدوث خلل كبير.
4. ردود متأخرة في أوقات الضغط.
5. لا يراجع خطط الفريق بشكل كافٍ.
6. يغلب عليه الأسلوب التنفيذي دون رؤية واضحة.</t>
  </si>
  <si>
    <t>1. إعداد خطة واضحة لمهام الفريق شهريًا.
2. تعزيز حضور القيادة بتوجيهات استراتيجية.
3. تخصيص وقت للملاحظات الجماعية المكتوبة.
4. التخفيف من الحمل التنفيذي بالاعتماد على الفريق.
5. إنشاء لوحة مهام واضحة للكل.
6. تقييم الأداء دوريًا بطريقة مفهومة.</t>
  </si>
  <si>
    <t>- فرق إنتاجية تعرف عملها، تحتاج وضوحًا لا متابعة مكثفة.</t>
  </si>
  <si>
    <t>1. إرسال قائمة أسبوعية بالمهام والأولويات.
2. فتح جلسة نصف شهرية للأسئلة المفتوحة.
3. إشراك الفريق في وضع خطط قصيرة المدى.
4. اعتماد Google Sheet مشترك للمشاريع.
5. اعتماد شخص مساعد لمهام التشغيل.
6. تصميم ملف رؤية شهري للفريق.</t>
  </si>
  <si>
    <t>- أداء متقارب مع 2024.
- من الأقل جدلًا، ومن الأقل تركيزًا في التعليقات.</t>
  </si>
  <si>
    <t>1. قائد ملهم بالفطرة.
2. دائم التشجيع ومُحب للفريق.
3. صادق في مرئياته ويدعم التطوير.
4.، يخلق بيئة محفزة وودية.
5. يشارك النجاح مع الفريق.
6. توجيهاته فعالة وغير متسلطة.</t>
  </si>
  <si>
    <t>1. خطر تحميله أكثر من طاقته.
2. أحيانًا يميل للاندماج في كل التفاصيل.
3. لا يضع حدودًا واضحة بينه وبين مهام الفريق.
4. كثرة الأدوار تقلل من فعاليته كقائد.
5. بعض الأعضاء لا يتلقون مرئيات كافية.
6. يحتاج فصلًا بين دوره الإداري والفني.</t>
  </si>
  <si>
    <t>1. قصر مهامه على الإدارة والتطوير، لا الإنتاج.
2. تعيين مدير تنفيذ تحت إشرافه.
3. توثيق المرئيات بعد كل مشروع.
4. جدول شهري للقاء الفريق حول الأداء.
5. التركيز على التخطيط أكثر من التشغيل.
6. توزيع المهام بشكل استراتيجي، لا عاطفي.</t>
  </si>
  <si>
    <t>- فريق متعدد المهارات بحاجة لقائد ثقافي وأخلاقي.
- يجب وجود قائد فني معه للجانب التشغيلي.</t>
  </si>
  <si>
    <t>1. تحديد سقف المهام المقبولة له.
2. تعيين مسؤول إنتاج يدير المصورين.
3. توثيق مراجعات الأداء نصف شهرية.
4. تقليل عدد المشاريع المفتوحة في وقت واحد.
5. تدريب نائب إداري يساعده في المتابعة.
6. التفرغ للجانب القيادي والتخطيط طويل المدى.</t>
  </si>
  <si>
    <t>- قفزة نوعية مقارنة بـ 2024.
- الأعلى في “الثقة” و“الدعم”، مع ملاحظات حول الإجهاد.
- مقارنة بالبقية: الأقوى عاطفيًا وإنسانيًا، يحتاج دعمًا إداريًا.</t>
  </si>
  <si>
    <t>1. يحب التطوير وتحسين آليات العمل.
2. منفتح للنقد والتعديل.
3. ملتزم بالنتائج النهائية.
4. يملك قدرة على رؤية التفاصيل.
5. مهتم بجودة الإنتاج.
6. يحاول دعم الفريق رغم التحديات.</t>
  </si>
  <si>
    <t>1. تدخّل في التفاصيل حتى بعد التفويض.
2. قرارات تتغير فجأة وبدون شرح.
3. الأولويات غير واضحة ولا يُراجعها دوريًا.
4. يراقب الفريق بطريقة تضيف توترًا.
5. المركزية والاعتماد على الذات في المتابعة.
6. لا يملك آلية تنظيمية ثابتة.</t>
  </si>
  <si>
    <t>1. وثّق الأولويات كل أسبوعين في ملف واضح.
2. بعد التفويض، راقب عن بعد ولا تتدخل إلا عند الخلل.
3. نظّم جلسات مراجعة سريعة (15 دقيقة) كل أسبوع.
4. استخدم أدوات مؤشرات الأداء لمتابعة النتائج بدون تدخل.
5. فصّل المهام الكبرى ووزع المسؤوليات بدقة.
6. راجع الهيكل الإداري لمشاريعك وتأكد أن لكل مشروع مديرًا واضحًا.</t>
  </si>
  <si>
    <t>- فرق إنتاجية عملية تحتاج توجيهًا واضحًا.
-ريشترط وجود تنفيذيين مساعدين لمتابعة التفاصيل.</t>
  </si>
  <si>
    <t>1. هيكلة ملف “أولويات الشهر” بصيغة قابلة للتعديل.
2. توثيق المهام لكل شخص أسبوعيًا.
3. تدريب مساعد مدير مشروع.
4. تقليل الاجتماعات الطويلة والتركيز على التحديثات المكتوبة.
5. استخدام Dashboards لمتابعة التنفيذ.
6. تخصيص ساعة أسبوعيًا فقط للتوجيه العام.</t>
  </si>
  <si>
    <t>- تقييم شبه ثابت منذ 2024.
- لم تحدث نقلة نوعية، لكن لا يزال الفريق يعاني من نفس المشكلة.
- مقارنة بالبقية: جيد في التحفيز، ضعيف في التنظيم.</t>
  </si>
  <si>
    <t>1. قيادي حازم وواضح في التوجيه.
2. يركز على النتائج.
3. سريع في اتخاذ القرار.
4. يهتم بجودة الإخراج النهائي.
5. دقيق في المواعيد والانضباط.
6. يعمل بهدوء دون توتر الفريق.</t>
  </si>
  <si>
    <t>1. لا يعطي مساحات كثيرة للحوار.
2. لا يشارك خلفية قراراته.
3. يفتقر لأسلوب التشجيع العاطفي.
4. قد يُشعر الفريق أنه تحت رقابة دائمة.
5. لا يستخدم التغذية الراجعة بشكل منتظم.
6. قلة في التواصل غير الرسمي.</t>
  </si>
  <si>
    <t>1. إضافة جلسات 1:1 شهرية.
2. مشاركة الرؤية خلف القرارات الكبرى.
3. استخدام أسلوب سؤال-جواب بدل إعطاء التعليمات فقط.
4. تشجيع الإبداع لا الالتزام فقط.
5. مشاركة الإنجازات مع الفريق.
6. جعل النجاح "جماعياً" وليس فرديًا.</t>
  </si>
  <si>
    <t>- فرق عملياتية، واضحة الهيكل، تحب العمل الدقيق وليس الإبداعي.</t>
  </si>
  <si>
    <t>1. تحديد أهداف قصيرة المدى واضحة مع الفريق.
2. فتح مساحة للحوار الشهري.
3. استخدام تقارير مرئية لعرض الأداء بدل النقد الفردي.
4. تخصيص وقت للإجابة على استفسارات الفريق كتابيًا.
5. استخدام استطلاع شهري سريع لقياس الرضا.
6. إتاحة التجريب مرة شهريًا في مشاريع غير رسمية.</t>
  </si>
  <si>
    <t>- تقييم متوسط، لا نقد حاد ولا مدح عاطفي.
- مقارنة بالبقية: قوي في النتائج، أضعف في المشاعر والمرونة.</t>
  </si>
  <si>
    <t>1. تتواصل بلطف واحترام.
2. تُظهر تعاطفًا وتفهمًا مع الفريق.
3. تهتم بالملاحظات وتسمع جيدًا.
4. تخلق بيئة آمنة للحوار.
5. تعزز الجانب الإنساني في الإدارة.
6. لا تفرض نفسها أو تتسلط.</t>
  </si>
  <si>
    <t>1. الحزم غير واضح في لحظات اتخاذ القرار.
2. أحيانًا تتردد في التدخل الحاسم.
3. الأولويات تتغير دون إشعار كافٍ.
4. مهام بعض الأعضاء غير واضحة.
5. بعض الفريق يشعر بالغموض في التوجيه.
6. ضعف استخدام الأدوات التوثيقية.</t>
  </si>
  <si>
    <t>1. توضيح مسؤوليات كل فرد في الفريق كتابيًا.
2. تعزيز الحزم وقت الخلل دون التنازل عن اللطف.
3. استخدام أدوات لإدارة الأولويات (Trello / Basecamp).
4. توثيق جميع النقاشات الكبرى.
5. تكرار الأهداف بشكل دوري أمام الفريق.
6. إدخال منهجية "ما تم/ما القادم" أسبوعيًا.</t>
  </si>
  <si>
    <t>- فرق حساسة أو جديدة، تحتاج دعمًا نفسيًا عاليًا وأسلوبًا إنسانيًا.</t>
  </si>
  <si>
    <t>1. فتح جلسة تقييم أداء شهرية مع الفريق.
2. تحديد أولويات مكتوبة أسبوعيًا.
3. اعتماد مرجع واضح للقرارات الرئيسية.
4. تدريب أحد الأعضاء ليكون منسقًا معها.
5. إعداد مسار تطوير فردي لكل عضو.
6. استخدام ملاحظات جماعية بعد كل مشروع.</t>
  </si>
  <si>
    <t>- تقدمت عن 2024 في الثقة، لكن الثبات ما زال ظاهرًا.
- مقارنةً بعلي أو عمار: قوية إنسانيًا، بحاجة لحسم إداري أقوى.</t>
  </si>
  <si>
    <t>1. واضح ومنظم جدًا.
2. يهتم بالنتيجة والجودة.
3. لا يضغط على الفريق ميدانيًا.
4. يُظهر هدوءًا في القيادة.
5. يعامل الفريق بموضوعية.
6. يُركّز على التفاصيل المهمة فقط.</t>
  </si>
  <si>
    <t>1. لا يُشارك أبعاد القرارات دائمًا.
2. لا يعطي مساحة كافية للإبداع.
3. التوجيه أحيانًا يكون آمرًا لا نقاشيًا.
4. لا يُراجع الأداء إلا عند الخطأ.
5. قلة الدعم العاطفي.
6. البعض يشعر أنه بعيد عن الفريق.</t>
  </si>
  <si>
    <t>1. مشاركة السياق الكامل خلف القرارات.
2. تخصيص وقت شهري للأسئلة والاقتراحات.
3. توضيح معايير التقييم بانتظام.
4. تشجيع التجريب ولو جزئيًا.
5. تنظيم جلسات 1:1 دورية.
6. دمج مرئيات الفريق في التحسينات.</t>
  </si>
  <si>
    <t>- فرق تقنية أو تنفيذية عالية الانضباط، ولا تحتاج دعمًا عاطفيًا كبيرًا.</t>
  </si>
  <si>
    <t>1. إرسال مستند شهري للتحديثات.
2. تفعيل قنوات استلام الاقتراحات.
3. تقليل صيغة "افعل" وزيادة "نقترح أن".
4. تفعيل قائمة تتبع المهام مع متابعة أسبوعية.
5. إدخال عنصر "الاحتفال بالنجاح".
6. تقليل الفجوة بينه وبين أعضاء الفريق الصامتين.</t>
  </si>
  <si>
    <t>- أداء ثابت مقارنة بـ 2024.
- يُعد من أكثر المدراء تنظيمًا، لكن أقلهم مرونة.</t>
  </si>
  <si>
    <t>1. واضح جدًا في رؤيته.
2. يضع أهدافًا واقعية ومنظمة.
3. يهتم بتحسين مستوى الفريق.
4. يُشجّع على التطوير المستمر.
5. يتعامل باحترام ولا يتسلط.
6. منفتح للأفكار الجديدة.</t>
  </si>
  <si>
    <t>1. لا يشارك خطط التطوير علنًا.
2. الفريق أحيانًا يجهل الأولويات.
3. لا توجد مراجعات أداء دورية.
4. التوقعات غير مكتوبة.
5. يحتاج دعمًا إداريًا لمتابعة التفاصيل.
6. بعض أعضاء الفريق يرون الفجوة في التواصل.</t>
  </si>
  <si>
    <t>1. كتابة خطة عمل شهرية مع مراجعة واضحة.
2. تحديد أهداف لكل عضو في بداية كل ربع.
3. إشراك الفريق في التخطيط الدوري.
4. مراجعة الأداء بشكل رسمي كل 45 يوم.
5. توثيق كل مشروع أو تغيير في Google Docs.
6. تفعيل مراجعة 360 درجة كل 6 أشهر.</t>
  </si>
  <si>
    <t>- فرق تركز على التحسين المستمر، ولديها حس المبادرة العالي.</t>
  </si>
  <si>
    <t>1. إنشاء وثيقة الأولويات الشهرية.
2. تحديد وقت للأسئلة المفتوحة مع الفريق.
3. تعيين مساعد إداري لمتابعة التنفيذ.
4. استخدام Dashboard لتتبع الأداء.
5. إشراك الفريق في KPIs.
6. إرسال تقرير أداء ربع سنوي لكل عضو.</t>
  </si>
  <si>
    <t>- تحسن واضح عن 2024 في المرونة والتواصل.
- مقارنة ببقية المدراء، هو في "المنطقة الدافئة"؛ جيد لكنه يحتاج نقلته النوعية التالية.</t>
  </si>
  <si>
    <t>1. قائد هادئ ويسهل التعامل معه.
2. يحترم آراء الجميع ولا يُقلل من أحد.
3. يعطي مساحة للفريق للابتكار.
4. لا يتدخل إلا عند الحاجة.
5. مرن وسهل الوصول إليه.
6. يهتم بالنتائج العامة دون ضغط مفرط.</t>
  </si>
  <si>
    <t>1. عدم وضوح في توزيع الأدوار.
2. لا يتابع المهام بشكل دوري.
3. التوجيه أحيانًا غير مكتمل أو متأخر.
4. بعض القرارات تُترك "مبهمة".
5. لا يتم تحديث الفريق بالتغييرات بانتظام.
6. نقص في جلسات التغذية الراجعة.</t>
  </si>
  <si>
    <t>1. توزيع المهام كتابةً وبشكل واضح.
2. تخصيص يوم أسبوعي لمراجعة التقدم.
3. وضع جدول مراجعة الأداء شهريًا.
4. مشاركة ملخص أسبوعي للقرارات.
5. تفعيل مراجعات مرئية للمشاريع.
6. تنظيم جلسات وقفة (Retrospective) بعد كل مشروع.</t>
  </si>
  <si>
    <t>- فرق ناضجة ومكتفية، لكن تحتاج توجيهًا تنظيميًا واضحًا.</t>
  </si>
  <si>
    <t>1. اعتماد Google Sheet لمتابعة المهام.
2. إرسال تقرير نصف شهري عن الأولويات.
3. تعيين مساعد أو منسق متابعة.
4. استخدام استبيان قصير كل شهر.
5. جلسة فردية كل 6 أسابيع.
6. إشراك الفريق في تقييم العمل الجماعي.</t>
  </si>
  <si>
    <t>- تقييمه في 2025 أقل من 2024 بسبب ضعف التنظيم.
- يحتاج فقط لأدوات واضحة ليكون من أقوى القادة.</t>
  </si>
  <si>
    <t>1. قائد متمكن فنيًا.
2. يعرف تفاصيل عمل الفريق.
3. يُعطي أهمية لكل مرحلة إنتاجية.
4. لا يتأخر في الردود.
5. يحفز الفريق بكلمات بسيطة لكن فعالة.
6. منطقي جدًا في طلباته.</t>
  </si>
  <si>
    <t>1. تكرار التوجيه التفصيلي يضغط الفريق.
2. لا يشرح "لماذا" خلف كل قرار.
3. غياب وثائق العمل الرسمية.
4. لا يوزّع المهام بوضوح دائمًا.
5. قلة جلسات المتابعة الفردية.
6. ثقته بالتنفيذ الميداني ضعيفة أحيانًا.</t>
  </si>
  <si>
    <t>1. تقليل التوجيه اللحظي وتوثيق المطلوب.
2. إنشاء ملف "خطة إنتاج" لكل مشروع.
3. عقد جلسات مرئية أسبوعية لتوضيح الخطوات.
4. تفويض عضو لإدارة التفاصيل الصغيرة.
5. استخدام لغة السبب (Why) في الاجتماعات.
6. تعزيز ثقافة الاعتماد على الفريق.</t>
  </si>
  <si>
    <t>- فريق إنتاجي يحتاج توجيهًا فنيًا دقيقًا لكن دون ضغط مباشر دائم.</t>
  </si>
  <si>
    <t>1. Google Doc لكل مشروع فيه المهام والمسؤوليات.
2. استخدام أدوات مثل Notion أو Trello.
3. تعيين "قائد مشروع" داخل الفريق لكل مبادرة.
4. جلسة مراجعة أسبوعية لا تتعدى 30 دقيقة.
5. استبيان شهري عن وضوح الأهداف.
6. خطة تطوير فردي لكل عضو نصف سنويًا.</t>
  </si>
  <si>
    <t>- من الأقوى فنيًا مقارنة بالبقية، لكن تقييمه تراجع بسبب “ضغط التفاصيل”.</t>
  </si>
  <si>
    <t>1. شخص مريح في التعامل.
2. لا يُظهر توترًا رغم الضغوط.
3. عادل في تعامله مع الفريق.
4. منظم في متابعة المهام.
5. يترك مساحة للإبداع.
6. لا يضغط على الفريق عند الخطأ.</t>
  </si>
  <si>
    <t>1. أحيانًا يُعتبر “صامتًا إداريًا” بدون توجيه واضح.
2. لا يشارك الخطط الكبرى.
3. لا يراجع الأداء بشكل واضح.
4. لا يوضح سقف التوقعات.
5. الفريق يشتكي من غموض في المسؤوليات.
6. يحتاج أدوات دعم إداري أقوى.</t>
  </si>
  <si>
    <t>1. بناء خطة تشغيلية ربع سنوية للفريق.
2. استخدام أدوات مرئية لتوزيع المهام.
3. توثيق القرارات المهمة كتابة.
4. تصميم جلسات تقييم أداء دورية.
5. تحديد أوقات للتغذية الراجعة الفردية.
6. اعتماد شخص مساعد إداري.</t>
  </si>
  <si>
    <t>- فريق فني/إنتاجي مستقر يحتاج وضوحًا لا تحكمًا.</t>
  </si>
  <si>
    <t>1. إنشاء قالب أسبوعي لتحديث حالة العمل.
2. عقد Check-in فردي مرتين شهريًا.
3. وثيقة أهداف كل شهرين.
4. وضع مسؤول واضح لكل مشروع.
5. تقليل الجهد الشفهي وزيادة التوثيق.
6. اجتماع نصف شهري للخطط والأولويات.</t>
  </si>
  <si>
    <t>- تراجع طفيف عن 2024، سببه "الإدارة الصامتة".</t>
  </si>
  <si>
    <t>1. داعمة نفسيًا جدًا للفريق.
2. تهتم بتفاصيل العلاقات وليس فقط العمل.
3. تخلق جوًا آمنًا.
4. تحفز الفريق بلغة مشجعة دائمًا.
5. لا تحكم على أحد بحدة.
6. مرنة في توزيع المهام.</t>
  </si>
  <si>
    <t>1. أحيانًا لا تضع حدودًا واضحة للمسؤوليات.
2. تأجيل بعض القرارات الهامة.
3. كثرة "المرونة" تضعف المتابعة.
4. لا توثق الملاحظات/القرارات.
5. ضعف في المتابعة الدقيقة للنتائج.
6. تفاوت في التعامل حسب الشخصيات.</t>
  </si>
  <si>
    <t>1. وضوح الحدود والمسؤوليات.
2. جدول متابعة لكل مشروع.
3. ملف “خطة تطوير” للفريق.
4. مراجعة الأداء كتابيًا لا فقط شفهيًا.
5. تقليل التردد في اتخاذ قرارات التغيير.
6. تعزيز التوثيق كعادة إدارية.</t>
  </si>
  <si>
    <t>- فرق جديدة أو غير مستقرة بحاجة لدعم نفسي وثقة.</t>
  </si>
  <si>
    <t>1. قاعدة بيانات بالأداء الفردي لكل عضو.
2. جدول أسبوعي لتوزيع المهام.
3. محضر مكتوب لأي نقاش مهم.
4. جلسات تطوير فردية كل شهر.
5. تفعيل "معايير التقييم" رسمية.
6. فصل العاطفة عن المتابعة العملية.</t>
  </si>
  <si>
    <t>- تقييمها ثابت، لكنها تُواجه تحدي الانتقال من قيادة عاطفية إلى عملية.</t>
  </si>
  <si>
    <t>1. تحفيزي جدًا.
2. صريح ولا يدور.
3. يتحدث بلغة الفريق.
4. واضح في التوجيه.
5. لا يحمل الفريق ما لا يطيق.
6. يعترف بالخطأ ويعدله.</t>
  </si>
  <si>
    <t>1. أحيانًا يضغط بالتوقيت دون مرونة.
2. لا يوثق المتغيرات.
3. لا يراجع التقييم الفردي دوريًا.
4. بعض أعضاء الفريق لا يعرفون ما هو متوقع منهم.
5. عند التوتر يقل الحضور.
6. التوجيه شفهي أكثر من اللازم.</t>
  </si>
  <si>
    <t>1. تحويل التوجيه الشفهي إلى مكتوب.
2. مرجعية ثابتة للمشاريع.
3. توزيع الأدوار بوضوح شهري.
4. تبسيط المتابعة مع Dashboard.
5. تحديد وقت “راحة فكرية” للفريق.
6. مراجعة الإنجازات كل شهر علنًا.</t>
  </si>
  <si>
    <t>- فرق جريئة وسريعة النمو، تحتاج قيادة تحفيزية وتخطيط مرن.</t>
  </si>
  <si>
    <t>1. تقرير أسبوعي مكتوب.
2. تحديد نقاط أداء KPI واضحة.
3. اعتماد جلسات ربع سنوية للتغذية العكسية.
4. قائمة مسؤوليات مجدولة.
5. مساحة اقتراحات مفتوحة.
6. تعيين شخص يراجع المهام معه.</t>
  </si>
  <si>
    <t>- تحسن بسيط عن 2024، لكن يحتاج ثبات إداري أقوى.</t>
  </si>
  <si>
    <t xml:space="preserve"> وديان بحه</t>
  </si>
  <si>
    <t>1. شخص منظم جدًا.
2. واضحة وصادقة في التواصل.
3. تعطي الفريق مساحات جيدة.
4. تنظم أولويات العمل بفعالية.
5. تتابع المهام دون إزعاج.
6. تساعد بدون فرض.</t>
  </si>
  <si>
    <t>1. أحيانًا تتأخر في إعطاء التغذية الراجعة.
2. بعض التوجيهات غير واضحة.
3. لا يتم مشاركة الصورة الكبرى دائمًا.
4. الفريق لا يعرف أحيانًا كيف يتم تقييمه.
5. لا توجد جلسات تطوير رسمية.
6. الفصل بين العلاقات والعمل ضعيف أحيانًا.</t>
  </si>
  <si>
    <t>1. مشاركة الخطة الكبرى مع الفريق كل شهر.
2. تصميم وثيقة أهداف.
3. تقليل التوجيه غير المكتوب.
4. تفعيل تقييم الأداء الفردي.
5. إدخال أدوات دعم إداري.
6. تحديد وقت للقرارات الحاسمة كل أسبوع.</t>
  </si>
  <si>
    <t>- فرق تحب التنظيم ولا تحب التكرار أو المفاجآت.</t>
  </si>
  <si>
    <t>1. إرسال خطة مكتوبة كل أسبوعين.
2. تقويم مواعيد التغذية الراجعة.
3. فتح تقييم 360 درجة كل 6 أشهر.
4. اعتماد Google Doc مشترك للأهداف.
5. متابعة الأداء KPI نصف شهري.
6. تحديد وقت “نقاش صريح” شهري.</t>
  </si>
  <si>
    <t>- تقدم ملحوظ مقارنة بـ 2024، وتقييم عالٍ في "النظام والوضوح".</t>
  </si>
  <si>
    <t>تقييم القادة 2024 - 2025</t>
  </si>
  <si>
    <t>أغسطس 2024</t>
  </si>
  <si>
    <t>متوسط تقييم القادة</t>
  </si>
  <si>
    <t>عدد التقييمات</t>
  </si>
  <si>
    <t>عدد المجاملين المستبعدين</t>
  </si>
  <si>
    <t>عدد المجاملين تم إبعادهم</t>
  </si>
  <si>
    <t>عدد القادة</t>
  </si>
  <si>
    <t>عدد المدراء</t>
  </si>
  <si>
    <t>من الأعلى للأقل⬇</t>
  </si>
  <si>
    <t>أبريل 2025</t>
  </si>
  <si>
    <t>مقارنة بين الدورتين</t>
  </si>
  <si>
    <t>توصيات الموارد البشرية</t>
  </si>
  <si>
    <t>إسم المدير</t>
  </si>
  <si>
    <t>عدد المُقيمين</t>
  </si>
  <si>
    <t>متوسط التقييم
(بعد تعديل المجاملين)</t>
  </si>
  <si>
    <t>توظيف فريق أكبر (1-2 منتجي محتوى) بالاضافة التركيز على المهام والمشاريع المفتوحة والعالقة. والتفرغ الكامل للاستديوهات. 
متى يكون جاهز ليرجع إداريًا لأبومالح؟</t>
  </si>
  <si>
    <t>⬆</t>
  </si>
  <si>
    <t>البراء العوهلي</t>
  </si>
  <si>
    <t>التركيز على فريق الثقافة الحالي، وتوزع المهام والأدوار بفعالية بحسب مستوى وراتب كل فرد.
يحتاج أن يلتزم بالخط الزمني للمشاريع، ويحدد الأولويات، خاصة بما يخص "في ثمانية".</t>
  </si>
  <si>
    <t>⬇</t>
  </si>
  <si>
    <t>شهاب سمير</t>
  </si>
  <si>
    <t>يحتاج توظيف 1-2 في المالية، حتى يتمكن من مشاركة أدوار أكبر مع مصطفى وأحمد -مع ضرورة كونهم سعوديين لأسباب رقابية-.</t>
  </si>
  <si>
    <t>عبدالقدوس</t>
  </si>
  <si>
    <t>تطوير قيادته وتوظيفه لفريق الموارد البشرية. 
التركيز على الأولويات واغلاق المهام العالقة.</t>
  </si>
  <si>
    <t>وهاب محمد</t>
  </si>
  <si>
    <t>⬆⬆</t>
  </si>
  <si>
    <t>أثبت إدارته لفريقه + إدارة البيانات. الاقتراح أنه يتولى فريق المنتجين + موفق.</t>
  </si>
  <si>
    <t>يحتاج لتوظيف فريق أكبر وفريق متواجد في المكتب ومتوائم مع ثقافة ثمانية.
يحتاج مراجعة المستهدفات الفعلية للقسم حتى يتأكد لعدم إهماله لفريق معين. وتمكين القادة «رزان ولينا»</t>
  </si>
  <si>
    <t>لا زال ضغط فريق التقنية مرتفع. حاب أعرف لو دخول الموظفين الجدد -خاصة في إدارة المنتج- ساعد؟ هل نحتاج نوظف أكثر؟
مسؤوليات علي لا تنتهي، وخاصة المزايا الجديدة في تطبيق راديو ثمانية، لازم يحدد الأولويات ويضع خطة واضحة لتطوير منتجات ثمانية التقنية. 
يحتاج يعطي مسؤولية أكبر للفريق، خاصة عطالله. 
لازم ينتبه على أداء الفريق، ويفصل الضعيف منهم، خاصة لمن يحتاج متابعة دائمة أو تدقيق في جودة البرمجة والمخرجات.</t>
  </si>
  <si>
    <t>تحتاج لتمكين أكبر، تكون متواجدة بشكل أكبر وتركز على الجانب الإداري أكثر من الإبداعي.</t>
  </si>
  <si>
    <t xml:space="preserve">يحتاج يعين قادة تحته، لتخفيف الموظفين المباشرين إلى 6 كحد أقصى، حتى يلتزم أكثر في المواعيد والتدقيق في المحتوى. </t>
  </si>
  <si>
    <t>موفق</t>
  </si>
  <si>
    <t>أموره تمام، لكنه دائمًا يطلب راتب أعلى ب25٪ من الحالي، ف هل هو مرتاح؟ 
فريقه مضغوط، كانوا 6 مخرجين واللحين 3 فقط، مع زيادة المشاريع.</t>
  </si>
  <si>
    <t>يحتاج يطور من قيادته للفريق، ويشدد عليهم، ويعين قادة معه.</t>
  </si>
  <si>
    <t xml:space="preserve">مع تغييرات هيكلة فريق التسويق، نختبر لو أنس فعليًا بمثابة "نائب رئيس" لفريق النمو والنشر، أو نحدد دوره لأحدهم؟ 
أكثر مدير يرقي ويوظف موظفين ومستقلين، يحتاج متابعة بخصوصها. </t>
  </si>
  <si>
    <t>فتح باب التواصل أكثر بينه وبين الأقسام، بجلسات شهرية أو ربعية مع كل تنفيذي. 
يفعّل التواصل المباشر في المهام والمشاريع، ولا يسكت عن الخطأ من أول مرة، و بأسلوب مناسب. 
ترتيب الأوليات لدى الأقسام.
أثره مهم، لكن أحيانًا غائب عن الفريق وموظفي ثمانية. ولو بكلمة طيبة أو تقدير. 
يحتاج تطوير للمهارات الإدارية، ياخذ دورة مثلًا؟</t>
  </si>
  <si>
    <t>أسيل باعبدالله - إنتاج</t>
  </si>
  <si>
    <t>يمنع توظيف أي موظف/متدرب/مستقل جديد في فريقه، ما عدا مدير تطوير الأعمال باعتماد أبومالح والبراء.
وإذا لم ينجح الموظف الجديد، فيتغير دور فيصل كقائد.</t>
  </si>
  <si>
    <t>يحتاج مراجعة لإدارته للفريق. حول تقييمات فريقه والمدير، فهو شديد عليهم شوي، ولكن هذا الشيء طبيعي.</t>
  </si>
  <si>
    <t xml:space="preserve">يمنع توظيف أي موظف/متدرب/مستقل جديد، إلا بعد تطوير إدارته للفريق الحالي وارتفاع معدل التقييم، وحتى يعتمد على قراراته بدون تأثير وتدخل دائم من فيصل. </t>
  </si>
  <si>
    <t>يمنع توظيف أي موظف/متدرب/مستقل جديد، إلا بعد تطوير إدارته للفريق الحالي وارتفاع معدل التقييم، خاصة فيما يتعلق بأسلوبه وتعامله السلبي مع الفريق مما أثر نفسيًا على فريقه.</t>
  </si>
  <si>
    <t>أسيل باعبدالله - كامل</t>
  </si>
  <si>
    <t>تحتاج توظف نائب أو مدير معها + مساعد، وتغيير الهيكلة بحسب تقييمات القادة، وتركز أكثر على الفريق الحالي وتوزيع أدوارهم قبل فتح باب التوظيف.
تحتاج تفعّل التواصل الداخلي في الفريق، وتعيد ترتيب خطة وآلية الإنتاج، فيه مشاكل عديدة ما أنلحت إلى الآن. رائعة ولكن تحتاج تتفرغ للصورة الكبيرة ومستقبل الإنتاج.</t>
  </si>
  <si>
    <t>هل ينفع يكون قائد؟ أو يبقى في المسار الفردي ونعين مدير آخر؟</t>
  </si>
  <si>
    <t>أسيل باعبدالله - تسويق</t>
  </si>
  <si>
    <t>⬇⬇</t>
  </si>
  <si>
    <t xml:space="preserve">ميسم كان تقييمها دائمًا خضر، لكن من رمضان ويبدوا أنها تمر بحالة شخصية. 
يحتاج تقليص بعض من فريقها وانتقالهم إلى وهاب حتى تركز على فريقها والعمليات أكثر . 
المشكلة الأساسية أنها لا تشعر بأن اللي يحصل حاليًا مشكلة، وهذا خطأ بحد ذاته. لازم القائد يكون مسؤول وواعي بالمشاكل ويبادر في حلها. </t>
  </si>
  <si>
    <t>0-60</t>
  </si>
  <si>
    <t>60-70</t>
  </si>
  <si>
    <t>70-80</t>
  </si>
  <si>
    <t>80-90</t>
  </si>
  <si>
    <t>90-100</t>
  </si>
  <si>
    <t>الأسئلة</t>
  </si>
  <si>
    <t>التغيير مقارنة</t>
  </si>
  <si>
    <t>طريقة العمل</t>
  </si>
  <si>
    <t>قيادة الفريق</t>
  </si>
  <si>
    <t>الوضوح والأولويات</t>
  </si>
  <si>
    <t>الدعم والتطور</t>
  </si>
  <si>
    <t>عدد المجاملين</t>
  </si>
  <si>
    <t>متوسط الشركة</t>
  </si>
  <si>
    <r>
      <rPr>
        <rFont val="IBM Plex Sans Arabic"/>
        <b/>
        <color theme="1"/>
      </rPr>
      <t xml:space="preserve">متوسط التقييم
</t>
    </r>
    <r>
      <rPr>
        <rFont val="IBM Plex Sans Arabic"/>
        <b val="0"/>
        <color theme="1"/>
      </rPr>
      <t>(بعد تعديل المجاملين)</t>
    </r>
  </si>
  <si>
    <t>المجاملين</t>
  </si>
  <si>
    <r>
      <rPr>
        <rFont val="IBM Plex Sans Arabic"/>
        <b/>
        <color theme="1"/>
      </rPr>
      <t xml:space="preserve">المستائين
</t>
    </r>
    <r>
      <rPr>
        <rFont val="IBM Plex Sans Arabic"/>
        <b val="0"/>
        <color theme="1"/>
        <sz val="8.0"/>
      </rPr>
      <t xml:space="preserve">طبيعي إما يستقيلوا أو ينفصلوا أو يتغير دورهم/مديرهم أو خطة تطوير </t>
    </r>
  </si>
  <si>
    <t>الموظف</t>
  </si>
  <si>
    <t>المدير</t>
  </si>
  <si>
    <t>التقييم</t>
  </si>
  <si>
    <t>باستثناء المجاملين</t>
  </si>
  <si>
    <r>
      <rPr>
        <rFont val="IBM Plex Sans Arabic"/>
        <b/>
        <color theme="1"/>
      </rPr>
      <t xml:space="preserve">متوسط التقييم
</t>
    </r>
    <r>
      <rPr>
        <rFont val="IBM Plex Sans Arabic"/>
        <b val="0"/>
        <color theme="1"/>
      </rPr>
      <t>(بعد تعديل المجاملين)</t>
    </r>
  </si>
  <si>
    <r>
      <rPr>
        <rFont val="IBM Plex Sans Arabic"/>
        <b/>
        <color theme="1"/>
      </rPr>
      <t xml:space="preserve">المستائين
</t>
    </r>
    <r>
      <rPr>
        <rFont val="IBM Plex Sans Arabic"/>
        <b val="0"/>
        <color theme="1"/>
        <sz val="8.0"/>
      </rPr>
      <t xml:space="preserve">طبيعي إما يستقيلوا أو ينفصلوا أو يتغير دورهم/مديرهم أو خطة تطوير </t>
    </r>
  </si>
  <si>
    <t>أسيل باعبدالله - فريق الإنتاج</t>
  </si>
  <si>
    <t>أصيل بافرط</t>
  </si>
  <si>
    <t>ريان الدعفس</t>
  </si>
  <si>
    <t>محمد نور شمت</t>
  </si>
  <si>
    <t>رولا عبدالرحمن</t>
  </si>
  <si>
    <t>إيمان أسعد</t>
  </si>
  <si>
    <t>عمرو سلمان</t>
  </si>
  <si>
    <t>عبدالملك آل سعيد</t>
  </si>
  <si>
    <t>ديمه العامر</t>
  </si>
  <si>
    <t>مخلف آل زيدان</t>
  </si>
  <si>
    <t>محمود أبوندى</t>
  </si>
  <si>
    <t>أميرة الطريسي</t>
  </si>
  <si>
    <t>عبدالقدوس الحاج حسين</t>
  </si>
  <si>
    <t>محمد الحسن</t>
  </si>
  <si>
    <t>محمد بازيد</t>
  </si>
  <si>
    <t>عبدالمجيد العطاس</t>
  </si>
  <si>
    <t>"كثرت الشكاوي عليهم"</t>
  </si>
  <si>
    <t>لا يوجد تقييمات كافية</t>
  </si>
  <si>
    <t>فريق الإنتاج والتسويق</t>
  </si>
  <si>
    <t>المنظومة كاملة</t>
  </si>
  <si>
    <r>
      <rPr>
        <rFont val="IBM Plex Sans Arabic"/>
        <b/>
        <color theme="1"/>
      </rPr>
      <t xml:space="preserve">متوسط التقييم
</t>
    </r>
    <r>
      <rPr>
        <rFont val="IBM Plex Sans Arabic"/>
        <b val="0"/>
        <color theme="1"/>
      </rPr>
      <t>(بعد تعديل المجاملين)</t>
    </r>
  </si>
  <si>
    <r>
      <rPr>
        <rFont val="IBM Plex Sans Arabic"/>
        <b/>
        <color theme="1"/>
      </rPr>
      <t xml:space="preserve">المستائين
</t>
    </r>
    <r>
      <rPr>
        <rFont val="IBM Plex Sans Arabic"/>
        <b val="0"/>
        <color theme="1"/>
        <sz val="8.0"/>
      </rPr>
      <t xml:space="preserve">طبيعي إما يستقيلوا أو ينفصلوا أو يتغير دورهم/مديرهم أو خطة تطوير </t>
    </r>
  </si>
  <si>
    <t>أي شيء آخر تودّ مشاركته مع الموارد البشرية فيما يخص مديرك؟</t>
  </si>
  <si>
    <t>65X08O</t>
  </si>
  <si>
    <t>4PNg6B</t>
  </si>
  <si>
    <t>أنس سفيان</t>
  </si>
  <si>
    <t>أعتقد أن العمل يطلب بعضًا من الصرامة تجاه ما تم تحديده كأولوية، والاستمرار في مراجعة الأولويات بشكل مستمر قد يهز مدى أهمية وواقعية الهدف الأساسي.</t>
  </si>
  <si>
    <t>أعتقد أن عدم وضوح الطريق أدى إلى ضبابية طريقة العمل وكان من الممكن أن يساهم في تطويرها التركيز على رسم الطريق بشكل كامل كخطوة أولى ومن ثم تطوير آليات العمل المناسبة.</t>
  </si>
  <si>
    <t>التواجد بشكل أكبر يساهم في تعزيز خلق بيئة مشجعة وتطوير آلية مشتركة لاتخاذ القرار.</t>
  </si>
  <si>
    <t>..</t>
  </si>
  <si>
    <t>4qEQXO</t>
  </si>
  <si>
    <t>EBZRDX</t>
  </si>
  <si>
    <t>أسيل باعبدالله - فريق التسويق</t>
  </si>
  <si>
    <t>المتطلبات والأولويات غالبًا واضحة.</t>
  </si>
  <si>
    <t>مؤخرًا ألاحظ تدخلاتك في المهام التشغيلية قلّت كثير، صرت تعطي المدراء تحتك مساحة كبيرة، وهذا مؤشر جيد.</t>
  </si>
  <si>
    <t>مديرة إدارة المعنويات 10/10</t>
  </si>
  <si>
    <t>kpg991</t>
  </si>
  <si>
    <t>RZbAKp</t>
  </si>
  <si>
    <t>أعتقد أنه يمكن تحسين ترتيب الأولويات بمرونة أكبر، كما أن تحديد أهداف أكثر طموحًا وواقعية سيحفزنا جميعًا لتحقيق المزيد.</t>
  </si>
  <si>
    <t>أقدّر جدًا دعمك لاستقلاليتي وثقتك بي. وأرى أن هناك مجالًا لتعزيز الوعي الذاتي، سيساعد في فهم مشاعر الفريق بشكل أعمق ويسهم في تحسين التواصل والتفاعل بشكل أكبر.</t>
  </si>
  <si>
    <t>أشكرك على دعمك الدائم لنا وتحفيزك المستمر، فعلاً معنوياتنا تترفع.
لكن بصراحة، أحيانًا أشعر أننا لسنا فريق واحد وبحاجة للمزيد من المشاركة في القرارات التي تؤثر على الإنتاج. أعتقد أن إشراكنا أكثر في صنع القرار يمكن أن يزيد من شعورنا بالانتماء.</t>
  </si>
  <si>
    <t xml:space="preserve">استفيد من ملاحظاتك البناءة اللي تساعدني على التطور. </t>
  </si>
  <si>
    <t>أقدر دعمك الدائم وتأثيرك الإيجابي علي وعلى الفريق. اعتقد ان في اتخاذ القرارات وتخصيص وقت أكبر لتطويرنا يمكن أن تكون نقطة تحول ايجابية. شكرًا لجهودك</t>
  </si>
  <si>
    <t>مديرتي تدعمني بشكل ممتاز وتخلق بيئة عمل رائعة. رغم أن هناك بعض المجالات للتحسين، مثل إشراك الفريق في القرارات والتحسين التواصل بين الفريق، إلا أن قيادتها تظل فعالة ومفيدة.</t>
  </si>
  <si>
    <t>pM5VoJ</t>
  </si>
  <si>
    <t xml:space="preserve">وجود أهداف ومرئيات واضحة للمدى البعيد بحيث تساعد الموظف انه يحاول يطور نفسه فيها. </t>
  </si>
  <si>
    <t>اعتقد وجود الجلسات الدورية تساهم في معرفة تقارب الأفكار بين الموظف والمدير وتساهم في تقليل المرئيات المكررة لكن في نفس الوقت كنت أشعر في ثقة عالية للشي اللي أقدمه</t>
  </si>
  <si>
    <t>الفترة كانت انتقالية وتغييرات بالهيكل بشكل كبير ويصعب الحكم على قيادة الفريق لكن لم يوجد وضوح في كيف كيف التعاون بين زملائي</t>
  </si>
  <si>
    <t>أشعر كان في دعم عالي لكن في نفس الوقت أجد صعوبة في وين ممكن أطور نفسي فيه</t>
  </si>
  <si>
    <t>4qE05d</t>
  </si>
  <si>
    <t>YoxdRJ</t>
  </si>
  <si>
    <t xml:space="preserve">شخصيًّا أقدر انشغال أسيل وصعوبة التواصل في اجتماعات دورية، وأيضًا أنا أتحمل جزء من هذه المسؤولية، بس أحيانًا أجد أنَّ الفكرة مختلفة نوعًا ما عما كنت أظنه. </t>
  </si>
  <si>
    <t xml:space="preserve">أقدّر منحي الاستقلالية لكن أحيانًا أحتاج إلى توجيه واضح، واستصعب التواصل مع أسيل لمعرفتي بانشغالها في كل مشاريع ثمانية. </t>
  </si>
  <si>
    <t>أحيانًا أجد أنًّ قرارات اتخذت بدون التواصل معي أولًا، وأدرك إنَّ القرارات فعلًا في مصلحة العمل لكن إقصائي من النقاش الأولي يعلني غير مدركة أنَّ ثمة مشكلة، وأيضًا أتحمّل هنا مسؤولية التواصل.</t>
  </si>
  <si>
    <t>أيضًا مشكلة التواصل، النقاش محدود للغاية بيني وبين أسيل بشكل عام، جزء منه يعود إلى طبيعة العمل في بيسكامب على خلاف التواجد في المكتب، وأظن أيضًا أنني عطيت انطباع أني لا أحبذ الاجتماعات وأفضّل الكلام في البيسكامب، وأيضًا أعطي انطباع أني حسّاسة للانتقاد. فصار عندنا نوع من الفجوة.</t>
  </si>
  <si>
    <t>بشكل عام، ومن غير مبالغة أو محاباة، وجود أسيل كمديرة شيء رائع ومصدر إلهام وأتعلَّم منها الكثير، وأحاول أتمتع ببصيرتها الإبداعية وقدرتها على حل المشاكل. لكن احنا معك ونلبي نداء الواجب وأكثر .. ازهلي 😁😁</t>
  </si>
  <si>
    <t>كل شي تمام، ويعطيكم ألف عافية. ❤️</t>
  </si>
  <si>
    <t>YggExW</t>
  </si>
  <si>
    <t>p0vbJB</t>
  </si>
  <si>
    <t>pM1aZy</t>
  </si>
  <si>
    <t>WeqArJ</t>
  </si>
  <si>
    <t>مرام المنيع</t>
  </si>
  <si>
    <t>كان فيني أضيف مرئيات ولكن لأنا دومًا نعمل لمصلحة العمل وهي المصلحة المقدّمة على كل شيء فأنا أفهم جدًا قرارات المدير .. إن كُنّا نبدأ بمنتجات متفرّدة وجديدة قبل وجود عميل من عدمه أو حتى قبل تكوين فريق وإضافة أشخاص جدد للمشروع ... لذا هذا ما يتطلبه العمل الانطلاقة تبدأ بين أيدي وحوش الإنتاج ثم يتم تعيين وتحديد فريق لاحقًا.
لذا شكرًا لأنك أنتِ أنتِ.</t>
  </si>
  <si>
    <t>كمّلي واحنا وراك .... 🌟</t>
  </si>
  <si>
    <t>ليه السؤال إلزامي 😅 .. لا مافي إلا كل خير  💫🫀</t>
  </si>
  <si>
    <t xml:space="preserve">نفس التعليق السابق 🌚
بالمجمل يعجبني فيك أنو تستثمرين مهارات الفريق بشكل جيّد بمعني أي شخص لديه مهارات جانبية لا علاقة لها بعمله تمنحينه الفرصة حتى يشتغل عليها ويشوف نتيجتها وتؤمني من داخلك بإنجازه وإبداعه، وهذة خصلة عظيمة.
</t>
  </si>
  <si>
    <t>مافيش زيها ...... حقيقي ✨❤️‍🔥</t>
  </si>
  <si>
    <t>BgVM9R</t>
  </si>
  <si>
    <t xml:space="preserve">فيه كثير ضبابية في الفريق. مافي خطة واضحة للقسم أو الفريق. ما نعرف أيش رح يصير بعد أسبوعين، أو الخط الزمني. 
وفجأة يطلع القرار بدون مشاورة مننا كمدراء. 
فيه مشاريع تنحط لها خط زمني شهر، لكن ممكن تنعمل بيومين. وفيه مشاريع العكس. 
نحتاج نحدد جدول واضح للسنة، وأكيد عادي نغير ونضيف ونحذف، لكن على الأقل أساس. 
وأي فكرة لمشروع جديد، لا يتم اطلاقه في النصف الثاني من السنة، بل يروح للسنة اللي بعدها. </t>
  </si>
  <si>
    <t xml:space="preserve">أحب أنك مهتمة جدًا في الفريق، وتعطينا أكثر من فرصة. 
لكن نحتاجك معنا أكثر. يمكن آخر سنة جلست معك عدة مرات فقط، خطأ. 
أعطي وقت أكثر لمدراء الانتاج، وأعطينا الثقة، وشاورينا، نحن هنا لأجلك ولمساعدتك. </t>
  </si>
  <si>
    <t xml:space="preserve">أفضل مديرة في العالم في تحفيز الفريق، لكن ما يوصلنا هذا التحفيز دائمًا. 
كلمة منك تودينا للسما، أو تحمسنا لسنة قدام. لكن نحتاج نسمع منك. ما تعرفي قديش أثرك يأثر على جميع فريق الإنتاج. 
خذي مشورتنا ورأينا، وعادي قولي لأ الفكرة سيئة. لكن لا تقولي "بشوف" ولا "صح معك حق" وأنت بالأصل مقررة لا. عادي كوني صريحة معنا. </t>
  </si>
  <si>
    <t>ما سمعت منك مرئيات بالسنة غير مرتين يمكن. أحتاج أعرف لو توجهي صح أو غلط. ما أعرف. أحيانًا لو بس توجه بسيط منك يعطيني هدف السنة كامل ايش بشتغل عليه، لكن احتاجك معنا أكثر.</t>
  </si>
  <si>
    <t>أنتي رهيييييييبة، واقعيًا لا نستغني عنك وما أُفضل أي مدير عليك. 
لكن شاركتك مرئياتي هنا بصراحة حتى تستفيدي منها وتطوري وتساعدينا في التطور. 
أسيل الملكة 👸🏻</t>
  </si>
  <si>
    <t>2Zz2bA</t>
  </si>
  <si>
    <t>eNooDE</t>
  </si>
  <si>
    <t>رائع جداً طموحك الكبير، لكن قبل وضع المستهدفات قد يكون أفضل مناقشتها مع الفريق التنفيذي لتخطيطها ووضع مستهدفات واقعية أكثر.</t>
  </si>
  <si>
    <t>أنت قدوة الفريق، الكلمة الطيبة وتشجيعك لهم له أثر مضاعف أكثر من أي شخص اخر.</t>
  </si>
  <si>
    <t>من أفضل ميزات ثمانية هي دعم موظفينها في التطوير الذاتي مهما كان مجاله.
لكن من الصحي أيضاً مراجعة نقاط الضعف والقوة لدى فريقك، فقد ترين شيئاً مهم لا يراه ذلك الموظف في نفسه وقد يكون قادراً على تطويره.</t>
  </si>
  <si>
    <t xml:space="preserve">أنتي من أكثر الأشخاص الإبداعيين الذي عرفتهم وهذا أحد أسباب رغبتي أساساً في الإنضمام لثمانية.
يعجبني فيك قوة ملاحظتك وإصرارك على فعل ما ينتج محتوى يليق بمستوى ثمانية مهما كانت القرارت صعبة أحياناً.
وثقي تماما أن الفريق في صفك وهدفنا واحد دائماً مهما اختلفت الاراء للوصول لهذا الهدف.
إذا كان عندك أي شكوك أو تحفظات تجاه أحد، أجلسي معهم وتكلموا، أنا متأكد أن كثير من المشاكل مجرد سوء تفاهم بسيط وحلها أبسط. </t>
  </si>
  <si>
    <t>يعطيكم العافية، بس كأن التقييمات كثرت؟</t>
  </si>
  <si>
    <t>NgvzKb</t>
  </si>
  <si>
    <t>b2AAYL</t>
  </si>
  <si>
    <t>كل شي أولوية طوال الوقت، وهذا مشتت. خصوصًا أن الموارد ليست كافية دائمًا. 
وأحيانًا يعتمد المستهدف رغم اعتراضنا عليه لعدم واقعيته. ثم نحاسب على عدم تحقيقه.</t>
  </si>
  <si>
    <t>أسطورة في التفويض. لكن لو دخلت في مهمة فالرأي رأيها ولا مجال للنقاش</t>
  </si>
  <si>
    <t>أحس الأولوية دائمًا للإنجاز، ولو كان على حساب الفريق ووقتهم ومعنوياتهم. وهذا أشوفه خطأ. 
وعندها القدرة على تسخير كل موارد الفريق لهدف محدد، وهذا وإن حقق الهدف يؤثر على كل شيء آخر</t>
  </si>
  <si>
    <t>ما أشوف فيه تطوير أو حرص على ذلك وهذا رأيي الشخصي. الأولوية للمهام اليومية وإنجاز العمل فقط.</t>
  </si>
  <si>
    <t xml:space="preserve">ودي أن التوقعات تقاس على ثمانية ساعات - خمسة أيام في الأسبوع. وليس على 16 ساعة طوال الأسبوع. لأني أحس أن هذا الحاصل. وهذا يشكل ضغط نفسي كبير. </t>
  </si>
  <si>
    <t>2ZYakD</t>
  </si>
  <si>
    <t>OjVKq7</t>
  </si>
  <si>
    <t>أكتفي بالتقييم بالأرقام.</t>
  </si>
  <si>
    <t>opZ24M</t>
  </si>
  <si>
    <t>OjVqk8</t>
  </si>
  <si>
    <t>عبدالرحمن الصوفي</t>
  </si>
  <si>
    <t>جيد في التواصل معي بشكل دائم وتحديث الاولويات</t>
  </si>
  <si>
    <t>استمر على ما انت عليه</t>
  </si>
  <si>
    <t>كان قائد محترف</t>
  </si>
  <si>
    <t>PgNO11</t>
  </si>
  <si>
    <t>RZregp</t>
  </si>
  <si>
    <t>نورة السبيعي</t>
  </si>
  <si>
    <t xml:space="preserve">يكون أكثر وضوحًا. أحيانًا ما أفهمك ولا أدري متى تبغى تتدخل ومتى لا، وأخاف أزعجك فأحس ودي تكون أكثر وضوح.
فيه جانب بعد يعتمد علي، وهو أني ما أسأل، ولعل هذي مشكلة مني خخ. </t>
  </si>
  <si>
    <t>الصدق من هالناحية، رائع جدًا. الاستقلالية اللي أشعر فيه والمسؤولية اللي استشعرها تعطيني الكثير من الشعور الجيد. حتى في نقاشات المهام ما عمرك حسستني أنك مدير، بالعكس تخلي القرار عندي. 
وإذا رجعت لك دائمًا مرحب وما قد حسستني بأن هذي شغلتك سويها بدون الرجوع لي.</t>
  </si>
  <si>
    <t>توصياتك حلوة، شاركنا كورسات وكتب أو أي شيء يفيدك، دائمًا تكون ذات قيمة.</t>
  </si>
  <si>
    <t xml:space="preserve">دائمًا أقول أني محظوظة بهذا المدير، إنسان قبل كل شيء. 
يمكّن الفريق، يساعدهم إذا احتاجو، معطيهم مسؤوليات كبيرة بدون الرجوع له، ما يتفلت عليهم مهما كان الموقف خخ، مراعي جدًا، داعم. 
وودّي متى ما كان عندك ملاحظات أو أي شيء يحتاج تطوير أو حل مشكلة حتى لو شيء بسيط تشاركنا. وممتنين لك صدقًا أنس.
</t>
  </si>
  <si>
    <t>rpQPdM</t>
  </si>
  <si>
    <t>شهد صلاح</t>
  </si>
  <si>
    <t xml:space="preserve">اخترت 8 في نقطة توصيل المعلومة وأنا ودي أتراجّع، لأنه يستاهل الـ 10 دائمًا. 
بس أحيانًّا أعتقد ودي يكون فيه -إسراف- في شرح الفكرة اللي محتاج تطبيقها، لأن المخرجات تكون عكس المطلوب بسبب هذه النقطة. </t>
  </si>
  <si>
    <t xml:space="preserve">إذا ما عندي مرئيات، أعطوني مساحة للمدح لا هنتوا.
مئة بالمئة، محد وصّل الفريق إلى هذا القدر العالي من المسؤولية في إتقان والإحسان بالمهام إلّا القائد اللي خلف الكواليس، وممتنة جدًّا لأني كنت منهم. أفضل ما يفعله أنس، يحفّز استقلاليتك، يعطيك مساحتك، يشاركك مسؤوليات جديدة أو يرميك في البحر. 😁 وبالأخير ما تغرق، لأنه أعطاك ثقة عالية وأنت بتقدم أفضل وأكثر ما عندك عشان تكون قدها. </t>
  </si>
  <si>
    <t>الفريق عنده الرغبة دائمًّا بأنه يتعاون ونتقاطع مع بعض، لأن أتوقع احنا من قلّة الفرق اللي تحقق هذا الشيء وممكن بسبب طبيعة عملنا. فكل واحد عنده مسؤولية في زاوية بعيد عن الثاني، وقليل جدًّا تقاطعاتنا وتعاوننا لبعض. مو شيء سلبي أكيد، لأن يمكن كلنا كفو بعيد عن بعض. بس إلّا وتجي رغبة أنك تدور حول فريق ما تسبح لحالك، فما أعرف كيف يتم هذا الشيء. 
*بالمناسبة إذا هو بمحله أو لا، بس قرار حكيم لأن ما عندنا ليدر علينا، أشوفه يأثر بالتواصل بين الفريق.</t>
  </si>
  <si>
    <t>ممكن أحيانًّا ما يتطلب يشاركنا مرئياته أول بأول، لأننا نكون ماشيين بالطريقة الصحيحة. ولكن متأكدة فيه طريقة أصح، نقدر نمشي عليها ونتطور من خلالها.. فهذا اللي نحتاجه، أو من طرفي على الأقل. متأكدة أني بمكان جيد، ولكن المرئيات تساعدني عشان أوصل للي بعد الجيد واللي أطمح له دايم أكيد. فأتمنى يكون هذا الشيء مفتوح بيننا، عشان أعرف وين أشد حيلي أكثر.</t>
  </si>
  <si>
    <t xml:space="preserve">أنس الأهدل أفضل مدير صحي، كفو، طبيعي، صحيح، منطقي تقدرون تأمنونه على فريق وعيونكم مقفلة. </t>
  </si>
  <si>
    <t>opZGpN</t>
  </si>
  <si>
    <t>b2ARBL</t>
  </si>
  <si>
    <t>رفقة الهليس</t>
  </si>
  <si>
    <t xml:space="preserve">زيادة التواصل الفعال من الطرفين </t>
  </si>
  <si>
    <t xml:space="preserve">متابعة المهام بشكل أكبر </t>
  </si>
  <si>
    <t>ممكن نقطة تعزيز الثقة فيما يخص المهام بعينها وليس بالعموم، بس عمومًا نقطة تعزيز الثقة بشكل عام أعطيها 10/10</t>
  </si>
  <si>
    <t>ممكن الاستثمار بشكل أكبر بإعطاء مرئيات مفصلة</t>
  </si>
  <si>
    <t xml:space="preserve">مديرنا رهيب بس شخصيًا أشعر أنه مرات أحتاج أسمع مرئيات مفصلة حول تطور سير العمل في مهام معينة من مديري شخصيًا </t>
  </si>
  <si>
    <t xml:space="preserve">مديري رهيب ومحفز وبظني لو في نقطة بشكل عام نحتاج نركز عليها هي التواصل من الطرفين </t>
  </si>
  <si>
    <t>vpayyg</t>
  </si>
  <si>
    <t>ajlpD2</t>
  </si>
  <si>
    <t>نوره الرشيد</t>
  </si>
  <si>
    <t xml:space="preserve">كلّش تمام وأحس واضحة الأولويات أغلب الوقت. لكن نحتاج تأكيد على الأولويات بين فترة وفترة، وممكن لو  لاحظ أنه فيه مجهود قاعدين نصبه في غير محلّه يعطينا خبر أسرع.
</t>
  </si>
  <si>
    <t xml:space="preserve">مريح بالتعامل وطريقة العمل معه مثالية، وما ببالي أي مرئيات للتطوير. </t>
  </si>
  <si>
    <t xml:space="preserve">أحيانًا أشعر إننا مو مندمجين كفريق واحد من ناحية العمل. 
لو كان عندنا اجتماع شهري/ربعي، ممكن يساعدنا ندخل في جو واحد ويوضح لنا الأهداف العامة للفريق، وأهداف كل فرد بشكل خاص. 
مو شرط يكون مفصّل، أفهم الامتناع عن هذي الاجتماعات لأن ممكن ينظر إليها كضياع للوقت أو تشتيت للفريق، لكن ودي نجرب ونشوف أثرها على حماس الفريق. </t>
  </si>
  <si>
    <t xml:space="preserve">تطوير الفريق ككل ورفع الإنتاجية أستشف أنه هاجس دائم عنده، لكن لما يجي على المستوى الشخصي ودّي لو لاحظ جوانب تحتاج تطوير يقترح حلول، مثال: لو أخذت هذا الكورس ممكن يدعم الفريق في مشروع معين أو يحسن من فهمك لحاجة معينه أو مخرجاتك تكون أكثر فائدة. </t>
  </si>
  <si>
    <t xml:space="preserve">ما أعرف، بس العمل تحت قيادة أنس بشكل عام يحسّن من جودة الحياة. 
وما قد سمعت تذمّر من قيادته. 
وشكرًا لكم. </t>
  </si>
  <si>
    <t>QXq5rX</t>
  </si>
  <si>
    <t>j0E80Q</t>
  </si>
  <si>
    <t>سيف الدين</t>
  </si>
  <si>
    <t>لا، حاليا</t>
  </si>
  <si>
    <t>لستُ أهلا لذلك صراحة</t>
  </si>
  <si>
    <t>لا أملك شيئا، صدقا لديه تحكم رهيب في الفريق وقيادته</t>
  </si>
  <si>
    <t>ليس لدي شيء</t>
  </si>
  <si>
    <t>dpoxlK</t>
  </si>
  <si>
    <t>EBao8B</t>
  </si>
  <si>
    <t>شذى محمد</t>
  </si>
  <si>
    <t>في المهام المباشرة الوضوح موجود وملموس ورائع جدًا. 
لكن يكون فيه شيء من الضبابية فيما يتعلق بالأهداف المقبلة والمهام على المدى البعيد، أشعر إننا أحيانًا ما نعرف عن بعض الأمور إلا حين حدوثها، مثل حكاية الاشتراكات وموعد تفعيلها، وعدم وضوح كيف ستؤثر على مهامنا ووتيرة عملنا الحالية.</t>
  </si>
  <si>
    <t xml:space="preserve">أحترم جدًا طريقة عملنا في الفريق وأقدر الثقة والاستقلالية الممنوحة لنا منك، وكذلك عدم تردّدك في تقديم المساعدة متى ما طلبناها، ووجودك على الخط مع أي حاجة جديدة -مثل أول تجربة نشر حصري لفنجان في رمضان-، استمر مدير. </t>
  </si>
  <si>
    <t>مبادرتك في تسهيل تعاون الفريق بين بعضه رائعة، لمسنا نتائجها الإيجابية في مشروع الإطلاقات تحديدًا. لكن أحيانًا نشعر إنك مختفي شوي، والتحفيز -صح إننا ما نحتاجه اسم الله علينا ههه- أثره موجود لكن قليل.</t>
  </si>
  <si>
    <t>أخاف شوي من الدخول في فترة ركود فيما يتعلق بالتطوير المهني، وأتمنى صدق تشير لنا أكثر لو فيه مهارات تتخيل إنها تعود بفائدة على عملنا، وتشجعنا نجرب تجارب وتحديات جديدة.</t>
  </si>
  <si>
    <t>يجيني شعور -وأظن أغلب الفريق يتفق- إن ودنا تشاركنا اجتماعات الفريق من فترة لفترة حتى نسمعك كذلك.</t>
  </si>
  <si>
    <t>لا يوجد. ✨مديرنا رائع✨</t>
  </si>
  <si>
    <t>Xg7WBg</t>
  </si>
  <si>
    <t>x068Rv</t>
  </si>
  <si>
    <t>لينا الصبيحي</t>
  </si>
  <si>
    <t>والله مب تعزيز بس صدق الحمدلله ربي رزقني مدير رهيب ورائع وساعدني كثير من يوم دخلت ثمانية على التطور الحمدلله</t>
  </si>
  <si>
    <t>0lY6gP</t>
  </si>
  <si>
    <t>OjVx98</t>
  </si>
  <si>
    <t>القاسم البلوشي</t>
  </si>
  <si>
    <t>نحتاج إلى المشاركة واللقاء المستمر في تحديد الأولويات وبناء مستقبل واضح</t>
  </si>
  <si>
    <t>الاستقلالية في العمل تحتاج إلى ضبط الجهد</t>
  </si>
  <si>
    <t>نحتاج إلى مشاركة أكثر في اتخاذ القرارات.</t>
  </si>
  <si>
    <t>وضوح هيكل ومستقبل الفريق</t>
  </si>
  <si>
    <t>بارك الله فيكم نحتاج زياده في عدد الموظفين في الفريق لكي يكون العمل أكثر تخصصيه وانتاجيه عالية.</t>
  </si>
  <si>
    <t>rpQ6EX</t>
  </si>
  <si>
    <t>l04kBv</t>
  </si>
  <si>
    <t>شريف الشاذلي</t>
  </si>
  <si>
    <t>لا شيء أريد اضافته</t>
  </si>
  <si>
    <t>- نحتاج نكثر من الجلسات الفردية المعتادة لمتابعة تحديثات الفريق، هذه الجلسات تفرق نفسيًا 😂
- نحتاج متدربين لفريق تواصل ثمانية إن أمكن 😂
- شكرًا على مجهودك، شكرًا على ثقتك العمياء وإن شاء الله دائمًا أكون قدها ❤️</t>
  </si>
  <si>
    <t>يارب يبارك فيكم وفيه ❤️</t>
  </si>
  <si>
    <t>yGb60X</t>
  </si>
  <si>
    <t>LEoLKv</t>
  </si>
  <si>
    <t>أشعر إنه نحتاج كفريق من فترة إلى فترة تحديد الأولويات لما هو قادم، وعدم الاعتماد على الفرق الأخرى لأخذ أي معلومات عن أي تطورات أو مشاريع جديدة لها أولوية.</t>
  </si>
  <si>
    <t>يتفهم مشاعر الفريق أكثر شوي، والضغط الحاصل من الإنتاج علينا.</t>
  </si>
  <si>
    <t>كل الفرق الأخرى بقياداتهم يعززون لبعض، ويمدحون بعض، ويقولون كفو لبعض، إلا فريقنا، وبنظرة بسيطة على قائمة الـ"كفو" تشوف إننا أقل فريق من بين الفرق مجتمعة. هل هذا يعني إننا مو كفو؟ لا أبدًا، ولكن الدعم والامتنان ولو على الجهد المبذول حاليًا يفرق كثير بمعنوياتنا ويعطينا حافز كبير للأهداف القادمة.</t>
  </si>
  <si>
    <t>أتفهم الانشغال والمسؤوليات، ولكن الانتظار إلى وقت التقييم لإبداء المرئيات شيء غير صحي. لاحظت شيء غلط أو اقتراح لتحسين شيء؟ شاركني مباشرة. الانغماس بمنصات التواصل طبيعة عملنا، ومن أعراضه إننا ما نلاحظ بعض الأشياء اللي قد تكون لو نُفذت بشكل صحيح لكانت أفضل. وصدقني أبدًا ما راح ننزعج، لأننا بحاجة للمرئيات.</t>
  </si>
  <si>
    <t>أرجو إنك تتقبل مرئياتي بصدر رحب. كل الحب أبو هيا 🫶</t>
  </si>
  <si>
    <t>شكرًا لهذا التقييم، والله ينفع به.</t>
  </si>
  <si>
    <t>gpV5oN</t>
  </si>
  <si>
    <t>96rK9E</t>
  </si>
  <si>
    <t>«التواصل» في قسم التواصل مهم جدًا.</t>
  </si>
  <si>
    <t>التفويض شرّ لا بُد منّه، ثق أكثر، وشاركنا الصورة الكبرى عشان نعرف الهدف من مهامنا الصغيرة.</t>
  </si>
  <si>
    <t>لا مرئيات هنا. الفريق ومديره فلّة. 🤪</t>
  </si>
  <si>
    <t>خطط العمل مب واضحة في قسمي الداخليّ، وفي عشوائية فالمهام بعض الأحيان.</t>
  </si>
  <si>
    <t>شاركنا حكمتك أكثر، وتواصل معنا بشكل أفضل. 🥲</t>
  </si>
  <si>
    <t>للأمانة، تراه تحسّن في الفترة الأخيرة. 👏🏼</t>
  </si>
  <si>
    <t>أشعر أنه توجد فرصة لتوضيح (inputs) المهمات بطريقة افضل</t>
  </si>
  <si>
    <t>اعطاء المرئيات والانتقاد "البناء" للفريق ما بين فترة واخرى
التشجيع والثناء على النجاحات اكثر من مرات اللوم على التقصير</t>
  </si>
  <si>
    <t>زيادة التحفيز
مشاركة الفريق في اتخاذ القرارات</t>
  </si>
  <si>
    <t>أشعر بعض الاحيان أن حزم الإدارة العليا مع ابراهيم ينعكس على تعامله مع الفريق،، فينقل اللوم كما هو ويشاركنا المرئيات السلبية أو "التهزيء" كما هو</t>
  </si>
  <si>
    <t>ay1xvW</t>
  </si>
  <si>
    <t xml:space="preserve">- </t>
  </si>
  <si>
    <t xml:space="preserve">- حضور الإجتماعات المتفق عليها. 
- الرد على بيسكامب وغيره. 
- توضيح رأيه في المخرجات حتى وإن لم تعجبه. </t>
  </si>
  <si>
    <t xml:space="preserve">- إعلام الفريق عند اتخاذ القرارات. 
- العمل بطريقة الفريق الواحد وليش بالأفراد. 
 </t>
  </si>
  <si>
    <t>- حضور الإجتماعات المتفق عليها. 
- الرد على بيسكامب وغيره. 
- توضيح رأيه في المخرجات حتى وإن لم تعجبه.</t>
  </si>
  <si>
    <t>لا تعلموه من أنا..</t>
  </si>
  <si>
    <t>4qYj8r</t>
  </si>
  <si>
    <t>qYNrLk</t>
  </si>
  <si>
    <t>شهد الفوزان</t>
  </si>
  <si>
    <t xml:space="preserve">أحيانًا أرغب بتلقي توجيهات أو نصائح تدعم تطوري في المجال خاصة وأنني عند انضمامي كنت جديدة على عالم النشرات، (وما زلت) فكنت أرغب بمعرفة ملاحظات مديرتي سواء سلبية أو إيجابية. </t>
  </si>
  <si>
    <t>l5jLpo</t>
  </si>
  <si>
    <t>V9xK5E</t>
  </si>
  <si>
    <t>لا يوجد الصراحة :)</t>
  </si>
  <si>
    <t>xo7y65</t>
  </si>
  <si>
    <t>V9xKyv</t>
  </si>
  <si>
    <t xml:space="preserve">أكثر مدير واضح ويحدد الأولويات. </t>
  </si>
  <si>
    <t xml:space="preserve">أحب أنه يثق فيني، وكثير مهام أو قرارات موارد بشرية يتركها علي بدون ما يتدخل، وأحترم هذا الشي. </t>
  </si>
  <si>
    <t xml:space="preserve">ممتاز في كل شي، التعليق الوحيد: كيف نوحد الفريقين. أشوف أنه كل فريق شغال لحاله. يمكن بعض اجتماعات الفريق لازم يديرها بنفسه. </t>
  </si>
  <si>
    <t>شاركنا مرئيات أكثر عن أداءنا وتقييمنا. حلو نسمع منك. أكثر شخص أسلوبه رهيب في توصيل المرئيات، ف حلو نتعلم منك دائمًا ونتطور. 
وأكيد ولا مرة قصرت في مشاركة المرئيات إذا طلبتها منك، فيعطيك العافية. 
توزيعك للمهام والأولويات ووضع خطة، ساعدنا في رفع أداء وإنتاجية الفريق. فشكرًا</t>
  </si>
  <si>
    <t xml:space="preserve">البراء أفضل إضافة للفريق، وأشوف مهم وجودك في كل فريق ولو لفترة محددة، تساعدهم في تطوير آلية العمل وتوزيع المهام والأولويات. 
التحويل اللي شفته في فريق ثقافة المنظومة، أثق أن البراء رح يفيد باقي الفُرق ويوحد طريقة العمل/التواصل/المهام في كامل المنظومة. </t>
  </si>
  <si>
    <t>BgYDrY</t>
  </si>
  <si>
    <t>x06AW9</t>
  </si>
  <si>
    <t>تيسير قباني</t>
  </si>
  <si>
    <t xml:space="preserve">لكي اكون موضوعي انا ما صرلي مدة طويلة بالشركة واعتقد الصورة اكيد بتكون اوضح بعد السنة 
ولكن كنت بتمنى لو سمعت تعليقات اكتر عن شغلي ان كانت سلبية او ايجابية كانت ساهمت بتطويري </t>
  </si>
  <si>
    <t>OgZJ08</t>
  </si>
  <si>
    <t>Yoq20B</t>
  </si>
  <si>
    <t xml:space="preserve">فقط استمرّ لوضع الأولويات نصب عينيك ووجه الفريق نحوها </t>
  </si>
  <si>
    <t xml:space="preserve">أبقى كما انت داعم ومحفز للفريق، وجود قائد داعم للفريق يحفز للإنتاجية والتقدم </t>
  </si>
  <si>
    <t>ممتنه جدًا اني عملت تحت قيادة جميل عبدالأحد. أضاف لي الكثير وساعدني بتعلم الكثير واستكشاف الفرص المتاحة</t>
  </si>
  <si>
    <t>PgNXKQ</t>
  </si>
  <si>
    <t>61VqMA</t>
  </si>
  <si>
    <t xml:space="preserve">تواصل بشكل أفضل وبشكل مستمر مع فريقك واسمع منهم أكثر حول خططهم لتطوير علمهم وأداءهم. </t>
  </si>
  <si>
    <t xml:space="preserve">كن كريم مع فريقك في توضيح طبيعة المهام المفوضة لهم. </t>
  </si>
  <si>
    <t xml:space="preserve"> لا شيء :) </t>
  </si>
  <si>
    <t xml:space="preserve">متابعة أعمال فريقك ومراجعة مهامهم وإعطاءهم مرئيات واقتراحات للتطوير. ليس على مستوى الإنجاز فقط. </t>
  </si>
  <si>
    <t xml:space="preserve">كفو على جهدك الدائم، وتذكر أن بوسعك اكتشاف مهارات فريقك وامكانيتهم وتوجيهها بشكل أفضل، يضعك ويضعهم في المقدمة دائمًا.   </t>
  </si>
  <si>
    <t>opZ7rX</t>
  </si>
  <si>
    <t>N4OzOO</t>
  </si>
  <si>
    <t>صفا فكاك</t>
  </si>
  <si>
    <t xml:space="preserve">أحيانا يكون في عدم وضوح وتغيير في الأولويات بين الحين والأخر. الأفضل معرفة أولوية المهام لتحديد مسار واضح. </t>
  </si>
  <si>
    <t xml:space="preserve">طريقة العمل ممتازة والحمدلله في ثقة كبيرة. </t>
  </si>
  <si>
    <t xml:space="preserve">ديمة متعاونة جدا في التحفيز والقيادة ودايما تشجعني على المبادرة أكثر. </t>
  </si>
  <si>
    <t xml:space="preserve">ديمة أكثر شخص يدعم التفكير الابداعي ولكن أحيانا هي تركز في نقطة الابداع فيني وأنا اعرف انها مو من نقاط القوة عندي وذكرت لها النقطة هذي. ولكن هي تحاول دايما نشوف مجال للتطوير وأشكرها على الشي هذا. </t>
  </si>
  <si>
    <t xml:space="preserve">شكرا للثقة والدعم الدائم. </t>
  </si>
  <si>
    <t xml:space="preserve">انسانة متمكنة ومحفزة للاخرين ودائما متواجدة للمساعدة. </t>
  </si>
  <si>
    <t>ay1jNq</t>
  </si>
  <si>
    <t>A6QZdD</t>
  </si>
  <si>
    <t>خالد العبدالواحد</t>
  </si>
  <si>
    <t xml:space="preserve">واضح أحيانًا ويصعب فهمه في أوقات أخرى، ولكن يحاول يكون أوضح ليسهل عمله وعمل غيره. </t>
  </si>
  <si>
    <t>لا يوجد لدي ما أكتبه هنا.</t>
  </si>
  <si>
    <t>لا يوجد ما أضيفه</t>
  </si>
  <si>
    <t>رامي أنت راجل رائع، لاتضغط نفسك كثير، حاول تجرب طرق جديدة للعمل بعيدًا عن الطرق اللي متعود عليها وقيمها بشكل عملي يريك مدى جودة تطبيقها، الوكالات والعمل معها شيء رائع ولكن لابد من آلية لضبط العلاقة معهم وأنا كلي ثقة بأنك قادر على ضبط هذه الآلية.</t>
  </si>
  <si>
    <t>ay1K09</t>
  </si>
  <si>
    <t>V9x276</t>
  </si>
  <si>
    <t xml:space="preserve">فيما يخص الأولويات عادةً يميل رامي للواقعية، حتى لو كان الامر لا يشبه ثمانية،
فهو واقعي في البيع، وواقعي فالتنفيذ، يصب تركيزه بشكل كامل على الآن وما سيبني عائد له. </t>
  </si>
  <si>
    <t xml:space="preserve">كانت إدارة رامي لي قصيرة، لذلك من خلال تجربتي:
أن يوكل المهام حسب الإحتياج الفعلي، لأفضل نتيجة، لا ما سيقلل عنه الحمل.  </t>
  </si>
  <si>
    <t>ناقش بهدوء أكثر.</t>
  </si>
  <si>
    <t>خلطة ثمانية مختلفة، حاول فهمها أكثر،
تجمع بين ما اعتدنا على عمله وما يجب أن نتعلمه خلال تجربتنا هنا.
هي بالمنتصف، إنسانية و أصيلة بحته، لكن عملية وغير واقعية، تتطلب منا الجرأة، والخروج عن ما اعتدنا عليه عادة.</t>
  </si>
  <si>
    <t xml:space="preserve">تجربتي مع رامي قصيرة جدًا، ولا أعتقد أن مكاني تقييمه الحقيقة. 
رامي رائع في توضيح المعلومة، وشرح ما يرغب في ايصاله لك كموكل لمهمة، لما أطلب منه مساعدة يعطيني ما أحتاج، فعلا.
لكن في توكيل المهام لا أعتقد أنه يعطيك جناحات لتكبر انما يستخدم مهاراتك لتسهيل وصول نتائج يراها صائبة،
وفي كثير من الاحيان يكون في هالاستخدام جهود مهدرة.
وهذا نوع أخر من الادارة، لا اعتقد انه المطلوب تحت سقف ثمانية. </t>
  </si>
  <si>
    <t>EgGNKq</t>
  </si>
  <si>
    <t>dZR5Ld</t>
  </si>
  <si>
    <t>لا أذكر أن كان هنالك هدفًا واضحًا</t>
  </si>
  <si>
    <t>يصبّ الكم على المرؤوس.</t>
  </si>
  <si>
    <t>متروكة على الفرد.</t>
  </si>
  <si>
    <t>شكرًا.</t>
  </si>
  <si>
    <t>شكراً.</t>
  </si>
  <si>
    <t>xo7lak</t>
  </si>
  <si>
    <t>رزان سنبل</t>
  </si>
  <si>
    <t xml:space="preserve">أجد أسلوب ريان جداً واضح ومباشر 💯
</t>
  </si>
  <si>
    <t xml:space="preserve">سهولة التواصل وسرعة الاستجابة مع ريان تسهل كل النقاط السابقة 💯
</t>
  </si>
  <si>
    <t>أعتقد نقطة غير التي ذكرت. هو أوقات تطول الاجتماعات أكثر من المطلوب أو تحيد النقاشات عن هدفها الأساس فأعتقد بشكل عام أجد في إدارة الاجتماعات فرصة للتحسين. وممكن يكون في ورش للتفكير مع الفريق لمناقشة جزء كثير من الأفكار اللي تقترح في الاجتماعات.</t>
  </si>
  <si>
    <t>أعتقد نحتاج جلسة Retrospective أخرى بعد انتهاء آخر دورة للاشتراكات لتغطية آلية العمل «من مرحلة الكتابة للاختبارات». لكن بشكل عام أنا متطلعة لتجربة أي طريقة عمل وتحسينها سوياً</t>
  </si>
  <si>
    <t>ريان الأفضل! استمر👍</t>
  </si>
  <si>
    <t>شكراً لكم</t>
  </si>
  <si>
    <t>1xYpbl</t>
  </si>
  <si>
    <t>96rLWG</t>
  </si>
  <si>
    <t>محمد لمين مدُّور</t>
  </si>
  <si>
    <t>ريان ممتاز جدا في عدة جوانب، هو شخص مثابر و يحاول يكون ملم بكل شي في العمل مايفوته شيئ بحيث يوصل للقرارت المناسبة في الأوقات المناسبة، مع ذلك يحتاج إلى العمل أكثر على ضبط توقعات أصحاب المصلحة من الفريق و مساعدة أفراد الفريق أكثر في إدارة مهامهم بشكل فعال.</t>
  </si>
  <si>
    <t>طريقة عملك ممتازة و حماسك في الشغل يحفزنا كثيرا، يمكن تضاعف هذا التأثير بالعمل على فهم مشاعر كل فرد من الفريق بشكل أكبر.</t>
  </si>
  <si>
    <t>دائما أؤكد على أن التأثير في معنويات الفريق أمر بالغ الأهمية لكل قائد، من الرائع أن يقوم كل منا بتطوير هذا الجانب.</t>
  </si>
  <si>
    <t>شخص داعم بشكل مستمر في كل مراحل العمل، بحكم طبيعة العمل فيه شوية تقييد في ما يخص الأفكار الجديدة. أتفهم كل المؤثرات الأخرى لكن التفكير الابداعي جدا مهم في تطوير المنتجات.</t>
  </si>
  <si>
    <t xml:space="preserve">شكرا لك على مجهوداتك الطيبة و أتمنى أن تجد تقييمي مفيدا </t>
  </si>
  <si>
    <t>opZg8N</t>
  </si>
  <si>
    <t>v0gXLg</t>
  </si>
  <si>
    <t>مصطفى  عبدالعزيز</t>
  </si>
  <si>
    <t>- أرى أن حضرتك تمتلك قدرة رائعة على إدارة الأولويات ووضع أهداف طموحة</t>
  </si>
  <si>
    <t>- أرى أن حضرتك تمتلك قدرة رائعة على المساعدة في العمل اذا أحتجت</t>
  </si>
  <si>
    <t>- أرى أن حضرتك تمتلك قدرة رائعة على إدارة الفريق وتعزيز معنوياتي</t>
  </si>
  <si>
    <t xml:space="preserve">-على الرغم من أرى أن حضرتك تمتلك قدرة رائعة على على دعمي وتطويري، هل يمكن الشركة تستثمر في  أخذ شهادة CMA. </t>
  </si>
  <si>
    <t>DYoE5N</t>
  </si>
  <si>
    <t>احمد الشبلي</t>
  </si>
  <si>
    <t>9aYY45</t>
  </si>
  <si>
    <t>N4EXbl</t>
  </si>
  <si>
    <t>في فترة العمل مع عبدالرحمن  كان مفوض لي كل المهام باستقلالية كبيرة .</t>
  </si>
  <si>
    <t>كما ذكرت فإني كنت أعمل باستقلالية وتفويض كامل لإدارة مهام الإدارة المالية للشركة فكانت طريقة العمل على أحسن مايرام.</t>
  </si>
  <si>
    <t>A0Ye2B</t>
  </si>
  <si>
    <t>EBAW0o</t>
  </si>
  <si>
    <t xml:space="preserve">أظن أننا نحتاج لتحديد نقاط التركيز والأولويات لنا جميعًا، من فترة لأخرى.
ما أظنها تقع على عاتق عبدالرحمن بالضرورة، لكنها أكيد على عاتق المكتب التنفيذي.
فأحيانًا أشتغل على شيء، ويكون تعليق قسم آخر أن هذا مو ضروري، أو نحتاج منك شيء آخر.
لو بقول:
1. تحديد مناطق تركيز لجهود الشركة، زي هل المتجر هذا وقته أو لا، لأنّه بيآخذ حيّز من التفكير والمال ... إلخ.
2. تحديد مستهدفات ربعية لكل قسم، أخذًا بالاعتبار مستهدفات الشركة الربعية.
3. مراقبة ومراجعة المستهدفات في التقارير، أسوّيها بالنية، لكن لو كانت بالإجبار على كل الأقسام، بتكون فعّالة.
فيه شيء ممكن يفيد، بيساعدني جدًا أني أعرف أن عبدالرحمن عنده مشكلة في غياب مربع، ونحتاج برنامج حواري.
مثل هذه السوالف تكون سوالف طارفة، لكن لو حدّدنا أنها أولوية قصوى، ممكن العمل عليها يكون جِدي أكثر.
وأقترح، أن تُفتح المهام هذه في مجموعة ثمانية، فتكون طلبات المكتب التنفيذي لنا موجودة في مهام.
حتى لو كانت أفكار عابرة، أو أفكار مبعثرة.
وأحيانًا أنا ملقوفة وودّي أعرف وش أولويات الفرق الأخرى، مثل الموارد البشرية أو التقنية. </t>
  </si>
  <si>
    <t>أشعر أني فراشة تطير في ثمانية، كل شيء ممكن ومقبول وعادي ومتاح، لو كان صح ... وهذا أحلى شيء.</t>
  </si>
  <si>
    <t>لو كل المدراء في القيادة كانوا عبدالرحمن، يا سلام.</t>
  </si>
  <si>
    <t>ما أظن التطوير شغلة عبدالرحمن، خصوصًا مع التنفيذين.
بس ممكن مساعدتهم في اقتناص فرص تقوّيهم، لكن مجددًا ما أحسها شغلته مئة بالمئة.
أما عن الدعم، أشعر دائمًا أن عندي كل الدعم منّه.</t>
  </si>
  <si>
    <t xml:space="preserve">"أخذ سيفك، وأخذ درعك، وأخذ رمحك، وأخذ شلفاك.
تحيزم شعبك، وحدّد هدفك، ونذرًا تصيبه
هذا كرسيك، وملكك، وذا تاجك، وذا مركاك.
على ما دلّك المولى وسوى اللى تسويبه" 🤪🤪🤪
</t>
  </si>
  <si>
    <t>bDMQvL</t>
  </si>
  <si>
    <t>0bGOG9</t>
  </si>
  <si>
    <t>إيضاح الخطط طويلة المدى، في أحيان كثيرة لا نعرف ماذا سنفعل في المستقبل البعيد، وهذا قد يجعلنا غير مستعدين من ناحية تقنية.</t>
  </si>
  <si>
    <t>طريقته عمله رائعة ويُمكّن ويفوّض بفعالية عالية.</t>
  </si>
  <si>
    <t>قيادته رائع وممتازة، ولكن في أحيان كثيرة لا يعطي قرارات واضحة تُشرك جميع أعضاء الفريق. فأتفاجأ في بعض الأحيان أن هناك توجيه لفريق التسويق مختلف عن التوجيه الذي لدي. وهذا قد يؤدّي إلى تأخير التسليم أو تعارض في المُخرجات.</t>
  </si>
  <si>
    <t>مديري داعم بشكل ممتاز من ناحية معنوية ومن ناحية إدارية ويهتم كثيرًا لتطوير الفريق داخليًا لدي. ولكن قلّما يوجهني بشكل واضح إن احتجت مساعدة إدارية.</t>
  </si>
  <si>
    <t>عبدالرحمن مجتهد جدًّا في إدارته للفريق وهو مدير إبداعي بالدرجة الأولى. أعذره لأنه مشغول جدًّا على أكثر من جهة فلا يستطيع في بعض الأحيان إعطاء كل شيء وقته.</t>
  </si>
  <si>
    <t>epOMlE</t>
  </si>
  <si>
    <t>V9qM2l</t>
  </si>
  <si>
    <t>لا يوجد حاليا</t>
  </si>
  <si>
    <t>PgQX6P</t>
  </si>
  <si>
    <t>EBA654</t>
  </si>
  <si>
    <t xml:space="preserve">- أتمنى الحصول على مرئيات أوضح حول أولوية بعض المشاريع.
- أحب القائد الطموح وينعكس هذا في تحديات طموحة أحيانًا لكن في أحيان أخرى تصبح صعبة وغير واقعية.  </t>
  </si>
  <si>
    <t>أشعر أن طريقة العمل بشكل عام رائعة، وهو من أفضل من عملت معهم.</t>
  </si>
  <si>
    <t>أحيانًا تكون هناك حدية في الرأي أو القرارات وتختلط لدينا فلا نعلم هل الرأي شخصي أو رأي وقرار الرئيس. أشعر أنها ستساعد كثيرًا لو اتضح ذلك في السياق.</t>
  </si>
  <si>
    <t>لم تتاح الفرصة لنا للحديث عن خطة تطوير شخصية ومهنية متوافقة مع العمل الحالي.</t>
  </si>
  <si>
    <t>قائد رائع ومشروع مؤثر، وعسى الله أن ينفع بنا وبكم العالم أجمع.</t>
  </si>
  <si>
    <t>Jgjex4</t>
  </si>
  <si>
    <t>تركي القحطاني</t>
  </si>
  <si>
    <t xml:space="preserve">أحيانًا أشعر بنعم جدًا، وأحيانًا لا. يعني في التقنية واضح أنه يعرف وين رايح التطبيق. المالية والاستديوهات ما يحرص عليهم. </t>
  </si>
  <si>
    <t xml:space="preserve">أحيانا يوضح المتوقع منك بشكل دقيق، أحيانا لا. وهذا يشكل لي تحدي في إنهاء المهمة. </t>
  </si>
  <si>
    <t xml:space="preserve">الحقيقة أحب أشتغل معه لأنه طموح. وأنا أكره المدير اللي ما يهمه، نوصل القمر أو نوصل لآخر الشارع. </t>
  </si>
  <si>
    <t xml:space="preserve">ما أحس أنتظر من أحد يفكر في دعمي أو تطويري. أشوفها عيب في حقي. أنت روح اشتغل على نفسك. </t>
  </si>
  <si>
    <t xml:space="preserve">رايتك بيضاء حبيبنا، والمرئيات هي مرآه لنا، والصاحب أو المدير بلا تقصير، هو من قبيل المحال. هذا فقط للتطوير. </t>
  </si>
  <si>
    <t xml:space="preserve">سلامتكم </t>
  </si>
  <si>
    <t>YgBx65</t>
  </si>
  <si>
    <t>عبدالرحمن يركز كثير على «كيف» نعمل، أكثر من مستهدفات محددة، وهذا حسن.
ولكن أحيانًا الكيف لا يكون واضح بالشكل الكافي.</t>
  </si>
  <si>
    <t>التفويض والتمكين سمة هامة، تحببني في العمل مع عبدالرحمن.
وهو متاح متى ما طلبت.
لكن أحيانًا أتمنى لو يكون معنا في ما نفعل، يشيل هم مستهدفاتنا، ويساعدنا على تحقيقها.</t>
  </si>
  <si>
    <t>لا أرى أن التواصل مثالي بين الفريق التنفيذي. كثير من الأمور نتفاجأ بوجودها في قسم ما دون علم الأقسام الأخرى.
هل هو خطأي أنني لا أعلم؟ ممكن.
لكن ربما عبدالرحمن غير حريص على مشاركة معلومات أو ضبط التوجه العام.</t>
  </si>
  <si>
    <t>أمنيتي أن يكون عبدالرحمن كأنه جزء من فريقي. يساعدني على تطوري، وعلى انسجام الفريق، وأدائه بأفضل شكل.
غالبًا يأتي بمشكلة: "فلان يطلع خخخ" -- "فلان ما يعرف يشتغل".
لكن يرى أنه دوري آتي بحلول. وهذا حق.
لكن بيساعد كثير لو شاركني حلول من عنده، هو يرى الأداء من مكان مختلف، ويعلم ما يصلح لثمانية.</t>
  </si>
  <si>
    <t>أتمنى أن تتحمل صراحتي.
العمل معك ميزة، ونعمة، ممتن لها أبدًا.
أنت قائد ملهم فعلًا، وعبقري في ما تفعل، وواعي بما لا تعرف. وهذا نادر.
لكني طماع، مثل ما تعلمنا منك خخخ، وودي دائمًا بقربك، ومشاركتك صناعة القرار، وإلّا لن أكون قادر على النجاح في عملي.</t>
  </si>
  <si>
    <t>لا تعطونه إنذار، بيتحسن إن شاء الله خخخ.</t>
  </si>
  <si>
    <t>QX962G</t>
  </si>
  <si>
    <t>LEV82y</t>
  </si>
  <si>
    <t>يونس حسن</t>
  </si>
  <si>
    <t>مجرد إقتراح، قد يساعد دخول مُديري في جميع مشاريع اللي أشتغل عليها في حصول على وضوح أكثر من ناحية مهامي  ومنجزاتي.</t>
  </si>
  <si>
    <t>لا يوجد مرئيات. حتى الأن راضي  بكل بصراحة بطريقة العمل مع مُديري.</t>
  </si>
  <si>
    <t>حاليًا لا يوجد.</t>
  </si>
  <si>
    <t>حاليًا لا يوجد مرئيات وأول سؤال ما جاوبته لأن حسيت بدري أعمل تقييم الآن.</t>
  </si>
  <si>
    <t>لا يوجد للأمانة وإذا في شيء خبرته :)</t>
  </si>
  <si>
    <t>يمكن تحسون إجاباتي كلها مجاملة لمديري لكن صدقًا الإجابات تعبر عن تجربتي الحالية. يمكن قعد أقارن مع تجربتي بسنة 2023، وقتها تواصلي مع مدرائي كان نادرًا جدًا وكانوا يتغيرون كل 3-4 أشهر. يعني تواصلي مع عبدالقدوس في الشهرين اللي فات كان أكثر من مدرائي السابقين في سنة كاملة. والهدف عندي صار أوضح الآن.</t>
  </si>
  <si>
    <t>Lg4dkJ</t>
  </si>
  <si>
    <t>2bZaE9</t>
  </si>
  <si>
    <t>تغريد الحربي</t>
  </si>
  <si>
    <t xml:space="preserve">عبدالقدوس رائع، من وقت دخولة أنا شخصيًا تطورت وأداء في العمل كذلك وكان فعلًا شخص فاهم ويقدر يساعدني أتطور ونساعد الموظفين كذلك. جدًا سعيدة أن عبدالقدوس فعلًا مديري وأعتقد دائمًا أشاركه كافة مرئياتي وملاحظاتي بشكل دوري. </t>
  </si>
  <si>
    <t xml:space="preserve">لا أشعر ما يميز عبدالقدوس أنه معطينا كافة الصلاحيات والمسؤوليات حتى أقوم بعملي بأفضل شكل. </t>
  </si>
  <si>
    <t xml:space="preserve">عبدالقدوس رائع في إدارة الفريق وتعزيزهم والسؤال عنهم كل فترة. </t>
  </si>
  <si>
    <t xml:space="preserve">ممكن فعلًا محتاجة أخصص وقت أتطور فيه أكثر في جوانب عديدة. </t>
  </si>
  <si>
    <t xml:space="preserve">شكرًا عبدالقدوس، سنتين من العمل معك أخذتني لمكان مختلف. </t>
  </si>
  <si>
    <t>شكرًا ✨</t>
  </si>
  <si>
    <t>yG8xN4</t>
  </si>
  <si>
    <t>V9dPga</t>
  </si>
  <si>
    <t>هياء الشقاوي</t>
  </si>
  <si>
    <t xml:space="preserve">جيّد أن يكون هناك رؤية واضحة للأولويات وإصدارها للموظف. </t>
  </si>
  <si>
    <t>كلا</t>
  </si>
  <si>
    <t xml:space="preserve">مديري رائع، يتحدث عن أخطائي بيني وبينه، ويدعمني في الخارج امام الجميع. لكن بعض الأحيان افتقد إلى التشجيع ومشورتي في إتخاذ القرارات، كي أتعلم أكثر. </t>
  </si>
  <si>
    <t xml:space="preserve">مديري رهيب في محاولة تطويري، يشاركني المرئيات بستمرار مما رفع من إنتاجيتي واستمرار عملي بجد وجهد ومحاولة تطوير كل مشروع أعمل عليه يشاركني حتى أبسط التفاصيل، تغيير كلمة او رقم او حرف.  ولكنني أفتقد بعض الأحيان الى الوقت المخصص لي في تطوير مهاراتي وأشعر بعض الأحيان بأنني وحدي في العمل. </t>
  </si>
  <si>
    <t>أنت تستحق الإدراة ومدير رهيب يتمنى اي شخص أن يعمل معه. لأنك داعم، ومتعاون، ومبادر. أشعر بعض الأحيان بأنك بعيد، ولكن لا أضع اللوم عليك قد تكون إعتدت على طريقة عمل معينه وهذا تعليقي الوحيد فقط. شكرًا لك على إدارتك الرائعة وأتمنى لك الخير في كل الطرق 🫶</t>
  </si>
  <si>
    <t xml:space="preserve">لا </t>
  </si>
  <si>
    <t>MgjP8A</t>
  </si>
  <si>
    <t>v0pLdd</t>
  </si>
  <si>
    <t>4qV24b</t>
  </si>
  <si>
    <t>لا، تمام التمام.</t>
  </si>
  <si>
    <t>كمان لا.</t>
  </si>
  <si>
    <t>الصدق أنه رهيب.</t>
  </si>
  <si>
    <t>مع كثرة الضغوطات عندنا أعتقد محتاجين نقلل عدد الأشياء اللي بنشتغل عليها وتقديم جودة أعلى فيها بحيث تصب في تطويرنا مهنيا وترفع جودة مميزات المنتجات لدينا بحيث ترفع نسبة التنافسية فيهم.</t>
  </si>
  <si>
    <t>شكرًا لك على توفير بيئة ممتازة تجعل كل أحد يبادر بتحمل مسؤولية أي شيء يعمل عليه.</t>
  </si>
  <si>
    <t>رهيب وأرهب مني :)</t>
  </si>
  <si>
    <t>YgllBN</t>
  </si>
  <si>
    <t>DXyzXb</t>
  </si>
  <si>
    <t xml:space="preserve">واضح ومرن في وضع الخطط للفريق.
</t>
  </si>
  <si>
    <t>سهولة التواصل وسرعة الاستجابة لدى علي سهلت كل النقاط السابقة الحمدلله</t>
  </si>
  <si>
    <t>ممكن يحتاج مشاركة إنجازات الفريق أكثر لخارج التقنية. خصوصاً بنهاية الأسابيع اللي يكون فيها ضغط أكبر زي مايسووا الانتاج تقريباً. لأن الانجازات في التقنية صعب مرة قياسها خصوصاً للمطورين</t>
  </si>
  <si>
    <t xml:space="preserve">ممكن يعزز التعاون أكثر مع المطورين pairing up
بيصير في فرص لتطبيق أقكار بصور مختلفة
خصوصاً في راديو </t>
  </si>
  <si>
    <t>علي عقلية متفتحة ومتعطشة للتعلم دائماً والتحسين
يسعدني العمل تحت قيادته</t>
  </si>
  <si>
    <t>شكراً</t>
  </si>
  <si>
    <t>opLjGM</t>
  </si>
  <si>
    <t>أروى المطرفي</t>
  </si>
  <si>
    <t xml:space="preserve">الصدق كفييت و وفيت ، ونِعم القائد  
مرئية عامة :
في بعض الاحيان تكون المعلومات واضحه لك من جميع النواحي ، فتشرح لنا المعلومه وكأننا نعرف جوانبها ايضاً </t>
  </si>
  <si>
    <t>قدوة فعلاً</t>
  </si>
  <si>
    <t>مدير رائع ، ودائماً يسعى لتطوير نفسه وآدائه بشكل ملحوظ🤍</t>
  </si>
  <si>
    <t>69gx4P</t>
  </si>
  <si>
    <t>XRkbrV</t>
  </si>
  <si>
    <t>محمد مصطفى</t>
  </si>
  <si>
    <t>لا ليس لدي</t>
  </si>
  <si>
    <t>MgBYop</t>
  </si>
  <si>
    <t>0bze1j</t>
  </si>
  <si>
    <t>التركيز على تحديد الأولويات</t>
  </si>
  <si>
    <t>المزيد من المرونة والتحفيز واعطاء الموظّف الاستقلالية والمساحة الكافية ليبدع ويؤدي مهامه</t>
  </si>
  <si>
    <t>مشاركة الفريق في اتخاذ القرارات والمزيد من الايجابية</t>
  </si>
  <si>
    <t>OgvJWg</t>
  </si>
  <si>
    <t>ajXd5v</t>
  </si>
  <si>
    <t>يعرب مصطفى</t>
  </si>
  <si>
    <t>في مرات اشعر بصعوبة في فهم ايش الأهم</t>
  </si>
  <si>
    <t>نو</t>
  </si>
  <si>
    <t>- العمل ياخذه بجدية عالية، مثابر و مجتهد و حريص انه يوفي المطلوب منه و اكثر و هذا شيء ممتاز و ثمانية محظوظة فيه.
أحيانا اشعر انك متفهم و تتفق مع النقاط اللي تكلمنا فيها و بعدين اتفاجأ بانفعال غير متوافق مع اللي تكلمنا فيه تماما،
و هذا اللي يخليني ما افهمك في كثير من الأوقات</t>
  </si>
  <si>
    <t>NgGVy0</t>
  </si>
  <si>
    <t>l0XkNN</t>
  </si>
  <si>
    <t>rWydWl</t>
  </si>
  <si>
    <t>r09ZG2</t>
  </si>
  <si>
    <t xml:space="preserve">لا ليس لدي </t>
  </si>
  <si>
    <t>xBXVGG</t>
  </si>
  <si>
    <t>Ojx0KK</t>
  </si>
  <si>
    <t xml:space="preserve"> </t>
  </si>
  <si>
    <t>dVEKGV</t>
  </si>
  <si>
    <t>2bG2Le</t>
  </si>
  <si>
    <t>هادى حفنى</t>
  </si>
  <si>
    <t>ارى ان بعض القرارات لا تصب فى مصلحة العمل والفريق بالعكس تقلل من الانتاجية مثل العرض المقدم فى نهاية كل دورة (Demo) أعتقد انه ليس من مسؤليات الفريق ولكن مسؤلية قائد الفريق أو product owner. فى بعض الاحيان تكون الأهداف غير واقعية وتحتاج وقت أكثر وأتفهم أن هذا بسبب ضغط من الإدارة لكن يجب على المدير مواجهة هذا.</t>
  </si>
  <si>
    <t>دائماً متواجد للمساعدة والمشورة</t>
  </si>
  <si>
    <t>يحتاج الي مشاركة الفريق بشكل اكبر في اتخاذ القرارات خصوصا التي تخص طريقة العمل على مستوى الدورات</t>
  </si>
  <si>
    <t>يجب وضع خطة واضحة لتساعدني عى التطور</t>
  </si>
  <si>
    <t>QyejoX</t>
  </si>
  <si>
    <t>2bWLLM</t>
  </si>
  <si>
    <t>واضح جدًا و أولوياته مرتبة ومنظمة، لكن أسلوبه أحيانًا شديد شوي، وقراراته حازمة</t>
  </si>
  <si>
    <t>رائع ومرن ومنفتح للتطوير والتحسين</t>
  </si>
  <si>
    <t xml:space="preserve">أرى أن يستمر فأبو إبراهيم قائد رهيب جدًا </t>
  </si>
  <si>
    <t>واضح جدًا من حيث مايبحث عنه ويريده في كل عضو من أعضاء الفريق</t>
  </si>
  <si>
    <t>استمر على ماتقوم به، ملهم، و عملي جدًا، شكرًا لك على دعمك وتحفيزك المستمر.</t>
  </si>
  <si>
    <t>أفضل مدير في ثمانية هو فيصل الغامدي</t>
  </si>
  <si>
    <t>xBMo85</t>
  </si>
  <si>
    <t>كل الأولويات واضحه. خصوصًا في بداية كل أسبوع، لكن تحتاج إلى ضبط خلال الأسبوع.</t>
  </si>
  <si>
    <t>في بعض الأحيان يحتاج الموظف إلى أكثر استقلالية، خصوصًا إذا عرف الموظف أولوياته. أشعر أن المساحة تعطي مسؤولية للفريق.</t>
  </si>
  <si>
    <t>الاجتماع الأسبوعي رهيب، فستمر عليه.</t>
  </si>
  <si>
    <t>دائمًا تشاركني المرئيات بشكل دوري، وهذا مايجعل العمل معك رائع.</t>
  </si>
  <si>
    <t>يعطيك العافية على كل ماتقدمه لفريقك أو لثمانية.</t>
  </si>
  <si>
    <t>مديري رهيب! 🦸🏻‍♂️</t>
  </si>
  <si>
    <t>p9yQPy</t>
  </si>
  <si>
    <t>2bWDlj</t>
  </si>
  <si>
    <t xml:space="preserve">مما رأيت خلال فترة تجربتي هنا عادةً ما ترتب أولوياتنا كفريق بناءً على قدرات كل شخص.
وفيصل رائع في دعم الفريق وإعطاء فرص متكررة لكل شخص بناءً على قدراته، 
يُظهر وعيًا كبيرًا في إعطاء المساحة المناسبة لكل فرد.
مع ذلك، أشعر أنه بحاجة لتطوير في جزء وضوح التوقعات.
وكمثال على الشكل المثالي لإعطاء مهمة بالنسبة لي:
مثال 1 : 
أطلب منك المهمة x - مع توضيح أن المهمة جديدة تمامًا، والتي لا يوجد لها مرجع سابق-. حتى لا يكون هناك جهود مهدرة لي كموظف-. 
أتوقع منك البحث من الصفر وأن تكوني المرجع الأساسي في تنفيذها وتوثيق تفاصيلها، خلال الوقت x.
مثال 2 : 
أطلب منك المهمة x  يوجد لها مراجع في النظام، هدفي أن نخرج بنتيجة x و x. خلال الوقت x. 
</t>
  </si>
  <si>
    <t>أتعارض مع بعض الآليات، لكني أرى أثراها على نفسي والفريق في بعض الأحيان الحقيقة،
لذلك بالوقت الحالي، لا.</t>
  </si>
  <si>
    <t>نعمل حاليا على تفعيل أكثر من آلية و أرى أننا ننجح في إيجاد آليات متزنة تناسب الفريق.</t>
  </si>
  <si>
    <t xml:space="preserve">حاليا، لا. </t>
  </si>
  <si>
    <t>أنتااااا كفوووو</t>
  </si>
  <si>
    <t>أؤمن بقيادة و حدس فيصل كمدير، و أتعلم الحقيقة منه كثير،
أشعر انه وضع في قالب معين طوال الفترة السابقة،
أنما هو عملي جدًا، يحتاج تطوير في إيصال توقعاته فقط،
واللي قاعد يعمل عليها الان بشكل مستمر، تطور كثيرا من أول يوم جيت حتى اليوم من هذي الناحية،
شكرا على جهودكم، ممتنة لوجود قسم بهذي الشفافية</t>
  </si>
  <si>
    <t>ao5VX2</t>
  </si>
  <si>
    <t>نحتاج نطوّر وضوح والأولويات والأهداف، وتكريس جهود الفريق جميعًا لنحوها.</t>
  </si>
  <si>
    <t>الشورى.</t>
  </si>
  <si>
    <t xml:space="preserve">يُعجبني أسلوبه وأتعلم الكثير منه، وأقول نقلل المركزية قليلًا وأن يعطي فرص أكثر، بتوجيه أكثف، وصبر أكبر، وبال أطول.
</t>
  </si>
  <si>
    <t>يستمر... ويتطوّر، ليطوّر.</t>
  </si>
  <si>
    <t>نشكركم على مبادراتكم.</t>
  </si>
  <si>
    <t>qeRQPk</t>
  </si>
  <si>
    <t>جدًا مهم الثبات على الأولويات ، فأعتقد أن الفترة الأخيرة تتغير الأولويات كثيرًا بطريقة لا تمكننا من التركيز على مهام بعينها ، أو عدم تأدية المهام والتشتت كثيرًا .</t>
  </si>
  <si>
    <t>نحتاج لتنسيق طريقة العمل بشكل أكثر إستقلالية وأكثر سلاسة .</t>
  </si>
  <si>
    <t>لدي بعض الأمور التي أود مشاركتها ، ولكن ليس وقتها الآن .</t>
  </si>
  <si>
    <t>VyzWN6</t>
  </si>
  <si>
    <t xml:space="preserve">لا يوجد أي مشكلة في سرد المطلوب بوضوح لكن المشكلة أن أكثر الأوقات يكون الطلب من الأساس واضح لكن يصير يتغير مع الوقت وفي الاخر يصير اللوم ليش ما سوينا مثل ما اتفقنا، معناه نتفق على شي لكن على أرض الواقع يتوضح أن المطلوب شي تاني </t>
  </si>
  <si>
    <t xml:space="preserve">طريقة الكلام معي ومع الفريق طريقة غير إحترافية وأحيان قاسية لا تنفع الموظف وتزيد ضغط عليه بدل ما تساعده </t>
  </si>
  <si>
    <t xml:space="preserve">ما أشوف قيادة الفريق تعني زيادة الضغط وإستعمل لغة التهديد مثل إذا ما بعت إلى أخر الشهر ناخذ قرار بالفصل أو تغير المسمى الوظيفي والراتب </t>
  </si>
  <si>
    <t>شخصيا لم أرى أي مبادرة لتطويري من أي ناحية كانت، لكن بالعكس التأكيد على أني شخص غير كفوء ولا استحق المنصب أو المسمى الوظيفي دائماً عل البال ولغة التفشيل وكان هذا في تقييمي للفترة الماضية.</t>
  </si>
  <si>
    <t xml:space="preserve">فهم نقاط القوة ونقاط الضعف والعمل على تطوير ومساعدة الموظف هو شي أساسي وسؤال الموظفة كيف ممكن أساعدك غير كافي لكن أخذ اجرائات جدية للمساعدة هو شي أساسي </t>
  </si>
  <si>
    <t xml:space="preserve">خلال فترة عملي مع ثمانية من سنة إلى الأن لم أحس بأمان من مدري والواضح أن مديري ما كان عنده ائي مشكلة بتغيير المسمى الوظيفي وراتبي بدون أخد بعين الإعتبار الأسباب الواقعية لكن فقط نظرته الشخصية، لذلك أن الأن أخذ أدوية للأعصاب وقد أثر هذا على صحتي العقلية والجسدية </t>
  </si>
  <si>
    <t>Dy7RoR</t>
  </si>
  <si>
    <t>ZGM77A</t>
  </si>
  <si>
    <t>يوسف إبراهيم</t>
  </si>
  <si>
    <t>من أكثر الناس من عملت معهم وضوحا وترتيبا للأولويات .</t>
  </si>
  <si>
    <t>لا مرئيات</t>
  </si>
  <si>
    <t xml:space="preserve">لا مرئيات </t>
  </si>
  <si>
    <t>B5xROK</t>
  </si>
  <si>
    <t>z0kVLE</t>
  </si>
  <si>
    <t>رهام الزعيبي</t>
  </si>
  <si>
    <t xml:space="preserve">يعطيه العافية أبو جوان، أتمنى لو أن يكون لدينا أهداف. ووضوح للقسم وأهداف الفريق على حِدى. 
البوصلة تحتاج أن تضبط ونعرف الوجهة. بأهداف طموحة للشقين. </t>
  </si>
  <si>
    <t xml:space="preserve">أبو جوان سلس ومرن في التعامل. ورائع تعامله دائمًا.
</t>
  </si>
  <si>
    <t xml:space="preserve"> أتمنى أن يكون أقرب للفريق. </t>
  </si>
  <si>
    <t xml:space="preserve">يعجبني كيف مرونة التعاطي مع الأفكار الجديدة، ويدعمها. 
لكن مثل ماذكرت أتمنى لو كان أقرب للفريق. </t>
  </si>
  <si>
    <t xml:space="preserve">أعتقد التقييم بيصبح ظالم لأن التجربة كانت على فترة تأسيس. وفيها الكثير من العقبات لكن أكثر شيء لاحظته أثناء التقييم، أن المدير بعيد عن الفريق. 
فريق بازيد شخصين أنا وأنس وخالد. فما أعرف كيف بيصير سرّي. </t>
  </si>
  <si>
    <t>rWo4yN</t>
  </si>
  <si>
    <t>RZAOjv</t>
  </si>
  <si>
    <t>محمد علاء</t>
  </si>
  <si>
    <t>ممتاز في الوضوح وتحديد الأولويات. دائمًا يحدد لنا الأولويات بوضوح ويضمن أننا نفهمها بشكل كامل. لا أرى حاجة للتطوير في هذا الجانب، فهو يدير الأمور بشكل مثالي.</t>
  </si>
  <si>
    <t>يدير العمل بطريقة رئعة. أسلوبه في تنظيم المهام وتوجيه الفريق فعال للغاية، ولا أرى حاجة للتطوير في هذا الجانب، فهو يدير الأمور بشكل مثالي.</t>
  </si>
  <si>
    <t>قائد فريق مميز. أسلوبه في قيادة الفريق يعزز التعاون ويحفز الجميع لتحقيق أفضل النتائج. لا أرى حاجة للتطوير في هذا الجانب، فهو يدير الفريق بكفاءة واقتدار</t>
  </si>
  <si>
    <t>مديري يقدم دعماً جيداً ويهتم بتطوير الفريق، ولكنني أرغب في أن يخصص المزيد من الوقت والجهد لدعمي في تطويري المهني والعملي، وتقديم النصائح التي تساعدني على النمو بشكل أكبر في مسيرتي المهنية.</t>
  </si>
  <si>
    <t>لا يوجد شيء آخر في الوقت الحالي، شكراً.</t>
  </si>
  <si>
    <t>لا يوجد شيء آخر أرغب في مشاركته بخصوص مديري في الوقت الحالي. شكراً.</t>
  </si>
  <si>
    <t>ePRZBx</t>
  </si>
  <si>
    <t>QxG2GG</t>
  </si>
  <si>
    <t>اعتقد ان الشيء الوحيد الذي يمكن ان يحسنه في الفريق هو تواريخ المهام و ترتيب ثقل المهام .
كمثال كثيرا ما تكون المهام اكثر من الزمن المتاح الهم فمن الجيد ان نعيد التقييم اما بتقليل المهام او بزيادة الزمن</t>
  </si>
  <si>
    <t>لا تعليق فمديري دائما يعطي الاستقلالية و دائما ما يجعل كل فرد من الفريق كقائد مسؤول يدير مهامة و مهام زملائه</t>
  </si>
  <si>
    <t xml:space="preserve">مديري دائمة يشجع التعاون في الفريق في اعتقادي اننا فريق منسجم جدا </t>
  </si>
  <si>
    <t>نحتاج الي خطط واضحة للتطوير و نحتاج وقتا اكثر من خطط لكي نستطيع ان نطور من قدراتنا و مهاراتنا</t>
  </si>
  <si>
    <t>جزيت عنا خيرا</t>
  </si>
  <si>
    <t>ارجوا ان تقللوا الضغط علي مديرنا فدائما ما يكون في اجتماعات مستمرة مع عدد لانهائي من الاقسام. و هذا بالتاكيد يؤثر عليه و علينا</t>
  </si>
  <si>
    <t>ykYXGx</t>
  </si>
  <si>
    <t>eNb5yk</t>
  </si>
  <si>
    <t>ملاحظة: نعم هناك أهداف واضحة لكل مشروع لكن لا يوجد توجه واضح وأهداف استراتيجية للقسم.
مقترح التطوير: وضع أهداف للقسم ومشاركتها مع الفريق بوضوح.</t>
  </si>
  <si>
    <t xml:space="preserve">ملاحظة: شاركنا مديري من قبل خطوط عامة لعملية الـ refactoring وهذا ممتاز لكن لا يوجد لدينا معايير ثابتة وآلية عامة لتطوير جميع المشاريع.
مقترح التطوير: تطوير آلية عمل أكثر احترافية بحيث يكون عند المطوّر دليل إرشادي للمعايير والممارسات المقترحة في كتابة الكود ومراجعته وطريقة التوثيق. أتصور هذا بيحسّن من جودة المخرجات ويسهّل عملية التواصل بين الفريق.
---
ملاحظة: لدينا معلومات كثيرة مدونة في كل مشروع ولكنها ليست مرتبة كفاية بحيث تساعد المطوّر الجديد في البدء والمساهمة دون الحاجة لعقد اجتماع في كل مرة.
مقترح التطوير: حثّ أعضاء الفريق على ترتيب الملفات وفق نهج معيّن. كذلك ممكن نكتب مستند يحتوي على معلومات المشروع الأساسية وجميع المراجع. أتصور هذا بيساعد في عملية الـ onboarding لمطوّر جديد أو حتّى لأعضاء الفريق.
</t>
  </si>
  <si>
    <t xml:space="preserve">ملاحظة: هناك قلة تواصل بين أعضاء القسم.
مقترح التطوير: تعزيز جو مشاركة المعارف وتبادل الخبرات بين أعضاء القسم باستمرار. </t>
  </si>
  <si>
    <t>ملاحظة: لم أحظى بفرصة تقييم من قبل وذلك يشكل لي صعوبة في قياس جودة أدائي وضبط التوقعات.
مقترح التطوير: أتمنى يكون مديري مرشد لي حيث يسمع مني التحديات اللي أمر فيها كل فترة ويساعدني في تحقيق أهدافي. بيكون ممتاز لو نعقد اجتماع دوري للتواصل كل فترة.</t>
  </si>
  <si>
    <t>أود التنويه بأن تقاطعاتي مع مديري قليلة جدًا وذلك يشكل لي تحدي في تقديم تقييم دقيق في الوقت الحالي.</t>
  </si>
  <si>
    <t>15VXVl</t>
  </si>
  <si>
    <t>EBpKk2</t>
  </si>
  <si>
    <t xml:space="preserve">شاركنا خطة الفترات القادمة كتابيًا، أو اعقد اجتماعات دورية حول هذا الموضوع. </t>
  </si>
  <si>
    <t>مش حاب طريقة اسناد المهام وكثرة المنشنز في البنق، اذا فيه مهمة راح أستلمها اسندها واكتب في المهمة، وكل ما كان الشيء هذا أبدر يكون أفضل مش بيوم تسليم المهمة.</t>
  </si>
  <si>
    <t>لا يوجد تعليق</t>
  </si>
  <si>
    <t>شاركنا ملاحظات لأعمالنا وأدوات تساعدنا بشكل دوري. ادوات ممكن انت تستخدمها بس ما نعرفها.</t>
  </si>
  <si>
    <t>j2PB6J</t>
  </si>
  <si>
    <t>5lNxW6</t>
  </si>
  <si>
    <t xml:space="preserve">فقط احرص على توضيح التوقعات عند إسناد المهام الجديدة الغير اعتيادية </t>
  </si>
  <si>
    <t xml:space="preserve">ممتنه لتواجدي تحت قيادة شخص بمثل خبرتك المهنية والاستفادة منها </t>
  </si>
  <si>
    <t>اود توضيح ان عملي تحت قيادة محمد هاني لم يُكمل شهرًا حتى الآن، لذا كل ما كتبته هنا قابل للصواب والخطأ بحكم قُصر التجربة. 
استطيع القول انه انطباع أولي يساعدنا جميعًا في فهم طبيعة العمل مع بعضنا البعض والانسجام اكثر لنمط العمل المختلف</t>
  </si>
  <si>
    <t>Wd5pYJ</t>
  </si>
  <si>
    <t>ePeoGe</t>
  </si>
  <si>
    <t>gQ2a2J</t>
  </si>
  <si>
    <t>سنتطرق اليها في التقيمات التالية باذن الله مع وضوح الخطط</t>
  </si>
  <si>
    <t>من الجيد الاخذ بالحسبان الجمعه والسبت عند اسناد المهام ،خاصة مهام الخميس بعد العصر مثلا ماينفع يكون تسليمها الاحد لو المهمة تاخد يومين ومب مستعجلة</t>
  </si>
  <si>
    <t>الانفتاح اكثر نحو الفريق والتعاون كفريق وقائد وليس شي اخر</t>
  </si>
  <si>
    <t>ليس بعد</t>
  </si>
  <si>
    <t>Oy5yqp</t>
  </si>
  <si>
    <t>محمد الفوزان</t>
  </si>
  <si>
    <t>ودي لو مثلًا قدرنا نتناقش اذا فيه شي يخص التغيير اننا نناقشه</t>
  </si>
  <si>
    <t>اشوف طريقة العمل مميزة وما عندي عليها إضافات</t>
  </si>
  <si>
    <t>جميل تحفيزك وتعزيزك لعمل الموظف اللي تحتك، ودي نستمر كذا</t>
  </si>
  <si>
    <t>الاستثمار بالوقت شي جميل وودي يكون بشكل مستمر بحيث نتشارك الأفكار مع بعض</t>
  </si>
  <si>
    <t>j2yrY1</t>
  </si>
  <si>
    <t>واضح ومريح و واقعي في الأولويات.</t>
  </si>
  <si>
    <t>ممتاز وفعّال الحقيقة.</t>
  </si>
  <si>
    <t>رائع مشاري.</t>
  </si>
  <si>
    <t>الصدق أني ممتن له دايمًا، واجتماعاتنا لطالما كانت فعّالة.</t>
  </si>
  <si>
    <t>oQyNEX</t>
  </si>
  <si>
    <t>OjvRZa</t>
  </si>
  <si>
    <t>لو كان هناك اجتماعات مكررة توضح الاولويات باستمرار</t>
  </si>
  <si>
    <t>طريقة عمل جيدة وتماشى وتتفق مع تطلعات ثمانية</t>
  </si>
  <si>
    <t>EYX7QX</t>
  </si>
  <si>
    <t>شهد العتيق</t>
  </si>
  <si>
    <t>Vy02Oj</t>
  </si>
  <si>
    <t>RZEGAP</t>
  </si>
  <si>
    <t>أحيانًا تتردد في اتخاذ القرار، أو تفكر كثير. كمدير تحتاج تتخذ قرارات سريعة وصائبة</t>
  </si>
  <si>
    <t xml:space="preserve">فوض أكثر. ثق فينا. عندك فريق كبير ومسؤوليات تزداد، وكثر منها يرجع لك. فوض لنا، نحن فريقك في النهاية ونساندك مهما احتجت. 
وأحيانًا تاخذ أيام للرد. فيه شغلات ترجعلك ونحتاج اعتماد أسرع عليها، أو تعطينا الراية نقرر. </t>
  </si>
  <si>
    <t>مو كل شي شغل. عادي نجتمع كفريق برا في المقهى نتعرف على بعض. أو نشاط بيننا. أي شيء لتطوير علاقة الفريق.</t>
  </si>
  <si>
    <t>كويس</t>
  </si>
  <si>
    <t xml:space="preserve">أنت رهيب، لكن لسا جديد في الإدارة. حاول تطور نفسك وتقرأ أكثر عن القيادة. 
فيه شغلات بسيطة لكن بتأثر، مثلًا التفويض، التعاطف، مشاركة مرئيات بناءة ودورية، الوضوح، وضع خطة للفريق، إلخ. </t>
  </si>
  <si>
    <t>gr5eLd</t>
  </si>
  <si>
    <t>r0zOvo</t>
  </si>
  <si>
    <t>ثمود بن محفوظ</t>
  </si>
  <si>
    <t>اجتماعات مصغرة مع فريق كل برنامج لتفهم الاحتياجات وحل المشاكل مبكرًا.</t>
  </si>
  <si>
    <t>توظيف منتجين إضافيين ليساعد في تقليل الضغط والاسراع في انتاج البرامج.</t>
  </si>
  <si>
    <t>4d2xxA</t>
  </si>
  <si>
    <t>V920LM</t>
  </si>
  <si>
    <t>اعتقد جزء مهم في وضوح المهام والأولويات هو معرفة المدير لمؤهلات الموظف السابقة وخبراته القديمة 
والتي كانت قبل توليه الإدارة وشؤون التوظيف مما ستساهم في إعطائه لمحة عن مؤهلات موظفينه وقدراتهم وتطلعاتهم عوضًا عن محاولة حصرهم في صورة ذهنيّة محددة ورسم خطة لتطويرهم في مهارة محددة قد تبدو متواجدة عندهم .
فكرة التطوير المهني ووضعها بالحسبان والأهم معرفة ماذا يريد الموظف في العمل داخل ثمانية اجدها خطوة بالغة الأهميّة واتمنى أن تترجم لأفعال عوضًا عن الحديث بها فحسب .</t>
  </si>
  <si>
    <t xml:space="preserve">مسألة الذكاء العاطفي وتفهم مشاعر الفريق اعتقد انها مهمة جدًا وهي العامل المهم في جعل العمل أكثر انسيابيّة 
وأجد هذي المسألة مفقودة بعض الشيء في الحديث فيها والاستطراد فيها وتطويرها 
</t>
  </si>
  <si>
    <t xml:space="preserve">مشاركة بعض التحديثات والتطلعات المستقبلية المرسومة للموظف 
مشاركة تغذيته الراجعة عن أعمال الفريق من وقت لآخر </t>
  </si>
  <si>
    <t xml:space="preserve">اعتقد جزء كبير من بعض التواصلات أنها نابعة من عدم معرفة العمل المبذول الذي يقدمه الموظف في مساهمته ببعض الأعمال  والمشاريع وكأن التركيز على المنتج النهائي فقط مما يجعل أن هناك عدم معرفة لما يعمل عليه الموظف وقدر الجهد الذي يعمل فيه 
تطوير اداء الفريق من خلال معرفة ماذا يزعجهم في جوانب متعلقة بنواحي العمل الاخرى ؛ كطرق التواصل، انخراط الموظف في فريق عمله، الضغط وتوزيع المهام، وغيرها مما يجعل الأعمال أكثر انسيابية </t>
  </si>
  <si>
    <t xml:space="preserve">مشاري مدير ممتاز، ويطمح لتغير كل ما سبق من ضبابية في المحتوى والمهام إلى مواضع أكثر نضجًا وأكثر تطورًا وهذا الشيء واضح وجليّ جدًا، يشكر عليه كثيرًا وجدًا لكن بعد تجربة سنة أجد هناك بعض المواضع القابلة للتحسين ولجعل تجربة أي موظف أكثر جودة 
- معرفة الموظف وتطلعاته في العمل عن قرب والعمل بها بشكل فعليّ عوضًا عن الحديث عنها فقط 
- معرفة مؤهلات الموظف السابقة والحالية والجانبيّة ستساهم في تطوير الموظف أكثر عوضًا عن حصره في دائرة ضيقة مبنيّة من صورة ذهنيّة سابقة تحصر تطلعاته وطموحه .
- تحسين جانب الاستماع للموظف بشكل أكثف أحيانًا تجد أن هناك حلقة مفقدوة في الاستطراد بالحديث وأن أي شيء تتحدث فيه هو شيء غير بالغ الأهمية، لكنه وفي حقيقة الأمر و داخل الموظف يعتبر  ركيزة مهمة في عمله وشعوره داخل المؤسسة . وهذا الشيء دائمًا يولد شعور بوجود حاجز رفيع والتردد الدائم في التعبير عن بعض التحديات 
</t>
  </si>
  <si>
    <t xml:space="preserve">قد يكون أمر متعلق بما قبل ادارة المدير الحالي وهو شيء بالدرجة الأولى يخص قطاع الموارد البشريّة  لماذا لم يكن هناك وضوع كافي للمدير المباشر والتسلسل الوظيفي ما قبل مشاري ؟ لأن وقبل شهر ادركت انا المدير المباشر الذي كان بتصوري في العقد وفي تعميدات الإجازات لم يكن هو المدير المباشر ليّ حسب تعبير مشاري 
فهذه الضبابية ولدت على مدار نصف سنّة متواصلة حالة غير منتظمة في الشعور الوظيفي .. بل وانها انها كانت نقطة غير ممتازة في الشعور الوظيفي </t>
  </si>
  <si>
    <t>vbNWOA</t>
  </si>
  <si>
    <t>جلسة شهرية معي نناقش فيها اهدافي وادائي</t>
  </si>
  <si>
    <t>أعتقد بيكون محفّز للمبادرة ايضاح حدود الصلاحيات. إلى أي حد اقدر ابادر واسوي اشياء ودّي اسويها</t>
  </si>
  <si>
    <t>بيفرق معي لو شاركني رايه على البرامج اللي اشتغل عليها بشكل دوري. الان ما اعرف رأيه صدقا</t>
  </si>
  <si>
    <t>اعتقد يبي لنا نستثمر أكثر في تبادل المعرفة في كيف ننتج محتوى افضل بشكل عام. كل واحد عنده طريقته الخاصة وساكتين</t>
  </si>
  <si>
    <t>ePEQxe</t>
  </si>
  <si>
    <t>مرئياتك في المهارات المهنية والعملية مهمة جدًا بقدر أهمية المرئيات الإبداعية.</t>
  </si>
  <si>
    <t>شكرًا لأن العمل ممتع، وفيه مجال كبير ومساحة مريحة للنقاشات حول طريقة العمل والأفكار الإبداعية 🤹🏻</t>
  </si>
  <si>
    <t xml:space="preserve">بإنتظار تحديث دليل المستويات والمسميات الوظيفية في المكتب الإبداعي للصلاحيات والمسؤوليات، تتضح الرؤية بشكل أفضل من ناحية الاستقلالية ونطاق الصلاحيات داخل الفريق، شاكرة لكم احسانكم. </t>
  </si>
  <si>
    <t>EYDKlr</t>
  </si>
  <si>
    <t>96Ljb1</t>
  </si>
  <si>
    <t>حسن ترتيب اولويات المهام مطبق بشكل جيد جدًا، لكن الأهداف أحيانًا ما تكون واضحة ويكون العمل روتيني أكثر</t>
  </si>
  <si>
    <t>في مجال لللتطوير من ناحية تفويض الهام متنوعة ومختلفة حتى تساهم في مساعدة تطوير مهارات الفرد.</t>
  </si>
  <si>
    <t xml:space="preserve">لا توجد مرئيات تطوير لهذه النقطة، فقط احث على الاستمرار في التعاون والتشاور بين الفريق  </t>
  </si>
  <si>
    <t>التشجيع والدعم مستمر بشكل جدًا رائع، لكن لو توجد مرئيات بناءة وواضحة، في حال استدعى ذلك، أن تكون مشاركته 1:1 بعد المهمة عن نقاط التطوير، بيساعد في رفع الأداء ويحسن منه للمهام القادمة</t>
  </si>
  <si>
    <t>55vG8P</t>
  </si>
  <si>
    <t>R8KGPQ</t>
  </si>
  <si>
    <t>التواصل مهم جدًا، ويرسم خريطة مهمة لنجاح القسم، وآداء الموظفين.</t>
  </si>
  <si>
    <t>التركيز على التواصل الجيد يتيح فرصة أكبر لسهولة توكيل المهام والتعامل معها، وفهم المشاكل والعقبات التي تواجه الفريق.</t>
  </si>
  <si>
    <t>العمل على تشجيع الموظف أمر مرهق، لكن أعتقد بالتواصل الفعّال يكون هذا الأمر يسير.</t>
  </si>
  <si>
    <t>الدعم بالخبرة أعتقد هو أهم النقاط التي تجعل البيئة مشجعة، إذا كان هناك نقص في مهارات معينة أو في المخرجات النهائية، فتحسينها يكون بدعم فني وتقني في هذا النقص، ومشاركة الخبرات والعلوم التي من مقتضاها تحسن من آداء الفريق بشكل عام.</t>
  </si>
  <si>
    <t>أنت إنسان رائع، وفنان للغاية، أسلوبك الفني مدرسة، لكن أنت لا تشاركه معنا بشكل جيد، متشوق جدًا لو كانت هناك خطة معينة، لمشاركة خبراتك معنا.</t>
  </si>
  <si>
    <t>لا يوجد شيء، أغلب النقاط شاركتها في هذا التقييم.</t>
  </si>
  <si>
    <t>qeWEG8</t>
  </si>
  <si>
    <t>نحاول نضبط توقعات الادارة بحيث تتماشي مع انتاج وقدرة وحجم الفريق بشكل عام</t>
  </si>
  <si>
    <t>استمري زي ما انتي، دائماً تحفزي كل احد فينا على انه يكون مستقل واذا شفتيه بيجيب العيد علطول تلحقيه بمشورة 101 ع السريع وتداركي المشكله، استاذة كبيرة</t>
  </si>
  <si>
    <t>نفس النقاط اللي فوق، تشجيع, استقلالية وتعاون 100%</t>
  </si>
  <si>
    <t>نقطة التفكير الابداعي، اشوفك دائما تكوني صوت الواقع، تشوفي شئ ما نشوفه وتشككي في توجه المخرج او الرؤية العامه او فكره صغيره بحد ذاتها، قد يضايق هذا الشئ احياناً بس ما اشوفه سلبي لانه يفتح تساؤلات جديدة وقد يكون الشك في محله فعادي لو اختلفنا على فكره لانه اختلاف ايجابي ومحفز</t>
  </si>
  <si>
    <t>مديري رهيب مافي زيه</t>
  </si>
  <si>
    <t>p9Mp8B</t>
  </si>
  <si>
    <t>WlzjRN</t>
  </si>
  <si>
    <t>سليمان صبحي</t>
  </si>
  <si>
    <t>خلال الفترة الماضية، لم أواجه اي تحدي مع مديري
بل كان في تواصل مستمر فعّال على جميع المشاريع.</t>
  </si>
  <si>
    <t>هنا حرفياً ما ابالغ لمن اقول ان مديري في هذه النقاط كان جداً ممتاز ودائماً متواجد.</t>
  </si>
  <si>
    <t>ما عندي اي مرئيات هنا.</t>
  </si>
  <si>
    <t>فرص اكثر للتطوير.</t>
  </si>
  <si>
    <t>شكراً جزيلاً على المجهود الجبار للفترة الماضية ✨.</t>
  </si>
  <si>
    <t>عبدالمجيد عمر</t>
  </si>
  <si>
    <t xml:space="preserve">تحديث المهام للفريق كل شهر او كل ثلاث شهور </t>
  </si>
  <si>
    <t xml:space="preserve">الاجتماع مع الفريق والسماع منهم </t>
  </si>
  <si>
    <t xml:space="preserve">اعطاء مهام اكثر 
ومسؤوليات اكثر 
اختبار الفريق في مهام جديدة 
</t>
  </si>
  <si>
    <t>أداؤها جيد في هذه النقطة، قطعت شوط كبير في هيكلة موارد الإنتاج، وتوزيعها على المشاريع. منذ ما يزيد عن السنتين. كيّفت نفسها مع تحديات الأفلام الطويلة، ووصلت بالفريق لنتائج رائعة.</t>
  </si>
  <si>
    <t>عن نفسي أرى أني لم أطلب إجازة أكثر من اللازم أبدًا (يمكنك مراجعة مجموع أيام إجازتي خلال الأربع سنوات الماضية) ولا أطلبها في وقت حساس ويؤثر سلبا علًى المشروع الذي أعمل عليه
لكن حصل لي موقف أو موقفان، اضطررت لمحاولات حتى أحصل على الإجازة في وقت احتياجي لها.</t>
  </si>
  <si>
    <t>ممتازة.</t>
  </si>
  <si>
    <t>موقف أزعجني جدًا، أنه جاءني شبه إشعار شفهي بعدم الرغبة في التجديد، قبل نهاية العقد بشهر ونصف تقريبا. 
تقبّلته، واجتهدت في البحث عن فرص أخرى، ثم قبل موعد الإشعار الرسمي بيوم، علمت في اجتماع عابر، أنه سيتم تجديد العقد،
المزعج أني أنا من طلبت الاجتماع، وحين سألت عن سبب التراجع عن الإنهاء، وتجديد العقد، 
لم يكن هناك وضوح في الأسباب، وصرّحت لي بأن الأسباب التي دعت للإشعار أصلًا غير صحيحة.</t>
  </si>
  <si>
    <t xml:space="preserve">انت رهيبة في وضوحك مع الفريق ومشاركة المرئيات
فقط نحتاج نوزع الأولويات والأدوار صح، ونحط خط زمني طويل المدى نخطط له من بدري. </t>
  </si>
  <si>
    <t>شاركينا في قراراتك أكثر. فريقك كبر وكل شي على عاتقك، أعطينا بعض المسؤوليات وتابعي معنا لننجح ونساعدك في دورك.</t>
  </si>
  <si>
    <t>نحتاج اجتماعات أكثر بين الفريق، ممكن أنت ترتبيها بحكم أنت أعلم فين الثغرات والمشاكل ومين لازم يجلسوا مع بعض. فيه كثير ضبابية في اتخاذ القرارات أو تغيير التوجه في الفريق، مو ذنبك، لكن حلو لو ساعدتي في تخفيفها خلال اجتماعات أو شفافية أكثر.</t>
  </si>
  <si>
    <t xml:space="preserve">شاركينا مرئيات أكثر، خاصة كمدراء معك، على الأقل مرة في الشهر. 
وإذا مدير جديد مرتين في الشهر أول فترة. </t>
  </si>
  <si>
    <t xml:space="preserve">ميسم رهيبة. وأفضل مديرة عمليات بالعالم. 
لكن استغلي منصبك أكثر. عندك فكرة كبيرة عن جميع مشاريعنا القادمة، ضعي أهداف واضحة للقسم والفريق كامل. وزعي المهام بيننا أكثر. حطي خطة لنهاية السنة، ترا مليان عشوائية في الفريق وكل يوم مشروع أو مهام جديدة. عادي ما عندي مشكلة، عندنا مشاريع ومهام موجودة من أول، ليش ما نوزعها بالخط الزمني من بدري؟
حلو مثلًا لو عرفنا من بداية السنة، أن فيه تصوير لفنجان كل يوم في شهر سبتمبر، وفي شهر يوليو مرتدة، ونصف السنة عصف الذهني، إلخ. 
حتى نحن نفكر لقدام ونخطط لحياتنا و اجازاتنا. كل مرة أحتاج آخذ اجازة فجأة يطلع لي مهمة أو مشروع، كنا عارفين عنه من أشهر، لكن فجأة وصلني الخبر. ليش؟
لازم يكون فيه توزيع مهام وعمليات أوضح وشفاف وعلى المدى الطويل. مو كل شي مستعجل. </t>
  </si>
  <si>
    <t>محمد الحقباني</t>
  </si>
  <si>
    <t xml:space="preserve">يهمني واقعية المشاريع و وضوح تنفيذها. 
لذلك اجد اوقات هناك سقف توقعات مرتفع جداً وطموح «إجابي» ولكن بنفس الوقت يدمر شغف وروح المبادرة اذا السقف لم يتم مشاهدته او القرب منه. 
والحل هو: 
عدم الوعد بشئ ليس بيدك. &lt; تختصر الكثير من الشرح. 
تستطيع الوعد بعد امتلاك نصفه او كامل، اقل من ذلك سوف تخسر الثقة. &lt; ارجو عدم اخذها بشخصنه 😅. </t>
  </si>
  <si>
    <t>ليس لدي أي مرئيات، ابغاه نفس ما هو 😂</t>
  </si>
  <si>
    <t xml:space="preserve">تحليل المشكلة ومحاوله اتمتتها تحل نصف المشكلة الانتاجية.
والنصف الاخر وهو الجانب الانساني حله بفهم مهارات وقدرات الشخص. </t>
  </si>
  <si>
    <t xml:space="preserve">رائع، ولديه مستقبل في إدارة المنظومة الإنتاجية. 
يحتاج للقليل من فهم طبيعة السوق الخارجية، واخذ منها افضل الممارسات وعكسها على المنظومة. </t>
  </si>
  <si>
    <t>أعتقد بيكون ممتاز لو نسوي زي التشيك ان بين فترة وفترة نراجع سير العمل وإيش هي أولوياتنا هذه الفترة أو خلال الفترة القادمة والتوقعات بشكل عام.</t>
  </si>
  <si>
    <t>👍🏻</t>
  </si>
  <si>
    <t>قد يكون جيد لو قدرنا نشرك الفريق أو نسمع منهم عند اتخاذ بعض القرارات في المشاريع، قد ما ناخذ برأي واحد ولكن مفيدة جلسات التفكير بصوت عالي أو المراجعة مع الفريق، حتى تكون عندنا صورة أوضح وأكبر بشكل عام.</t>
  </si>
  <si>
    <t>ودي لو نقدر بين فترة وأخرى نجلس ونراجع الآداء، الأهداف للتطوير عمليًا في القسم وإيش من مشاريع نقدر نشتغل عليها قد تساعد لهذا الشيء.</t>
  </si>
  <si>
    <t>ياسر بن غانم</t>
  </si>
  <si>
    <t>لايوجد، وخلك حنون علينا في بيسكامب</t>
  </si>
  <si>
    <t>ما لحظته في تعامله مع باقي الفريق, ان هناك مهام تسلّم لهم دون الاخذ في عين الاعتبار مسألة الاخذ بخاطر زميله الآخر!
بمعنى ان لو هنالك مهمة "سترفع من خبرات من يستلمها" قام بتسليمها للزميل "أ" أحياناً عليه ان يوضح للزميل "ب" لماذا لم يختاره ولماذا هي مناسبه للزميل "أ" , ليس تبريراً لقراراته, ولكن تجنباً للحساسية التي من الممكن ان تحدث بين أفراد الفريق.</t>
  </si>
  <si>
    <t>ملاحظتي حول الوضوح والأولويات تشترك مع قيادة الفريق.</t>
  </si>
  <si>
    <t>خفف من تقلب المزاج, ولا تكون مرة صارم في تواصلك خلال بيسكام.</t>
  </si>
  <si>
    <t>الشخص المناسب في المكان المناسب.</t>
  </si>
  <si>
    <t>خلال الفترة البسطة كان واضح في وضع الخطط والاولويات</t>
  </si>
  <si>
    <t>استمر وباذن الله الجاي معك راح يكون افضل</t>
  </si>
  <si>
    <t xml:space="preserve">قائد </t>
  </si>
  <si>
    <t>لا توجد تفاصيل أكتبها كـ مرئيات، لكن قد يساعد التقييم بإظهار الجوانب الي تستدعي تطوير و تحسين بالتقييم النهائي</t>
  </si>
  <si>
    <t xml:space="preserve">أتفهم جداً المسؤولية و الضغوط، و أتمنى لك التطور  الدائم </t>
  </si>
  <si>
    <t>بشكل عام، ومن غير مبالغة أو محاباة، وجود أسيل كمديرة شيء رائع ومصدر إلهام وأتعلَّم منها الكثير، وأحاول أتمتع ببصيرتها الإبداعية وقدرتها على حل المشاكل.</t>
  </si>
  <si>
    <t>احنا معك ونلبي نداء الواجب وأكثر .. ازهلي 😁😁</t>
  </si>
  <si>
    <t>أتمنى أن تتحمل صراحتي.
العمل معك عبدالرحمن ميزة، ونعمة، ممتن لها أبدًا.
أنت قائد ملهم فعلًا، وعبقري في ما تفعل، وواعي بما لا تعرف. وهذا نادر.
لكني طماع، مثل ما تعلمنا منك خخخ، وودي دائمًا بقربك، ومشاركتك صناعة القرار، وإلّا لن أكون قادر على النجاح في عملي.</t>
  </si>
  <si>
    <t>واضح جدًا و أولوياته مرتبة ومنظمة</t>
  </si>
  <si>
    <t xml:space="preserve">قد يكون أمر متعلق بما قبل ادارة المدير الحالي وهو شيء بالدرجة الأولى يخص قطاع الموارد البشريّة  لماذا لم يكن هناك وضوع كافي للمدير المباشر والتسلسل الوظيفي ما قبل مشاري ؟ لأن وقبل شهر ادركت انا المدير المباشر الذي كان بتصوري في العقد وفي تعميدات الإجازات لم يكن هو المدير المباشر ليّ حسب تعبير مشاري 
فهذه الضبابية ولدت على مدار نصف سنّة متواصلة حالة غير منتظمة في الشعور الوظيفي .. بل وانها انها كانت نقطة غير ممتازة في الشعور الوظيفي 
</t>
  </si>
  <si>
    <t>شكراً على ثقتك الدائماً</t>
  </si>
  <si>
    <t>ePez6E</t>
  </si>
  <si>
    <t>eN4MZ0</t>
  </si>
  <si>
    <t>المجامليين</t>
  </si>
  <si>
    <t>Y5DDgA0</t>
  </si>
  <si>
    <t>2gk7NM</t>
  </si>
  <si>
    <t>خالد حمود</t>
  </si>
  <si>
    <t>أنس أبودقه</t>
  </si>
  <si>
    <t>مفيش فريق أنا وهو احنا الفريق</t>
  </si>
  <si>
    <t>kdabJQd</t>
  </si>
  <si>
    <t>YX48lN</t>
  </si>
  <si>
    <t>ذكرى العيسي</t>
  </si>
  <si>
    <t xml:space="preserve">لا. أعتقد فقط خروج الفريق موخرًا وقل الموارد البشرية أثر على الفريق وجودة علمنا وتركيزنا. </t>
  </si>
  <si>
    <t xml:space="preserve">لا أبدًا. بس أعتقد دخول الهنوف استغرب منه قليلًا. خصوصًا أن ما كان واضح أنها بتأخذ مشاريع مثل كذا. </t>
  </si>
  <si>
    <t>لا. أنت رائع في قيادة الفريق.</t>
  </si>
  <si>
    <t xml:space="preserve">لا. </t>
  </si>
  <si>
    <t>Xd18Wg</t>
  </si>
  <si>
    <t>عبدالعزيز محمد</t>
  </si>
  <si>
    <t>من أفضل ما يميز أبو أنس، وضوحه في التوجهات ومنحه الثقة الكاملة لفريقه. أعطاني فرصة لقيادة الفريق بالرياض، وهذا الشيء خلاني أتحمل المسؤولية بشكل أكبر وأسعى لتطوير نفسي والفريق، استمرار هذا النهج مع تعزيز وضوح الأولويات بشكل أدق في بعض الفترات قد يرفع كفاءة الفريق بشكل أكبر.</t>
  </si>
  <si>
    <t>أبو أنس يتميز بثقة عالية بأعضاء الفريق، ومن تجربتي معه، كان دائمًا يثق في مخرجات عملي ويكلفني بالمهام الهامة والحساسة، وهذا محل تقدير واعتزاز كبير بالنسبة لي. ومع قلة عدد الفريق حاليًا، أعتقد أن توزيع بعض المهام بشكل أوسع قد يساهم في تخفيف الضغط المستمر، ويعزز من جاهزية الفريق ككل للتعامل مع الطوارئ والمهام المكثفة.</t>
  </si>
  <si>
    <t xml:space="preserve">أبو أنس دائمًا يحفزنا ويشركنا في القرارات بطريقة تخلق روح تعاون ومسؤولية مشتركة. أرى أن استمراره على هذا النهج مع إضافة جلسات دورية مفتوحة للنقاشات التطويرية سيساهم أكثر في رفع مستوى الارتباط بين الفريق وأهداف العمل.
</t>
  </si>
  <si>
    <t>أبو أنس داعم دائمًا لأي فكرة أو مبادرة تُطرح، ويشجعنا بكل وضوح على التفكير الإبداعي. قد يكون بالإمكان مستقبلاً أن يبادر أكثر بتنظيم جلسات مخصصة لتحفيز طرح الأفكار والمبادرات بشكل أوسع داخل الفريق.</t>
  </si>
  <si>
    <t xml:space="preserve">أود أن أشكر أبو أنس على الثقة الكبيرة التي منحني إياها، فهي كانت دافعًا رئيسيًا لتحفيزي وزيادة التزامي تجاه العمل. لا أخفي عليك أنني أستمتع بالعمل تحت قيادته، وهو مصدر إلهام دائم لنا جميعًا. أتطلع لمواصلة التعاون المثمر معه ومع الفريق، وأثق بأننا معًا قادرون على تحقيق المزيد من الإنجازات.
</t>
  </si>
  <si>
    <t>أبو أنس قائد مثالي يتمتع بقدرة عالية على تحفيز الفريق ودعمه بشكل مستمر. ورغم ذلك، أعتقد أنه سيكون من المفيد لو تم التلميح أو الإشارة بشكل أكثر وضوحًا إلى مواضيع مثل الترقيات والعلاوات، خاصة في أوقات الضغط، حيث إن مثل هذه الإشارات قد يعزز الحافز والمعنويات بشكل كبير. 
في ظل الظروف الحالية، فإن أي لمحة عن فرص التطور المستقبلي قد يكون دافعًا قويًا للجميع. أيضًا، أتطلع إلى فرص أكبر لأخذ أدوار قيادية رسمية، وهو شيء سيضيف المزيد من الإيجابية والتعاون داخل الفريق في الرياض.</t>
  </si>
  <si>
    <t>aPGPab</t>
  </si>
  <si>
    <t>كله تمام 😁</t>
  </si>
  <si>
    <t xml:space="preserve">أحس انه في تفاهم عالي بيني وبين محمود بطريقة العمل </t>
  </si>
  <si>
    <t>ممكن نحتاج دورات تساعد في تطويرنا للتصميم الصوتي</t>
  </si>
  <si>
    <t>EkKkeOX</t>
  </si>
  <si>
    <t>5DVVGv</t>
  </si>
  <si>
    <t>خديجة عرفات</t>
  </si>
  <si>
    <t xml:space="preserve">لا وممكن مو واضح بالنسبه لي احيانا لاني جديده </t>
  </si>
  <si>
    <t xml:space="preserve">لا ابدا فعلًا افضل مدير </t>
  </si>
  <si>
    <t xml:space="preserve">ابدًا أروع مدير في القياده والتطوير </t>
  </si>
  <si>
    <t xml:space="preserve">لا اكبر داعم لي هو عبدالله الغامدي </t>
  </si>
  <si>
    <t xml:space="preserve">انا اشتغلت كثير سابقًا لكن عمره ما كان عندي مدير قائد ومؤمن ومحفز مثل عبدالله دائما اذا اخطأت يوجهني يدعمني احيانا يتعب مني شوي مع انه انا متدربه لكن في عنده خوف الله ومحبة العطاء والاحسان بكل امانه </t>
  </si>
  <si>
    <t>اعتمدوه كمدير للتطوير المشاريع ليه ما طلع اسمه لنا 👀</t>
  </si>
  <si>
    <t>Untitled checkboxes field (اسمك لن يُشارك مع القائد 🔒.)</t>
  </si>
  <si>
    <t>Untitled checkboxes field (بمجرد الإرسال، سيتم اعتماد مرئياتك. هل أنت متأكد؟)</t>
  </si>
  <si>
    <t>Untitled checkboxes field (2)</t>
  </si>
  <si>
    <t>Untitled checkboxes field (بعض المرئيات المكتوبة ستُراجَع وتُعاد صياغتها للحفاظ على هويتك بالكامل ♻️.)</t>
  </si>
  <si>
    <t>Untitled checkboxes field (3)</t>
  </si>
  <si>
    <t>Untitled checkboxes field (تقييمك الرقمي لن يُعرض على القائد، بل سيُستخدم لتحليل الأداء؛ سنُشارك القائد المرئيات المكتوبة فقط.)</t>
  </si>
  <si>
    <t>القائـد</t>
  </si>
  <si>
    <t>فعّال في توصيل المعلومة والأفكار وإيضاح المهام.</t>
  </si>
  <si>
    <t>يحدد الأولويات، ويعيد ترتيب المهام بوضوح عند تغيّر التوجّه.</t>
  </si>
  <si>
    <t>قادر على اتخاذ قرارات سريعة وواضحة تصب في مصلحة العمل والفريق.</t>
  </si>
  <si>
    <t>ما أبرز مرئياتك حول «وضوح القائد في التواصل وضبط الأولويات»؟</t>
  </si>
  <si>
    <t>يُمكّن ويحفّز الاستقلالية، وأشعر بثقته العالية بالفريق.</t>
  </si>
  <si>
    <t>متاح عند الحاجة ومتجاوب لأسئلتي أو طلبات المشورة.</t>
  </si>
  <si>
    <t>يظهر وعيًا وتفهّمًا لتحديات ومشاعر الفريق أثناء فترات الضغط.</t>
  </si>
  <si>
    <t>ما أبرز مرئياتك حول «طريقة عمل القائد»؟</t>
  </si>
  <si>
    <t>يخلق بيئة تشجّع على التعاون وتبادل المعرفة داخل الفريق.</t>
  </si>
  <si>
    <t>يبني ثقافة أداء عالية قائمة على الوضوح والمحاسبة العادلة.</t>
  </si>
  <si>
    <t>يُشرك الفريق ويشاورهم عند اتخاذ القرارات.</t>
  </si>
  <si>
    <t>ما أبرز مرئياتك حول «قيادة القائد للفريق»؟</t>
  </si>
  <si>
    <t>يُقدّر  جهد الفريق ويهتم بتطور العلاقات داخل الفريق.</t>
  </si>
  <si>
    <t>يشاركني مرئيات بناءة تساعدني على التطور.</t>
  </si>
  <si>
    <t>يشجعني على المبادرة ويدعم الإبداع والأفكار المختلفة.</t>
  </si>
  <si>
    <t>ما أبرز مرئياتك حول «التطوير والدعم من القائد»؟</t>
  </si>
  <si>
    <t>ما تقدّره في أسلوب قيادته للفريق؟</t>
  </si>
  <si>
    <t>ما الجوانب التي تتمنى أن يطوّرها في المرحلة القادمة؟</t>
  </si>
  <si>
    <t>هل هناك أي مرئيات إضافية ترى أنها مهمة لمشاركتها مع الموارد البشرية بخصوص أداء الفريق أو أسلوب القيادة؟</t>
  </si>
  <si>
    <t>0QYEPR6</t>
  </si>
  <si>
    <t>اسمك لن يُشارك مع القائد 🔒., بمجرد الإرسال، سيتم اعتماد مرئياتك. هل أنت متأكد؟</t>
  </si>
  <si>
    <t>بعض المرئيات المكتوبة ستُراجَع وتُعاد صياغتها للحفاظ على هويتك بالكامل ♻️.</t>
  </si>
  <si>
    <t>تقييمك الرقمي لن يُعرض على القائد، بل سيُستخدم لتحليل الأداء؛ سنُشارك القائد المرئيات المكتوبة فقط.</t>
  </si>
  <si>
    <t>أحمد الرشيد</t>
  </si>
  <si>
    <t>من المهم الاستماع إلى رأي الفريق، وأخذه بعين الإعتبار عند أخذ القرار.
 الفريق يحتاج مساحة لإبداء الرأي وإلى الاستماع لهم، وبكل تأكيد أخذ رأيهم في القرار بشكل واضح. يعني عادي يمشي رأيهم حتى يشعرون بأهميتهم في الفريق، ففرض الرأي عليهم بشكل دائم يؤثر عليهم سلبًا.</t>
  </si>
  <si>
    <t>من المهم توضيح الفكرة والرأي بشكل جيد، الكلمة سلاح ذو حدين، إما التقبل والرفض له بشكل كامل بسبب طريقة طرح النصيحة.</t>
  </si>
  <si>
    <t>إبداء الرأي بشكل دائم، وتحديث الفريق بالتحديثات بشكل دوري.</t>
  </si>
  <si>
    <t>طريقة التواصل وإبداء الرأي، الاستماع للفريق وأخذ رأيهم بعين الإعتبار.</t>
  </si>
  <si>
    <t>J8bGVBK</t>
  </si>
  <si>
    <t>Pdzj1qQ</t>
  </si>
  <si>
    <t>تحتاج تركيز أكثر، ووضوح، وقابلية للتنفيذ</t>
  </si>
  <si>
    <t>تحتاج تطوير وفهم لثمانية</t>
  </si>
  <si>
    <t>التمكين ليس بالشعارات.</t>
  </si>
  <si>
    <t>التطوير والدعم يكون بالطريقة للطريق.</t>
  </si>
  <si>
    <t>فذ، والفريق يصبح فريق إذا كانت أعمدته قائمة على أركان صلبة بالمسؤولية.</t>
  </si>
  <si>
    <t>يفهم ثمانية، وآلية عملها، وتطبيق الأفكار الجديدة يجي مع الوقت. والمهم التمكين حقًا.</t>
  </si>
  <si>
    <t>QKyj481</t>
  </si>
  <si>
    <t>xXMJGGk</t>
  </si>
  <si>
    <t>الهاشمي</t>
  </si>
  <si>
    <t>أسامة اليحيى</t>
  </si>
  <si>
    <t xml:space="preserve">الخبرة في ادارة المواهب والمسرح
الذكاء العاطفي والاجتماعي
السرعة في ايجاد حلول لأي مشكلة </t>
  </si>
  <si>
    <t xml:space="preserve">مرن فالتعامل مع المواهب الجديدة
متقبل للآراء المطروحة بالاضافة إلى تطويرها للأفضل
مراعاة الجميع والتعامل معهم بمهنة واحترافية </t>
  </si>
  <si>
    <t>خلق بيئة عمل إبداعية ومناسبة للجميع
العدل والمساواة بين المواهب
الحزم في أولويات العمل وعدم المجاملة</t>
  </si>
  <si>
    <t>الاستماع الجيد للكل وإعطاء ملاحظات تساعد على تطويرهم
التعليم والتحفيز المستمر
إعطاء مساحة آمنة لإبتكار طرق جديدة تساعد في سير العمل</t>
  </si>
  <si>
    <t>للأمانة ابرز شي فيه تواضعه والتزامه ويحسسك انه خويك موب مدير او شي، ودايم متواجد</t>
  </si>
  <si>
    <t xml:space="preserve">متميز جداً في التخطيط المستقبلي لكن نحتاج المزيد من التفاصيل والدقة لكي تتم الخطط المستقبلية على أتم وجه ممكن </t>
  </si>
  <si>
    <t>VLXDapv</t>
  </si>
  <si>
    <t>2EAMbqM</t>
  </si>
  <si>
    <t>فيه وضوح تجاه الأولويات
لكن أحيانًا يبدو تحديد الأولويات في معزل عن واقع الفريق، الظروف العاجلة مفهومة لكن العمل في منظمة ربما يتطلب بعضًا من اعادة النظر في آلية التعامل مع هذه الظروف</t>
  </si>
  <si>
    <t>الفريق يحتاج للمزيد من الثقة والاستقلالية</t>
  </si>
  <si>
    <t>لا اعتقد ان هناك نظام واضح للتعامل مع الفريق، وهذه ليست لدى القائد وحسب وانما على مستوى المنظومة :)
ولا اعتقد انه يؤخد رأي الفريق -من ناحية عملية- بعين الاعتبار في مواطن متعددة، وانما يطلب التنفيذ وحسب</t>
  </si>
  <si>
    <t>لا اعتقد انه حصلت فرصة-نظرًا لضغط العمل الغير منقطع- لتطوير مهارات الفريق او التوجيه او الارشاد
المرئيات البناءة تتطلب وجود مساحة من الوقت للتركيز على الفريق، وهذه المساحة غير متوفرة في ثمانية اطلاقًا، الوقت كله للعمل فقط</t>
  </si>
  <si>
    <t>شخص مُلهم وقوي ومبدع
لكن لا اعتقد انه اتيحت له الفرصة لتطوير الفريق وتمرير هذا الالهام، الفريق كامل يتطلع له، واعتقد ان الفجوة أكبر من كونها بين القائد والفريق. التحدي الحقيقي هو كيفية تعريف فريق الانتاج لدى المنظمة كاملة وكيفية منح هذا الفريق التقدير والاحترام اللازم ومنحهم المساحة الكافية للنمو والتطور، وهذا بدأً من القائد وحتى اصغر فرد في الفريق</t>
  </si>
  <si>
    <t>منح مساحة استقلالية وثقة للفريق 
ربما تركيز أكبر على تطوير الفريق ومنحه فرصة للنمو
بناء سياسات واضحة للاقسام الاخرى وكيفية التعامل مع فريق الانتاج، فريق الانتاج يحتاج حماية :)</t>
  </si>
  <si>
    <t>اعتقد أن القائد لم يمنح فرصة كافية للعمل على تطوير الفريق، العمل في ثمانية كاملةً أصبح منهكًا له وللفريق ولم يعد هناك مساحة لمراعاة التواصل الجيد او الحفاظ على المشاعر او حتى منح الفرصة للآخرين ليبرزوا، أصبحت طريقة العمل هي العمل على المضمون، وبسرعة وطوال الوقت دون التفكير بأي اعتبارات اخرى</t>
  </si>
  <si>
    <t>NpvObyO</t>
  </si>
  <si>
    <t>rjONkRp</t>
  </si>
  <si>
    <t>محمد الرجيعي</t>
  </si>
  <si>
    <t xml:space="preserve">الأولويات والمهام قصيرة المدى واضحة جدًا وآليتها ممتازة، المهام طويلة المدى لا يوجد لها آلية واضحة مما يجعل الشخص فاضي في الفترات اللي ماعنده فيها مهام قصيرة المدى. </t>
  </si>
  <si>
    <t xml:space="preserve">عنده ذكاء اجتماعي ممتاز، ويعرف كيف يحفز الفريق ويستغل مهاراتهم بشكل جيد. </t>
  </si>
  <si>
    <t>صدقًا البيئة والثقافة في الفريق ممتازة، الجميع متعاون لكنه في أحيان كثيرة يحتاج قرارات لا يتخذها إلا قائد الفريق. هذا يجعل العمل يتأخر أحيانًا لأنه يصعب التحرك بدون القائد.</t>
  </si>
  <si>
    <t xml:space="preserve">فيه بيئة خصبة في الفريق للتطور والإبداع، وهذا الشيء يستحق الإشادة. </t>
  </si>
  <si>
    <t>التعاون والتكامل في الفريق والذكاء الاجتماعي في إدارة شخصيات إبداعية فنانة قد يكون صعب، لكن القائد مميز في قيادة هذا الفريق.</t>
  </si>
  <si>
    <t xml:space="preserve">أعتقد نحتاج فقط للتطور في جانب الخطط والمشاريع طويلة المدى. حنا ممتازين في المشاريع السريعة، لكن يمكن لضرورة عملنا أحيانًا نفقد آلية تنفيذ المشاريع طويلة المدى. </t>
  </si>
  <si>
    <t xml:space="preserve">فيه تباعد بسيط بين أعضاء قسم منتجي المحتوى، واختلاف فيه طريقة وحجم وسرعة العمل. ممكن نحتاج لتطوير آلية عمل واضحة لكامل الفريق بحيث تسهل متابعتها. </t>
  </si>
  <si>
    <t>QKpzBkX</t>
  </si>
  <si>
    <t>eqrk6yE</t>
  </si>
  <si>
    <t>سلطان العتيبي</t>
  </si>
  <si>
    <t xml:space="preserve">أحيانا … يكون فيه تغيير وأعلم متأخر. </t>
  </si>
  <si>
    <t xml:space="preserve">الطريقة واضحة… بس ماتدري في يد مين أنت! </t>
  </si>
  <si>
    <t xml:space="preserve">فاهمة الانتاج و" تحّن " على الشغل </t>
  </si>
  <si>
    <t>بث الحماس واضح من القائد.. 
أتمنى يضع لكل فريق ليدر يكون هو الرابط بيننا. 
القائد مشغول دائما خصوصا نحن في بداية مشروع كبير .</t>
  </si>
  <si>
    <t>الحماس لا يوقف</t>
  </si>
  <si>
    <t xml:space="preserve">فقط وضع ليدر وحلقة وصل بين الفريق. </t>
  </si>
  <si>
    <t xml:space="preserve">مثلا يكون فيه واحد مباشر.. نتواصل معه </t>
  </si>
  <si>
    <t>Xxd6RV4</t>
  </si>
  <si>
    <t>PdzpJYx</t>
  </si>
  <si>
    <t>يوسف السبكي</t>
  </si>
  <si>
    <t>اقدر جدا الوضوح والثقة العالية اللي قاعدين ناخذها
بس ان بكل فترة يطرأ لنا امر جديد.. دون الانتهاء من المشاريع القديمة، فيصير على الشخص عبئ اضافي في كثير من الاحيان ممكن يأثر على انتاجيته بمهامه الاساسية</t>
  </si>
  <si>
    <t>صراحة عشرة على عشرة بشكل عام، لكن نحتاج وبشكل كبير اننا نحسن تواصلنا مع بقية الفرق
بالذات في المهام اللي نحتاج فرق اخرى فيها</t>
  </si>
  <si>
    <t>فكرة اننا قاعدين احنا كاعضاء فريق نساهم في بناء القرار بشكل نهائي، ونحدد الاحتياجات واليات العمل ويكون في دائمًا مشاورة امر رهيب اتمنى يستمر</t>
  </si>
  <si>
    <t>نحتاج نحسن داخليا التواصل بين الفريق والعلاقات بشكل اكبر، بالذات لمن هم عن بعد
اتكلم عن متابعة لكيف الامور ماشية والتواصل كيف داخليا قاعد يتم بين اعضاء الفريق عوضًا عن المهام بس، اؤمن اذا كان التواصل بين اعضاء الفريق اكبر واعمق بتكون انتاجيتهم كبيرة</t>
  </si>
  <si>
    <t>- الثقة العالية باعضاء الفريق
- مشاركة المرئيات وجوانب التحسين
- الفزعة الرهيبة في حال واجهنا مشاكل داخلية
اتمنى اننا نستمر على هذا النهج</t>
  </si>
  <si>
    <t>اننا نحسن سرعة التواصل في المهام (:</t>
  </si>
  <si>
    <t>ملاحظات عامة ليست لاسلوب القيادة:
- اننا نضمن ارتباط الفرق بشكل افضل واكثر بثمانية. وما اقصده نكون على مزامنات مع مختلف الفرق والاخبار الجديدة اللي تخصنا داخليا (تحسين التواصل بشكل عام)
- في حال انه الشخص يحتاج لقسم اخر بمهمة معينة فهو احتياج فعلي للتحسين مو بس لرغبة ازاحة المهام لشخص اخر (في مهام لو الواحد سواها بنفسه بيجيب العيد ويحتاج الدعم والمشورة احيانًا دون السؤال)
- انه يكون عندنا في سلم واضح للمهام اللي تخص كل مستوى وطريقة ترقيات اوضح (بمعنى حاليا ممكن شخص مستواه بالبداية لكن مهامه تتناسق مع مهام لسلم اكبر وخلافه بدون ما يكون واضح ايش مقابل هذا اللود الاكسترا) واتوقع انه استحدات جديد لكل قسم حاليا بيكون.</t>
  </si>
  <si>
    <t>Gxy4ajp</t>
  </si>
  <si>
    <t>zxyD67R</t>
  </si>
  <si>
    <t>جوانا التويم</t>
  </si>
  <si>
    <t>أنس متمكن من توضيح الأمور حتى وسط العواصف القارصة [الدوري مثلًا هههه].
عملنا على مشاريع كانت درجة الوضوح فيها بالسالب، ولكن كان أنس يحاول يجزئها لمهام أصغر، بحيث نقدر نشتغل عليها ونوضحها حبة حبة ومعها يوضح المشروع.
أفضل مثال كان بناء قسم مكافحة القرصنة ومحد مننا عنده أي خبرة ذات علاقة 🥶. أسند لي أنس المهمة، ولكن حتى بعد بحثي المطول ماوضحت الصورة الكاملة... فقام أنس -بدون مايطلبه أحد- تواصل مع خبراء بمكافحة القرصنة لدى جهات أخرى مثل beIN وOSN، ورتب اجتماعات متعددة معاهم، خلتني أقدر أسئلهم وأخذ من خبرتهم وسهلت لي استيضاح الأمور، مع انها كانت تبدو كمهمة مستحيلة.
لكن، عند تحديد الأولويات، أعتقد في مساحة للتحسين -أو لعلي اختبرت أسوء أوقات ثمانية ولذلك شعرت بالحاجة للتحسين-. كنت أحمل مسؤولية قسمين لوحدي [الرصد الإجتماعي ومكافحة القرصنة] قبل ما نوظف أحد، بالإضافة لذلك كان عندي مهام متعلقة بالنمو وبالتوظيف وحضور مناوبات للرصد الإجتماعي، وفجأة لقيت نفسي أعمل 24/6 لأن الأولويات ماكانت واضحة، وكل شيء يبدو أنه "مستعجل".
تواصلت مع أنس وشاركته قائمة المهام اللي عندي بترتيب من عندي للأولويات، وكان متعاون ومتفهم وساعدني في ترتيبها. بس خلينا نقول لعلي كلمته متأخر، بعد ما انحرقت من الفترة... وتمنيت لو من البداية كان توزيع المسؤوليات وضغط العمل منطقي أكثر والأولويات موضحة.</t>
  </si>
  <si>
    <t>أنس مُمّكن حقيقي لفريقه، ومن حظي الكبير أني تحت قيادته. شخصيتي بالعمل "أعتقد" صعبة، لأن أحتاج مساحة واستقلالية لإظهار أفضل ما لدي ولكن أغلب المدراء يفضلوا يكونوا فوق راس الموظف "لضمان" إتمام المهام، وهذا الأسلوب يستنزفني ومايخليني أعطي كل ما لدي 😬.
في المقابل، أنس بدايًة يسند المهمة ويكون متواجد للحديث عن تفاصيلها إن إحتاج الشخص لساعات، حتى يضمن أنه عندك كافة المعلومات اللي تحتاجها. بعد ذلك، يعطي المساحة والاستقلالية الكاملة لك لإنجازها.
مايحاول يتدخل إلا إن شعر أنه في عوائق صايرة أو إذا قرب تاريخ التسليم دون تحديث. هذي الثقة تجبرك تخرج أفضل ما لديك، وتسلم أكثر من المطلوب. وإن صار عائق أو تحدي أو احتجت للمشورة، دائمًا متواجد للمساعدة وتسهيل الأمور 🤝.
فيما يخص الوعي والتفهم للتحديات والمشاعر، فأنس إنسان لطيف جدًا ومتفهم لذلك جدًا. صارت لي إنهيارات متعددة في فترة الدوري، وكنت ألجئ لأنس سواء للفضفضة عن التحديات أو ترتيب الأولويات حتى لا أفقد عقلي، وبعد أي جلسة معاه أشعر بأني أفضل بكثير وأنه جزء كبير من المشكلة/الهم/الضغط انحل.</t>
  </si>
  <si>
    <t>من أول يوم لي بفريق أنس (اللي 60٪ منهم خارج الرياض)، وهو يحاول يربط مابيننا بطرق غير مباشرة. فمثلًا عندي مهمة متعلقة بالبيانات، ينصحني أنس أكلم عمر الخطاب (أو يكلم عمر يكلمني)، ومنها صرت أعرف عمر وبيننا سواليف كثيرة، ولا كأنه عايش في دولة مختلفة وماعمرنا اتقابلنا بالواقع.
أيضًا، عندنا مشروع منفصل "مساحة آمنة" للفريق يتكلم فيها ويشارك اللي عنده بالإضافة لإجتماع شبه أسبوعي "للسواليف" بحيث نتعرف على بعض أكثر خارج إطار العمل، وبالتالي تكون مخرجات عملنا أفضل.
من جانب إشراك الفريق بالقرارات، فما أظن قد شفتها بقائد قد أنس، دائمًا يسئل الفريق عن رأيهم وليش "ايوا" وليش "لا"، القرارات معاه عبارة عن نقاش وليست صفر واحد. غير إنها تشعرك بثقته بك، أشوفها كمان ممتعة، لأنك تدخل في حوارات ونقاشات متعددة وتشعر بأنك جزء حقيقي من المشروع ولست فقط "منفذ".</t>
  </si>
  <si>
    <t>بكرر ماذكرته سابقًا، بس فعلًا أنس يشعرك بأنك جزء حقيقي من الفريق ولست فقط منفذ. يدعم المبادرات والأفكار بصدر رحب، منفتح للإستماع لرأيك الذي يخالفه، ويدعمك بشتى الطرق إن احتجت ⭐️.
لعل جزئية مشاركة المرئيات ماصارت كثير بيننا للأمانة، بحكم دخول الدوري بثاني شهر لي، والكل صاير يجري ومافي وقت لها بإختصار هههه. بس في أحد الإجتماعات قلت له أني أحتاج أسمع منه (بعد فترة التجربة بقليل) وماقصر في إعطاء المرئيات والنقاش فيها بدون موعد مسبق 🙂‍↕️.</t>
  </si>
  <si>
    <t>- ثقته وتمكينه للفرد بإعطاء مساحة واستقلالية
- دعمه ومساندته مع العوائق بأي وقت (حتى بالفجر، يب)
- أسلوبه اللطيف دائمًا بأي محادثة (+ مستمع جيد جدًا)
- انفتاحه للنقاشات، حتى لو القرار أُخذ مسبقًا
- طريقة تفكيره اللي دائمًا تبسط المشاكل وحلولها
- صراحته وشفافيته بالحديث «doesn't sugarcoat things»
- يقدر الجهود معنويًا، يقول لو سويت شيء رهيب، ويشكر بكل لطافة</t>
  </si>
  <si>
    <t>- مشاركة الأولويات بشكل مستمر، بالذات مع جنون الدوري 🌪️
--- مع سرعة العمل، تتكدس المهام من كل جهة، وصعب يوضح أيش ممكن يتأجل أو/و يتكنسل منها. فتلقى عندك 40+ مهمة وتشعر بأنه جميعها أولوية وتحرق نفسك في محاولة إنجازها جميعًا. 
- التأكد من موازنة ضغط العمل للفرد «Balancing Workload»
--- معرفة جميع المهام اللي قيد العمل لدى شخص، يساعد في معرفة إن كان عنده مساحة لمهمة إضافية أو لا. صعب على الواحد يقول "لا" بنفسه لمديره، ولذلك لو أنس ماكان مستحضر كمية الضغط اللي عند الفرد، فقد يضغطه زيادة بدون قصد، ويسرع من احتراقه المهني.</t>
  </si>
  <si>
    <t>للأمانة سعيدة جدًا بقيادة أنس ككل، قائد لطيف وسهل بالتعامل والتواصل ⭐️.
الملاحظات المتعلقة بضغط العمل والأولويات أعتقد الجــميع في ثمانية واجهها بفترة الدوري وتمس جميع مدراء الأقسام. لكن لو المدراء ماحاولوا يصلحونها فبتنتهي السنة بشركة رهيبة، بس محترقة كليًا. وبنشوف نسبة إنسحاب عالية من المواهب الموجودة.
أغلب الضغط كان شيء لا يمكن التحكم به -ولا يمكن التكهن به أيضًا- وهذا مفهوم. لكن وصلنا الآن إلى مرحلة "مستقرة" نوعًا ما، ونحتاج نصلح فيها ما أفسده مشروع الدوري ببيئة العمل 🥲.
فأرجوكم، والله أحب ثمانية جدًا، أنقذوها من الغرق، أنتم الأمل يافريق الثقافة 🤍.</t>
  </si>
  <si>
    <t>aQoWrW8</t>
  </si>
  <si>
    <t>dWajear</t>
  </si>
  <si>
    <t>محمد جدّاوي</t>
  </si>
  <si>
    <t xml:space="preserve">أتفهم أننا في الفترة الحالية نمر بالعديد من التحديات والمتغيرات الخارجة عن إرادتنا أحياناً، ولكن لابُد من العمل بناءً على عاملين بالنسبة لي في الوقت الحالي، واللي هي الأولويات والعمل بمقدرتنا الحالية اللي تكون محدودة في أوقات كثير للأسف. 
مثل ما نعرف بأن مشروع الدوري هو اللي صار الشغل الشاغل الآن لأغلب من في ثمانية وهو أمر مفهوم جداً ولكن في نفس الوقت لابُد من استيعاب أننا بدينا كل شي في غضون أشهر وعندنا نقص أساسيات في عدة مناطق وأكبرها الجانب التقني. وهذا الجانب يؤثر بشكل كبير على طريقة إعادة بيع الاشتراكات والحصول على إيرادات أكبر وتوسع أسرع. 
ومثل ما تم توضيحه لنا في القسم بأنه ودّنا نطوّر كل أنواع الشراكات داخلياً وهذا من شأنه ياخذ وقت أطول وأطول على عكس لو تم التعاون مع وسطاء يساعدونا. </t>
  </si>
  <si>
    <t>ممتازة جداً ولكن بعض الأحيان نحتاج نكون أسرع في التعميد ومشاركة الآراء من الفريق التنفيذي</t>
  </si>
  <si>
    <t>ممتازة جداً وما عندي عليها ملحوظات</t>
  </si>
  <si>
    <t xml:space="preserve">ممتازة جداً وما عندي عليها ملحوظات، ممكن توضح أكثر بعد إكمالي السنة الأولى في ثمانية. </t>
  </si>
  <si>
    <t>الثقة في الفريق</t>
  </si>
  <si>
    <t>تحديد الأولويات بشكل أوضح والعمل بإمكانياتنا</t>
  </si>
  <si>
    <t>yPrgoZB</t>
  </si>
  <si>
    <t>71ZoZRA</t>
  </si>
  <si>
    <t>بسام عبيدو</t>
  </si>
  <si>
    <t xml:space="preserve">لاحظت إنه واضح جدًا في المهام. لما يعطيني شغل يكون غالبًا مفهوم من أول مرة، وإذا احتجت توضيح يكون متجاوب وما يقصّر. هذا الشي خلّاني أعرف دائمًا ايش المطلوب مني بالضبط </t>
  </si>
  <si>
    <t>التعامل معه سهل ورايق. يعطيك مساحة تشتغل بطريقتك، وإذا احتجته دائمًا يتجاوب بشكل سريع. واحد من المواقف اللي فعلاً قدّرتها يوم قررت أزور مقر الرياض لمدة أسبوع، كان داعم للفكرة وحرص إنها تكون أقل تكلفة علي. حسّيت فعلاً إنه يهتم ويسهّل على الفريق قد ما يقدر✊🏼.</t>
  </si>
  <si>
    <t>يحاول دائمًا يفتح لك أبواب تساعدك في الشغل. كثير يوصّيني على ناس داخل الفريق أو خارجه لو حس إن خبرتهم بتفيدني في مهمة. هذا ساعدني أفهم الناس أكثر، وأعرف مين أقدر أرجع له في كل شيء. يعطي إحساس إن الفريق يمشي ككتلة وحدة</t>
  </si>
  <si>
    <t>إذا شاف إن فيه شخص ممكن يفيدك في شيء، يربطك فيه على طول. ويوجهك للخطوات أو المصادر اللي ممكن تنفعك. هالأسلوب خفّف علي وقت كثير وخلاني أركز  دائمًا على التنفيذ</t>
  </si>
  <si>
    <t>أكثر شيء يعجبني سلاسته وثقته ووضوحه، وما يحسس الواحد إنه مراقب أو مضغوط. ودائمًا يعطي إحساس إنك جزء مهم من الفريق</t>
  </si>
  <si>
    <t>يمكن لو كان فيه مراجعات سريعة بين فترة وفترة يكون أحسن. جلسة بسيطة نراجع فيها الشغل والتوقعات تساعد كثير وتختصر وقت</t>
  </si>
  <si>
    <t>بحكم إن الفترة اللي اشتغلت فيها مع أنس تعتبر قصيرة نوعًا ما ثلاث أشهر فقط، لذلك كل اللي ذكرته في التقييم مبني على هذي المدة. ومع ذلك، حاولت أكون صادق قد ما أقدر في الأشياء اللي شفتها أو جرّبتها. أتمنى إن هالملاحظات تساعد في دعم القائد والفريق بشكل أفضل.</t>
  </si>
  <si>
    <t>RGayaEd</t>
  </si>
  <si>
    <t xml:space="preserve">يعطيه العافية، الأمور عامة جيّدة، ولكن مع دخول الدوري، ازداد الضغط وتشعب الأولويات المختلفة واللي كان صعب أظن مشاركتها بشكل مستمر معنا دومًا، فجاءت فترات كنت أحس حالي فيها مش مرتب أولوياتي بالضبط. </t>
  </si>
  <si>
    <t xml:space="preserve">يقدّم ثقة عالية بالفعل وتحفيز مستمر. مع ضغط الدوري الجديد، في بعض الأحيان كان صعب تحصيل إجابات سريعة، أو ترتيب اجتماعات دورية. </t>
  </si>
  <si>
    <t>ثقافة التعاون في الفريق جدا ممتازة، ويشاركنا بشكل مستمر أن نشارك قراراتنا ورأينا</t>
  </si>
  <si>
    <t xml:space="preserve">كل ما أتيحت الفرصة، يكون هناك مشاركة ممتازة للمرئيات. تقدير جهد الفريق موجود معظم الوقت أيضًا، التشجيع على أفكار جديدة ثقافة كبيرة في الفريق. </t>
  </si>
  <si>
    <t>يعطيه ألف عافية، أحب جدًا ثقته وشعور الإدارة الداخلية لدي على المنتجات أو المشاريع التي أشتغل عليها بشكل رئيسي.المرئيات دومًا مليانة إحسان وتساعد.</t>
  </si>
  <si>
    <t>مساحة اجتماعات ومرئيات أكثر، وأن التشعب بين عملي على مهام محتوى ثمانية الأصلي والدوري قاعد يشتت تركيزي قليلًا بينهم.</t>
  </si>
  <si>
    <t>فريقنا ينمو بشكل جيد ورائع الحمد لله، تأتي مواسم ضغط أشعر في ثمانية، ومن نهاية الصيف بدأت، وأشوف الموازنة بين المهام والأولويات تصبح صعبة شوي.</t>
  </si>
  <si>
    <t>Zjy6py5</t>
  </si>
  <si>
    <t>WOrxLJN</t>
  </si>
  <si>
    <t>لما تجتمع معه تعرف وش الي يريد منك + وش مستهدفات الفريق</t>
  </si>
  <si>
    <t>أحيانا يكون فيه ضغط مهام من فرق ومشاريع اخرى، فممكن جدا تأخر  وتعطل عملك ومهامك الأساسية</t>
  </si>
  <si>
    <t>أن يكون رده سريع فقط</t>
  </si>
  <si>
    <t>ماعندي</t>
  </si>
  <si>
    <t>يشيد على الإنجازات ويشكر صاحبها</t>
  </si>
  <si>
    <t>ولا شي</t>
  </si>
  <si>
    <t>لا والله</t>
  </si>
  <si>
    <t>Y5XxAM6</t>
  </si>
  <si>
    <t>q4G02eg</t>
  </si>
  <si>
    <t>إبراهيم الهويمل</t>
  </si>
  <si>
    <t>- أحتاج أحيانًا وضوحًا أكبر في تفاصيل التحوّل بعد القرارات الكبيرة.
- التوجيه المتأخر يسبب بدء بعض المهام قبل ما تتضح الصورة كاملة.
- وجود قناة ثابتة للتحديثات يرفع مستوى الوضوح ويقلل الالتباس.</t>
  </si>
  <si>
    <t>يوضح حدود المسؤوليات بطريقة تساعدني أعرف بالضبط إيش المطلوب مني بدون تداخل في الأدوار.
يحافظ على نمط عمل مستقر حتى وقت تغيّر الأولويات، وهذا يعطي شعور بالثبات ويسهّل اتخاذ القرار.</t>
  </si>
  <si>
    <t xml:space="preserve">جو العمل مريح، ويعزّز استقلالية الفريق .
- يحتاج الفريق الأخرى تعاونًا أوسع مع فريقنا حتى تتحسن جودة العمل بشكل مستمر.
- وجود اجتماع قصير ودوري يُعتبر احتياجًا للفريق، لأنه يوضّح الصورة العامة مبكرًا ويقلّل الالتباس في التوجّه.
</t>
  </si>
  <si>
    <t>يقدّر جهود الفريق ويوفّر أدوات تواصل تسهّل التنسيق وترفع جودة الشغل.
يقدّم ملاحظات بنّاءة تساعد على التطوّر وتحسين طريقة العمل بشكل مستمر.
يقدّم أدوات تدعم تطوير العمل، مثل اقتراح منصّات جديدة تعالج احتياجات الفريق.</t>
  </si>
  <si>
    <t>أقدّر أسلوبه في خلق بيئة عمل مريحة وواضحة، خصوصًا خلال التحوّل الأخير في مهامي. ورغم أن التغيير كان سريعًا، حصلت على الوقت الكافي لإعادة ترتيب الأمور، وهذا ساعدني أبدأ المرحلة الجديدة بشكل أفضل.</t>
  </si>
  <si>
    <t>أتمنى يكون فيه وضوح أكبر في التوجّه وقت التغييرات السريعة، ويكون فيه قناة ثابتة للتحديثات بحيث يعرف الفريق المستجدات أولًا بأول.</t>
  </si>
  <si>
    <t>71VjgWP</t>
  </si>
  <si>
    <t>GxpW86p</t>
  </si>
  <si>
    <t>قبل أي شيء، جزء من مشكلة عدم الوضوح أتحملها أنا كذلك؛ يعني كنت أعاني من عدم الوضوح أحيانًا، فمثلًا لما ثمانية أخذت نقل الدوري كنت بعيدة بشكل غريب حتى تواصل معي أحد الزملاء وقالي لازم تشتغلي وتبني فريق، ترى مسؤوليتك بينما مديري ما قالي أنه فيه جزء من المهام بيكون عندنا رغم أني سألته قبل وقال مب عندنا. وهذا سبب ضغطتي التوظيف ولخبطة وبدأ الدوري ما عندي موظفين وأطلب المساعدة من كل أحد. غلطي أني ما كلمته ولا سألته بعدها وكملت أشتغل وأبحث بصمت.</t>
  </si>
  <si>
    <t xml:space="preserve">دائمًا أقولها، أنس إنسان قبل يكون مدير ورائع جدًا في هذا الجانب، مُمكّن بشكل تنسى أن عندك مدير. وممتنة جدًا على تمكينه هذا، حفزني وجعلني مستقله تعلمت أعتمد على نفسي، وحتى معطينا حرية الخطأ والصواب بأن القرار دائمًا عندنا. 
لكن هذا في البدايات، بعد فترة من الخبرة لا تجد تمكين حقيقي وإعطاء صلاحيات ومسؤوليات أكبر. </t>
  </si>
  <si>
    <t>كان بودي يكون حضوره أكثر مع الفريق.</t>
  </si>
  <si>
    <t>التطوير غائب وهذا أتحمل جزء منه كذلك. لكن الدعم الأفكار والإبداع دائمًا موجود.</t>
  </si>
  <si>
    <t xml:space="preserve">إنسان رائع، مراعي، مهتم، مستمع جيد، مُمكّن، داعم للأفكار المختلفة. </t>
  </si>
  <si>
    <t>1. الوضوح مع الفريق أكثر.
2. حتى وإن كان الفريق لا يحتاجه، التواصل باستمرار.
3. التركيز مع الفريق وتطويره.
4. مساعدة الفريق بالتوظيف، والانتباه للاحتراق.
5. تمكين الفريق بعد فترة من الخبرة.</t>
  </si>
  <si>
    <t>5Bo0YZZ</t>
  </si>
  <si>
    <t>WO7rqqN</t>
  </si>
  <si>
    <t xml:space="preserve">إعادة ترتيب الأولويات بطيء نسبيًا. لأن يكون فيه فترات تكثر البراشوتات (مهام عاجلة) ويتوقع أن كل أمر آخر قاعد ينجز  وهو في الحقيقة يتم دفّه إلى ما لا نهاية. </t>
  </si>
  <si>
    <t>أتوقع أنه أفضل قادة ثمانية في طريقة العمل ويلهمني بذكاءه الاجتماعي العالي جدًا.</t>
  </si>
  <si>
    <t>بالغالب يقود كل شخص على حده، ما أشعر أننا فريق بأغلب الأوقات.
ممكن أن هذا الأمر مفيد لكون الفريق صغير فيحاول منع التشتت لكنه له سلبياته وتحس أنك تصارع لحالك كثير.</t>
  </si>
  <si>
    <t>ما فيه وقت الفترة الأخيرة كانت عبارة عن ركض.</t>
  </si>
  <si>
    <t xml:space="preserve">الثقة في الفريق عند التفويض بشكل كامل، التفهّم وحسن الظن، ما يحسسك أنك مهما اشتغلت مقصّر.  </t>
  </si>
  <si>
    <t>أظن لو كان فيه اجتماع دوري للفريق كل شهر أو كل ربع ممكن يحسّن من إحساس أننا فريق.</t>
  </si>
  <si>
    <t>Y5XgP8W</t>
  </si>
  <si>
    <t>LZP1o1j</t>
  </si>
  <si>
    <t>لجين ياسر</t>
  </si>
  <si>
    <t>أدري قد أيش حلو يكون الواحد مديره «ما يطولها وهي قصيرة» بس لعلها مع  أ. أنس  أقصر من اللازم، التواصل معاه قليل وموجز دايمًا ويرد متأخر وتحتاج تتتصرف من عندك كثير،، لكن ما ننكر وقت القرارات الحاسمة والأزمات يجي ويعطيك ال«كش ملك» وينقذ الموقف.</t>
  </si>
  <si>
    <t>تعقيبًا على كلامي فوق، قلّة ردوده وتأخرها خلتني أعتمد على نفسي بالشغل كثير ، زادت الدبرة عندي والتصرف بالأزمات، وزادت قربي من باقي الموظفين في شتى الأقسام لأن أصحاب الشأن غالبًا بيردون أسرع، رب ضارة نافعة؟ هههه
ما قد حسيته ضغطني، ويعطيني المسؤولية الكاملة في عملي بدون ديدلاينات [أعترف أني أحتاج بعضها عشان أنجز خخخخ]</t>
  </si>
  <si>
    <t>الحقيقة أني ما فهمت سؤال ثقافة الأداء، وماني متأكدة من خيار اتخاذ القرار، ما انحطيت بموقف يخليني أقرر معاه ولكن غالبا لو أبديت رأيي في قرار ما بيسمع له أو يبرر لي السبب وهكذا.</t>
  </si>
  <si>
    <t xml:space="preserve">أتوقع هنا مكان طرح مشكلتي الحقيقية، صارلي أكر من ٦ شهور أعمل في ثمانية ومو عارفة للآن إذا أنا شغالة صح أو لا، هل اعتماد النصوص الفوري دلالة على جودة أدائي؟ هل طريقة عملي صحيحة بهذا الشكل؟ أو بلاقي المادة السابعة والسبعين تطرق بابي معلنة الوداع؟ 
ما جاني تقييم على الأداء ولا أي ملاحظة، هل «تمام يعطيك العافية» كافية؟ سؤال يدور ويدور.
*ونقطة مهمة هل يدعم الإبداع؟ أحط ١٠ وبكل ثقة لأني أطرح أغرب أفكار للمحتوى وأتوقع رفضها مع ثلاث ضحكات، لكنها تُقبَل.
</t>
  </si>
  <si>
    <t>لو بوصفها في كلمة بقول «ما يتفلسف»، اعذروا فظاظتي ولكنها تلخص كل شي، يعطيك الحرية الكاملة في عملك، يعلمك تتخذ قرارات وتتصرف وتفهم الصورة الكاملة من العمل، ما عمرها جتني طلبات كتابة نصوص بدون ما أفهم الطبخة وراها، وهذا شي أقدّره للغاية.</t>
  </si>
  <si>
    <t>التواااااصل، لو شفت أداء كويس امدحه، لو مو كويس انقده (بلطف بليز)، وصّل لفريقك أنهم شغالين كويس أو لا.</t>
  </si>
  <si>
    <t>حاليًا مع إجازة نورة الرشيد انتقل لي الكثير من مهامها، مثل الحملات وبعض المهام التسويقية الأخرى: أنا أخطط للإعلانات، أجهز حملات وأعمل في نشرها مع عبدالله الدغفق، أدخل في توزيع الميزانية الشهري للحملات وأحدد على اللي نركز عليه خلال الشهر  وأعمل على ترتيبها قبل الإطلاق، وتعبأ مبالغ الحملات في بطاقتي في ساي فاي وأحضر بعض المشتريات اللي يحتاجها فريق النمو وأرفع فواتير المنصات وأتواصل مع مسؤوليها وغيرها من المهام.
وفوق كل هذا طبعا مسماي الوظيفي، فكل ما يخص الإعلانات أعلاه أكتبه.
هل أنا عاجبني الوضع؟ جدًا! أتعلم أشياء جديدة يوميًآ
هل عندي مخاوف؟ أخاف عند تقييمي تنحسب المهام التسويقية دون وضع استحداثها في الحسبان، وأخاف أقيّم على وظيفتي الأساسية فقط دون وضع مهامي الأخرى في الاعتبار.
شي بين الاثنين تقريبًا،</t>
  </si>
  <si>
    <t>D48MWAE</t>
  </si>
  <si>
    <t>aQ47Exv</t>
  </si>
  <si>
    <t>محمد نصرالدين</t>
  </si>
  <si>
    <t>يحتاج يتواصل أكثر مع الفريق ويكون متواجد</t>
  </si>
  <si>
    <t>السرعة في الاستجابة</t>
  </si>
  <si>
    <t>الهدوء</t>
  </si>
  <si>
    <t>التواصل</t>
  </si>
  <si>
    <t>VLXoR6v</t>
  </si>
  <si>
    <t>0Q7XPDN</t>
  </si>
  <si>
    <t>لجين</t>
  </si>
  <si>
    <t>يوجد ضبابية في الرؤية، لا يتم تحديد الأهداف بوضوح للفريق.</t>
  </si>
  <si>
    <t>لا يوجد تجاوب مع الأسئلة والمتطلبات اليومية!</t>
  </si>
  <si>
    <t>لا يشمل كل أعضاء الفريق المعنيين في الاجتماعات، ولا يعيد التوجيه للتأكد من أن الجميع على صفحة واحدة. تكتشف بالصدفة أن الفريق يعمل على مشروع ضخم!</t>
  </si>
  <si>
    <t>لا يوجد توجيه كافي.</t>
  </si>
  <si>
    <t>يدعم الاستقلالية في إدارة المهام.</t>
  </si>
  <si>
    <t>1 تعزيز التواصل الفعال مع جميع أعضاء الفريق. حاليًا التواصل ضعيف جدًا.
2 اجتماعات دورية تقلل من الضبابية في الأهداف والأولويات والخطط القادمة.
3 اشراك الجميع.</t>
  </si>
  <si>
    <t>هناك تحدي في التواصل والمتابعة مما يؤدي إلى تعطيل سير العمل.</t>
  </si>
  <si>
    <t>yPGpMMX</t>
  </si>
  <si>
    <t>ZjoWb2A</t>
  </si>
  <si>
    <t xml:space="preserve">واضح جدًا ونخوض نقاشات مستمرة </t>
  </si>
  <si>
    <t>اللي يميز أنس أنه يخوض قتالاتنا اللي مانقدر لها</t>
  </si>
  <si>
    <t>محدد ثلاث اجتماعات اسبوعية عشان يضمن الفريق عنده تحديثات</t>
  </si>
  <si>
    <t>دايم يقولي وحش</t>
  </si>
  <si>
    <t>أنه معتمد على الفريق ومعاهم بأقل التفاصيل</t>
  </si>
  <si>
    <t xml:space="preserve">هو صبور بس لازم يزيد صبر اضافي
</t>
  </si>
  <si>
    <t>vG1Vq0l</t>
  </si>
  <si>
    <t>Pd16Dox</t>
  </si>
  <si>
    <t>أنس يأخذ قرارات حاسمة في أوقات صعبة بمشاركة كل فريقه وأخذ رأيهم، هذا يعزز التواصل بين الفريق والتوجه العام للشركة، كلنا على نفس الصفحة، وهذه القدرة على موازنة القرارات السريعة والتشاور مع الفريق تجعلنا نحقق الأهداف بشكل استثنائي.</t>
  </si>
  <si>
    <t>مدير بمعنى الكلمة، الصدق سعيد جدًا بالتعامل معه، قادر على خلق فريق قوي وتمكينه، والسعي لمعالجة المشكلات المستحيلة، أعتقد في وقت قصير بنبدأ نشوف آثار خطته في إدارة الفريق وكيف تنعكس على العمليات وسلاستها.</t>
  </si>
  <si>
    <t>ذكرتها في النقطة أعلاه، نحن نتعامل في الفريق بمبدأ كل شخص عنده مهارته وقدرته، مع إعطاء كامل المساحة للتصرف مع الفرق الداخلية الأخرى، الصدق أعتقد نحن أفضل فريق في ثمانية.</t>
  </si>
  <si>
    <t>أعتقد إن قدرة المدير في تطوير فريقه، تعتمد على تقبل الفريق للتطور والتحسين المستمر، وهذا اللي نواجهه بشكل يومي، الفترة الماضية ما كانت سهلة، وكلنا تعلمنا من التجارب الجديدة، والصدق قيادتك في هذه الفترة الصعبة كانت حكيمة.</t>
  </si>
  <si>
    <t>دعم الإستقلالية، والتدخل في الحالات الحرجة جدًا.</t>
  </si>
  <si>
    <t>كسب صلاحيات أكبر للفريق، لدعم المشاكل اللي تواجهنا حاليًا.</t>
  </si>
  <si>
    <t>أعتقد مدحت كثير، لكن فعلًا أنس مدير محظوظين به.</t>
  </si>
  <si>
    <t>PdLvDvd</t>
  </si>
  <si>
    <t>ODXvJAg</t>
  </si>
  <si>
    <t xml:space="preserve">نايف الغنام </t>
  </si>
  <si>
    <t>التواصل دايما واضح ومباشر وسلس</t>
  </si>
  <si>
    <t xml:space="preserve">اقدر بشكل كبير اسلوب العمل الحالي المبني رغم التحديات </t>
  </si>
  <si>
    <t>يقوم بتوضيح المسؤوليات بشكل واضح مما يسهل التعامل معها،ودائم الدعم وسريع التواصل والرد</t>
  </si>
  <si>
    <t>حريص على التواجد دايما بمسافة السوال لتقديم الدعم اللازم وحريص على مشاركة المريات اللازمة لتطوير العمل بالشكل الافضل</t>
  </si>
  <si>
    <t>دائم الدعم والسوال ومتواجد للمساعدة دايما وحريص على ايجاد الموازنة بين صعوبة الفترة وكثرة تحديات</t>
  </si>
  <si>
    <t xml:space="preserve">ما وجدت منه الا كل خير خلال فترتي القصيرة السابقة ومتطلع لما يحمله المستقبل </t>
  </si>
  <si>
    <t>dW1RV5K</t>
  </si>
  <si>
    <t xml:space="preserve">التذكير بالأولويات وعرض الدعم. 
</t>
  </si>
  <si>
    <t>التطوير وتحديث طريقة العمل بين فترة وأخرى.</t>
  </si>
  <si>
    <t>فيه جانب كبير من الاستقلالية وهذا شيء مرة ممتاز وأقدره كثيرا.
لتطوير الفريق وتوسيع/تحسين عملنا في المشاريع، ممكن نعيد توزيع المشاريع مرتين في السنة أو بحسب وجود المشاريع والأولويات. حتى يتسنى لكل شخص من الفريق تجربة العمل في مشروع معين، ممكن يكون فيه فرصة أكبر للتطوير أو حتى منظور مختلفة لكيف ممكن تسير العملية وغيره.</t>
  </si>
  <si>
    <t>التحسينات اللّي صارت مؤخرًا في تطوير طريقة عملنا كمنتجين ممتازة، التخطيطات الربعية، المتابعة الأسبوعية بالاجتماع الدوري للفريق. الوعي في كيف نقود العمليّة الإنتاجية في خطوط ثمانية كانت خطوة احتجناها من زمان. ما زال فيه فرصة لتطوير الآليات وطريقة العمل، ولكنها خطوة ممتاز كبداية.
لكن تحديث الأولويات والتأكيد على أهمية ترتيب المهام بشكل دوري أساس مهم.</t>
  </si>
  <si>
    <t xml:space="preserve">التخطيط لتطوير مهارات الفريق.
تطوير آليات الإنتاج والمراحل «واختلافها بحسب نوع المشروع» وتوحيدها مع كل الأقسام المعنية.
توسيع نوعية المشاريع الموزعة بين الفريق. </t>
  </si>
  <si>
    <t>obYlQz1</t>
  </si>
  <si>
    <t>WORyrPv</t>
  </si>
  <si>
    <t>للأسف ما أشوف في أي وضوح، تداخل المشاريع بسبب عدم التنظيم ومحاولة ضغط الفريق لإيجاد حلول في الوقت بدل الضائع، كل فرد يعمل بمفرده بدون توجيه أو وجة واضحة</t>
  </si>
  <si>
    <t xml:space="preserve">لاحظت وجود ثقة عالية بالفريق، بس هل هي ضمن التمكين أو عدم المبالاة؟ ما أعرف، مع ذلك دايمًا يحاول يقلل الضغط عن الجميع، وأشوف جزء من هذا الضغط ممكن يقل في حال تنظيم العمل والمشاريع بشكل أفضل </t>
  </si>
  <si>
    <t xml:space="preserve">حس المشاورة في إتخاذ القرار موجود، لكن البيئة أبدًا ما تحفز على التعاون، نفس ما ذكرت باول نقطة، كل أحد يعمل بمفرده والإدارة للأسف شبه منعدمة </t>
  </si>
  <si>
    <t>التشجيع هنا عمس، التشجيع لعدم المبادرة ههه، بس هذي النقطة لنفسي ما ودي تشارك 🤡</t>
  </si>
  <si>
    <t>اهتمامه بالحالة النفسية للفريق ههه</t>
  </si>
  <si>
    <t>القيادة بشكل عام، من تنظيم الفرق والمشاريع، المبادرة والتشجيع عليها، ثقافة المحاسبة العادلة والوضوح…</t>
  </si>
  <si>
    <t xml:space="preserve">اعتقد ذكرت كل شيء فوق، يارب يتم صياغة كلامي بشكل أفضل، اذا كان قابل للمشاركه اصلا </t>
  </si>
  <si>
    <t>jaYB5oR</t>
  </si>
  <si>
    <t>EkdaEkL</t>
  </si>
  <si>
    <t>رولا</t>
  </si>
  <si>
    <t>أيمن الحمادي</t>
  </si>
  <si>
    <t xml:space="preserve">ما زلنا في طور تحديث الرئاسة فلا استطيع كتابة انطباعاتي بناء على تجارب حقيقة كوننا مازلنا في بداية القيادة ، لكن كلي ثقي بقيادة أيمن واستلام الكفة بكل إحسان </t>
  </si>
  <si>
    <t>نفس انطباعي السابق مازلنا في طور تحديث القيادة فلا استطيع التقييم هنا بشكل قائم على تجارب سابقة 
لكن ربما نقطة اتاحة التجاوب وقت الحاجة تحتاج ان تعزز اكثر كونه مع ضيق المهام يصل التجاوب بالغالب في اوقات متأخرة .</t>
  </si>
  <si>
    <t>ايضًا نفس الانطباع السابق لا استطيع التقييم بناء على تجارب سابقة مع تحديث القيادة الجديد</t>
  </si>
  <si>
    <t xml:space="preserve">لا يوجد.  ارفقتها ضمن الكلمة الأخيرة </t>
  </si>
  <si>
    <t xml:space="preserve">أيمن الابن البار لفريق انتاج المحتوى فكرة كونه كان زميل معنا تجعله مطلع على أبرز التحديات التي تواجه الفريق وعاصر بعَضًا منها وهذا يجعله دائمًا يريد التحسين وهذا شيء رائع وملموس </t>
  </si>
  <si>
    <t xml:space="preserve">ربما الانخراط أكثر مع الفريق يبدو أيمن بعيد عن الفريق الذي يقوده  وهذا بدوره قد يخلق بعض من الحواجز في تطوير الفريق والقرب من احتياجاته وفهم بعض التحديات العملية مثل لأي مدى كل موظف يعمل بعدد من المشاريع ويتعرض لبعض الضغط أو الصعوبات اثناء عمله وادارة الوقت والجهد </t>
  </si>
  <si>
    <t>ODK7r2K</t>
  </si>
  <si>
    <t xml:space="preserve">القائد يتسم بدرجة عالية من الشفافية في مشاركة التحديات والتحفظات معي، وهذا شيء إيجابي يساعد على سهولة التعاون.
لكن أشعر أن الأداء سيكون فعّالًا أكثر لو كان كان هناك وضوح مبكر ومباشر في بعض المهام والمشاريع. إذ إن الإفراط في النقاش أو التنظير أحيانًا قد يؤخّر الانتقال إلى مرحلة التنفيذ أو يشلّ المشروع. </t>
  </si>
  <si>
    <t xml:space="preserve">- أكثر ما أقدره ثقته العالية بي وبالزملاء، وهذا الشيء ملموس، وتفهمه وقربه لبعض المشاكل التي يعرفها ورصدها في تجربته الانتاجية </t>
  </si>
  <si>
    <t xml:space="preserve">في أغلب المشاريع اللي عملت فيها، كان القائد جزء أساسي من تأسيسها وقريب من مشاكلها ويسارع في حلّها واعطاء مرئياته، شهادة حق لم أشعر أنه كان بعيدًا عن أي مشاكل انتاجية </t>
  </si>
  <si>
    <t xml:space="preserve">- أقدّر ثقته واستشارته لي وللزملاء في بعض المشاريع، وهذا يدل على أن القائد واعي لكل نقاط القوة والضعف في كل شخص من الفريق ويعرف كل شخص ومكانه </t>
  </si>
  <si>
    <t xml:space="preserve">- الاستعانة بالفريق لثقته بهم وبمشورته
- انفتاحه على التجربة 
- تفهمه لكل المشكلات الانتاجية لأنه خاضها قبلنا وعارف كل التحديات 
- قربه من المشاريع </t>
  </si>
  <si>
    <t>أتمنى في المرحلة القادمة تعزيز الوضوح المبكر عند تحديد الأهداف والمسارات في المهام والمشاريع منذ البداية، بما يقلّل من الاجتهادات المتعددة أو الإفراط في التحليل، ويساعد الفريق على الانتقال سريعًا وفاعليًا إلى التنفيذ.</t>
  </si>
  <si>
    <t>D4PX8bp</t>
  </si>
  <si>
    <t>rjab5rL</t>
  </si>
  <si>
    <t>أقدّر فيك انك تسعى وتحاول انك تطور كل واحد تشتغل معه، تعرف سلبياته وإيجابياته، وتطور عليها بحيث يخلق لون جديد له</t>
  </si>
  <si>
    <t xml:space="preserve">طريقة العمل مثالية، في التحديات والضغط متفهم، وإذا احتجت شيء منه اقعد مباشرة بدون تحطيط وخذي إيجابية، وشخص سهل وواضح </t>
  </si>
  <si>
    <t>في إشراك الفريق ومشاوراتهم بالقرارات مب دايم تصير، لكنه يشاور بعض المرات، قادر على خلق بيئة تخليك تبدع وتجرب، وشخص دايم يهمه المعرفة ان الموظفين كلهم يتشاركون المعلومات او غيره</t>
  </si>
  <si>
    <t xml:space="preserve">دايم ينصحني ويوجهني ويعلمني انا وين، ووش مفروض أسوي، وكيف شايف شغلي مو، ممتاز في هذا الجانب </t>
  </si>
  <si>
    <t xml:space="preserve">انه يعلمك انت ممتاز في ايش ووش مفروض تشتغل عليه وكيف تديرها او تعمل عليها، واقدّر فيه حرصه </t>
  </si>
  <si>
    <t>اجتماعاته معنا عشان ناخذ التحديثات من بعض حتى لو بالغداء مب شرط اجتماع ويكون الوضع رسمي</t>
  </si>
  <si>
    <t>A6GyXxD</t>
  </si>
  <si>
    <t>pbyqK2B</t>
  </si>
  <si>
    <t>الحقيقة اجتمعت معه مرة واحدة تقريباً. ربما لظروف العمل ما التقينا كثير فصعب إني أضيف مرئياتي هنا. لكن أيضا سعدت بالاجتماعات الولية اللي عقدها مع المنتجين ليفهم ويسمع منهم وبعدها يُبنى التوجه الجديد لخطوط التحرير</t>
  </si>
  <si>
    <t>ملائمة لمرونة المنظومة وتحركها السريع</t>
  </si>
  <si>
    <t>أثره واضح</t>
  </si>
  <si>
    <t>المرونة، عدم التدخل في الصغائر وإنما التواصل يكون مع القيادات وهم بدورهم يوجهون فريقهم.</t>
  </si>
  <si>
    <t>بعد استلامه لمهامه وبعد تحديات الدوري، الود ننطلق بسنة جديدة وأهداف أكثر تنوعا وأظن أن كامل الفريق يعمل على ذلك فما أقول هو من باب التنويه وفقط</t>
  </si>
  <si>
    <t>أتمنى في 2026 أن يكون هناك استثمار حقيقي من قبل الموارد البشرية في مواردها الموهوبة. أن تكون هناك خطوط تطويرية مهنية وقيادية وإدارية. ينتخب لها النخب من الموظفين فيما ينعكس على المنظومة والبلد</t>
  </si>
  <si>
    <t>b5XzKv2</t>
  </si>
  <si>
    <t>واضح الحقيقة، والعمل مريح مع أيمن وشهادتي فيه مجروحة</t>
  </si>
  <si>
    <t>لو يصير فيه حوار أكثر بين الفريق، ياسلام</t>
  </si>
  <si>
    <t>لأنها بداية الفترة، أعتقد ما وصلنا لمرحلة كافية من العمل كفريق بكل فريق المحتوى.</t>
  </si>
  <si>
    <t>الثقة العالية والتمكين.</t>
  </si>
  <si>
    <t>العمل كفريق أكثر مع باقي الموظفين</t>
  </si>
  <si>
    <t>rjpMkBp</t>
  </si>
  <si>
    <t>67ezxko</t>
  </si>
  <si>
    <t>المسؤوليات عنده كبيرة ومتعددة، ولذا يتفهم تمامًا انشغاله بهم، ومع ذلك أتصوّر أنه يبذل كل ما يستطيع ليكون التواصل واضح. ولكن طبعًا بسبب حجم المسؤوليات والبرامج تحته، وبالذات مع مشروع الدوري، أتصور أن وصوله وتواصله مع مختلف البرامج ليس بالحد الأعلى. ومرة أخرى هالشي متفهم تمامًا.</t>
  </si>
  <si>
    <t>ذكي اجتماعيًا ومريح العمل والتعامل معه.</t>
  </si>
  <si>
    <t>من أكثر من يستقبل مرئيات الفريق ويستخدمها بقراراته. وأشعر أن المرئيات فعلًا تؤخذ بالاعتبار.</t>
  </si>
  <si>
    <t>مرة أخرى أعتقد أن انشغالاته الكبيرة تقيّد عمله في هذا الجانب. وهذا متفهم بتصوري.</t>
  </si>
  <si>
    <t>واضح ومرن ومريح.</t>
  </si>
  <si>
    <t>تطوير سيطرته على مختلف البرامج التي يديرها. التحدي أمامه كبير جدًا بسبب حجمها وتنوعها وكذلك نموها بفعل مشروع الدوري، لكن أتصور قائد بموقعه يحتاج تكون عنده سيطرة ونظرة عليا، مثلًا ممكن يحتاج مساعد يغنيه عن متابعة التفاصيل الدقيقة، وكذلك ممكن يساعده التوكيل (Delegation) أكثر والتدخل عند الحاجة. بحيث يسيطر على مختلف المشاريع، وبنفس الوقت يجد متسع للنظر بنظرة كلية واستراتيجية أكثر.</t>
  </si>
  <si>
    <t>أيمن حاليًا هو ركن المحتوى في ثمانية، وأعتقد يحتاج منكم إرشاد يفيد في مثل هذا الموقع. أعتقد التحديات اللي يواجهها كبيرة وبيفيد أن يساعدونه الموارد البشرية في فهمها وتفكيكها وعلاجها، وبكيف ينتقل من «منتج محتوى» إلى «قائد منتجين محتوى»، وهو حاليًا متقدّم بشكل ممتاز في ذلك ولكن ممكن يحتاج قفزة أكبر، وهذي بيفيد فيها دعم خارجي من فريق مثل الموارد البشرية.</t>
  </si>
  <si>
    <t>obYl4PM</t>
  </si>
  <si>
    <t>rjO6Kzl</t>
  </si>
  <si>
    <t xml:space="preserve">
الفترة التي عملت بها تحت قيادة أيمن تُعَد قصيرة نسبيًّا، لكن تخللتها اجتماعات مثمرة بيني وبينه. ربما نحتاج أكثر، حتى من طرفي، إلى تقوية متابعة ما نناقشه في الاجتماعات، وهذا عمومًا تحدٍّ من تحديات العمل عن بعد. </t>
  </si>
  <si>
    <t xml:space="preserve">من حيث منحي الاستقلالية والثقة، هذه عناصر مهمة جدًا وأيمن يمنحني إياها. وهو متاح دائمًا لدى طلبي أي مساعدة. </t>
  </si>
  <si>
    <t xml:space="preserve">
يحدث أحيانًا أن أكتشف وجود نقاشات ضمن فرق عمل بعض النشرات مع أيمن دون إشراكي فيها، وفيما يخص أمور أساسية. مثلًا، لم أكن على علم بإدخال عمران في نشرة الجبرين الاقتصادية كمساعد تحرير للنشرة. هذا قرار صائب للغاية وموفق للنشرة لكن فوجئت بوجود عمران، وحسب كلام عمران كان يظن أنَّ أيمن بلغني، لكن أيمن لم يبلغني.</t>
  </si>
  <si>
    <t xml:space="preserve">
أيمن منفتح على التطوير ومنفتح على أفكارنا بالتغيير والتحسين بشكل مشجع للغاية. ووجدت منه دعم في عملي حاليًّا على تطوير نشرة أها! وحل بعض المشاكل فيها. </t>
  </si>
  <si>
    <t xml:space="preserve">ثقته في الفريق، وإدارته حل المشكلات بفعالية ودون انفعال. أيضًا انفتاحه على سبل التطوير وإيجاد الحلول في تحسين أداء المنتجات. </t>
  </si>
  <si>
    <t xml:space="preserve">
إشراك مدراء الخطوط في النقاشات الأساسية المتعلقة بالتحديثات والمعالجة.</t>
  </si>
  <si>
    <t xml:space="preserve">لا إضافة لديّ عما شاركته. كما قلت هي فترة قصيرة نسبيًّا، لكن حتى الآن الأمور كلها على ما يرام، ومرتاحة للعمل تحت قيادة أيمن. </t>
  </si>
  <si>
    <t>44dpJEk</t>
  </si>
  <si>
    <t>0QBBMK6</t>
  </si>
  <si>
    <t xml:space="preserve">ريهام الزعيبي </t>
  </si>
  <si>
    <t xml:space="preserve">يعطيه العافية أيمن، متقدّ في الأفكار، ورائع.
لكن أعتقد صعب أن أقيم وهو في منصب جديد، أعتقد أنه غير عادل. 
لكن بشكل مبدئي التقييم بناءً على الفترة السابقة. 
في الأولويات أجدها دائمًا تتغير وليست واضحة بالنسبة لي، أعمل على شيء وأحصل أن فيه تركيز على شيء ثاني. </t>
  </si>
  <si>
    <t xml:space="preserve">أقدر دائمًا اجتماعاتي معه لتطوير الأفكار وفتح نوافذ جديدة، وهذا أكثر ما أقدره في عمله، عقله متقدّ ويسأل الأسئلة الصح، لكن دائمًا يصلني شعور بعدم الثقة تجاهي، ودائمًا أشعر أنني بحاجة للتحسين المستمر، فيه أعمال مناطة بي واتفاجئ أنه يأخذها ويعمل بها، بغير اتفاق. 
وهذا الشعور منهك حقيقةً. أتمنى لو يطوّر التواصل مع الفريق ويتفهّم أن لكل شخص طريقة عمل يحب أن يعمل بها. </t>
  </si>
  <si>
    <t xml:space="preserve">أتمنى أن يستمر في جمع الفريق لنقاش الانتاجات وإشراك الفريق بالقرارات الإنتاجية، ومشاركة الهواجس بشكل عام. </t>
  </si>
  <si>
    <t xml:space="preserve">دائمًا أراه يدعم على التواصل وإبداء أفكار جديدة. </t>
  </si>
  <si>
    <t xml:space="preserve">ممتنين دائمًا على حرصه وتعبه في دوره الصعب. 
ومحاولة إيجاد حلول تجاه الإنتاجات. 
أتمنى أن يستمر في طرح الأسئلة الصعبة، وفي تحدي الأفكار. </t>
  </si>
  <si>
    <t xml:space="preserve">أتمنى أنا التواصل يكون واضح والأولويات متضحة للجميع. 
شعور التقدير  مهم للفريق. </t>
  </si>
  <si>
    <t xml:space="preserve">أتمنى أن يكون ألطف في آراءه وألفاظه، ويقدرها أن كانت أمام فريقي أم لا. لأن الثقة مهمة بين أعضاء الفريق ليثقون بقائدهم. أن يحاول أن يفهم طريقة عملي. ويشعر فريقه بالامتنان والتقدير في العمل. </t>
  </si>
  <si>
    <t>kdxrjrr</t>
  </si>
  <si>
    <t>VLQzo5a</t>
  </si>
  <si>
    <t>التواصل واضح وفعّال، ولكن تحديد الأولويات واتخاذ القرارات السريعة قد تحتاج تطوير</t>
  </si>
  <si>
    <t>لا توجد لدي مرئيات</t>
  </si>
  <si>
    <t xml:space="preserve">- يبذل جهد واضح في تحسين التواصل وتمكين الفريق
- يدعم الأفكار الإبداعية </t>
  </si>
  <si>
    <t>- تسريع التجاوب لتسريع وتيرة العمل
- مشاركة مرئيات بشكل دوري حول الأداء العام والجوانب التي تحتاج تطوير</t>
  </si>
  <si>
    <t>من الجدير بالذكر إن احتكاكي بالقائد كان لفترة وجيزة ويقتصر على مشروع واحد فقط ولذلك قد تكون مرئياتي محدودة.</t>
  </si>
  <si>
    <t>6ROjMqa</t>
  </si>
  <si>
    <t>67ZJNoA</t>
  </si>
  <si>
    <t>نايف العصيمي</t>
  </si>
  <si>
    <t xml:space="preserve">يسعى دائما للتواصل بكل كفاءة ، يميز أيمن أنه يسمع من الناس ويناقش ..وأتمنى يستمر على ذلك </t>
  </si>
  <si>
    <t xml:space="preserve">•يحاول دائما فهم احتياجات الفريق
•متعاون ويعرف يتعامل بشكل شخصي مع أعضاء فريقه 
•لعله يتسرع في اتخاذ بعض القرارات  
•يحتاج يبني استقلالية أكبر في اتخاذ القرار ، لانه أكثر من يفهم الاحتياجات ..احيانا ينجرف تحت الضغط وهذا مرتبط بالسبب الثالث </t>
  </si>
  <si>
    <t xml:space="preserve">ذكرتها في السابق </t>
  </si>
  <si>
    <t xml:space="preserve">التواصل مع الفريق والاستماع لهم دايم ، أيمن يحفز على الابتكار ويدعم الأفكار الجديدة ..يناقش وعنده قابلية واسعه لسماع الاراء </t>
  </si>
  <si>
    <t xml:space="preserve">•الاستماع للفريق 
•التعامل مع كل فرد بطريقة تناسبه 
•دعمه للابتكار </t>
  </si>
  <si>
    <t xml:space="preserve">•التعامل بشكل أفضل مع بعض القرارات المصيرية 
وما يستسلم أمام الضغط </t>
  </si>
  <si>
    <t xml:space="preserve">كل ما ذكرته </t>
  </si>
  <si>
    <t>xXE85E5</t>
  </si>
  <si>
    <t>1A47VxL</t>
  </si>
  <si>
    <t>أحمد الهلالي</t>
  </si>
  <si>
    <t xml:space="preserve">أراه ممتاز في التواصل، يبين لي التوجه والمستهدف بين حين وآخر وهذا جميل جدًا. </t>
  </si>
  <si>
    <t>أقدّر الضغوطات اللي عنده وحاس فيها جدًا، لكن بعض الأحيان يكون الرد والتجاوب بطيء، وأنا أحتاج رد سريع مثلًا. وأيضًا هو طريقة عمله يحب التواصل الكتابي، وأنا أحب أعبّر عن مشاعري أكثر بالتواصل بالمكالمة أو اللقاء، فصدقًا ما أقدر أعبّر عن أشياء كثيرة إلا بهالأسلوب، لأن كثير من الأشياء أحب أقولها كلفظ وتعبير أكثر من كتابة، خصوصًا لما يكون شيء عن توجه مهم وحاسم قادم. وهنا أنا ما أتكلم عن المهام في «بيسكامب» (فأنا أحبها جدًا بالطريقة التي عليها)، أنا أتكلم عن أشياء أحس لو دخلت لقاء أبو عشرين دقيقة، يختصر علي أربع ساعات ملاحقة في «بيسكامب» على رد.</t>
  </si>
  <si>
    <t>بأمانة، أشعر إن فريق المحتوى بشكل عام يعمل كجزر متفرقة، ولا يكون واضحًا لي وش يصير مع كل عضو في الفريق. وأنا فعلًا أقدّر فرص التعلم، ولما أعرف وش يسوي كل فريق، يكون عندي قابلية أساعد وأتطور في نفس الوقت. لذلك، أتمنى يكون فيه لقاء دوري كل أسبوعين، بعيدًا عن «بيسكامب»، يجتمع فيه كل فريق ويشاركون بما تم إنجازه، والتحديات اللي واجهوها، والخطوات القادمة. هذا النوع من التواصل يعزز شعوري بالانتماء، ويخليني أتعلم من باقي الزملاء وأفهم كيف المنظومة تشتغل بشكل أوسع، ولهذا أشوف إنه مهم جدًا.
وفي نقطة ثانية أحب أشاركها: قبل ما أنضم لثمانية، كنت واضح باهتماماتي فيما يخص نوعية البرامج اللي أرغب أشتغل عليها، وكان «أيمن» على اطلاع بتوجّهي. ومع الضغط اللي حصل بسبب الدوري، وافقت أشتغل على برامج ما كانت ضمن اهتماماتي أبدًا وبعضها كانت ضمن اهتماماتي. ما عندي مشكلة أساهم بأي مكان يخدم الفريق، حتى لو خارج نطاق ميولي، لكن لما جلست معه وشرحت له وضعي، قلت له بصراحة في فرصة لي بنوع محتوى يلي كلمتك عنه في الأساس.
وصارحتّه بشعوري، وقلت له إني ما أحس إني قاعد أتعلم، رغم إني كنت أطرح كثير من الاقتراحات على بعض البرامج، وكان يشاركني الرأي أحيانًا. وقلت له إني أشعر بوضوح إن ما تعلمت شيء يُذكر خلال الأربع شهور اللي راحت. وذكّرته إني من البداية قلت له إن ودي أمسك الموضوع الفلاني، وسبق نبهته عليه أكثر من مرة، لكنه قال لي “نسيت”. والصدق إني زعلت ههههخ 😅
كل اللي أبيه إني أكون بمكان أقدر أتعلم فيه، أشارك فيه، وألقى مساحة تعكس ميولي وتساعدني أنمو مهنيًا.</t>
  </si>
  <si>
    <t xml:space="preserve">غالبًا يشاركني المستهدفات، وهذا جميل لكن ما يشاركني مرئيات حول تحسين الأداء. </t>
  </si>
  <si>
    <t>والله أكثر شيء أحبه فيه طيبة قلبه ونّيّته الصافية، ولما أسولف معه، أحس براحة حقيقية وكأني أتكلم مع أحد قريب منّي وأنا مبسوط، ويفكر دائمًا ما يضغطنا بالعمل. 
وفي شيء جدًا جدًا أحبه فيه، إنه إذا شافني تحت في المقر، على طول يقول لي أنتبه على رقبتك وانت تشتغل، ويطلب مني أطلع فوق لأن الكراسي أريح هناك، وهذا الاهتمام البسيط يعني لي كثير ❤️…</t>
  </si>
  <si>
    <t>إنه يعرف وش طموحي بالضبط، وهذا الشي يخليه يعطيني مهام أكثر، وأيضًا مهام أكبر من ناحية التفكير الاستراتيجي. وبدون هذه الفرص، كيف يتعلم الواحد! 
ترتيب اجتماع دوري كل أسبوعين أو شهري مع كل فريق المحتوى، نجلس فيه ونسولف عن وش صار، التحديات، والأشياء الجاية، بيصنع فرق كبير بالنسبة لي. بفهم وش قاعد يصير، وأتعلم من باقي الفرق، وألقى فرصة أساعدهم وأكون جزء فعلي من المنظومة.</t>
  </si>
  <si>
    <t>ODZ58LR</t>
  </si>
  <si>
    <t>- رائع في اتخاذ القرارات السريعة، لكن أحيانًا تؤثر سلبًا على المشاريع اللي تتطلب تأني وتفكير وتخطيط.
 - ضبط الأولويات يسقط عادة مع زحام المشاريع والباراشوتات، والمشكلة ما عندنا «روتين» وآلية لمراجعتها وضبطها.
 - أحيانًا المهام واضحة جدًا، وأحيانًا كثيرة تصل المتطلبات ضبابية وعامة، فتتسوى غلط وتتطلب تعديلات مستمرة، وتستغرق وقت أطول مما لو أخذنا وقتنا في توضيح المتطلبات من المرة الأولى</t>
  </si>
  <si>
    <t>- تحفيز الاستقلالية والثقة في الفريق: ألاحظ أنك تثق بأشخاص معدودين في الفريق، البقية تشطب عليهم بسرعة إذا خرجوا عن النص خخ، ونفسك معهم قصير. مع أنهم ممكن يبدعوا إذا أخذوا الوقت والدعم الكافي.
 - من ناحية التفهم والوعي بتحديات الفريق: أحيانًا أحسك تستهين بحجم العمل وتقدير الضغط ههه، وتطلب من الفريق أشياء كثيرة وفي وقت واحد... وأكيد محد بيقول لا.
 حلوة في أوقات خصوصًا مع الموظفين اللي يبالغوا في تهويل المهام، بس في أوقات كثيرة تخلي الناس تحرق بدون ما تحس بالإنجاز وتقدير للي سوته.</t>
  </si>
  <si>
    <t>يعجبني أنك غالبًا تشاور الفريق في القرارات</t>
  </si>
  <si>
    <t>- التقدير والشكر والثناء... شوي غايب عن الساحة خخ، معي أو مع الفريق
 - المرئيات تصلني مؤخرًا بوضوح
 - يعجبني أنك دايمًا تولّد أفكار جديدة وحلوة، وتدعم التفكير المختلف</t>
  </si>
  <si>
    <t>الجو الكوميدي في كل لقاء واجتماع، والأفكار الجديدة، سرعة القرارات</t>
  </si>
  <si>
    <t>التخطيط وضبط الأولويات وطلب المهام، تقدير عمل الفريق، تحسين آلية التخطيط والمتابعة الداخلية للفريق</t>
  </si>
  <si>
    <t>Gxgj61j</t>
  </si>
  <si>
    <t>Xxr86EL</t>
  </si>
  <si>
    <t>خالد العصيمي</t>
  </si>
  <si>
    <t>ادري ظروف الفترة صعبة على الجميع
لكن إدارة الوقت الشخصي وتقليل فرص التشتيت لجودة الوقت والاتفاق مع اصحاب المصلحة على مستوى الأولويات بشكل علني لو تطلب.
وهذا الشيء لنا كلنا مو بس للقائد</t>
  </si>
  <si>
    <t>ماعندي شيء حاليًا</t>
  </si>
  <si>
    <t>لا شيء حاليًا</t>
  </si>
  <si>
    <t>وضوح
فهم شامل
عملي
مسؤول</t>
  </si>
  <si>
    <t>مايحضرني شيء حاليًا</t>
  </si>
  <si>
    <t>لا مشكورين</t>
  </si>
  <si>
    <t>1Az67rb</t>
  </si>
  <si>
    <t>Y5GLkA5</t>
  </si>
  <si>
    <t>محمد النعمه</t>
  </si>
  <si>
    <t xml:space="preserve">قادر على اتخاذ القرارات السريعة والواضحة، وتحديدًا في الحالات الطارئة، أحيانا تكون المهام واضحة وأحيانا هناك عدم وضوح. </t>
  </si>
  <si>
    <t xml:space="preserve">متجاوب ومتاح عند الحاجة ومتفهم، لا يمكن الفريق بشكل كامل. </t>
  </si>
  <si>
    <t>ممتازة جدًا بستنثاء عدم اطلاع الفريق على أسباب اتخاذ بعض القرارات .</t>
  </si>
  <si>
    <t>يقدر الجهد المبذول ويهتم بالتطوير، احيانا غير داعم للمبادرات والافكار المختلفة</t>
  </si>
  <si>
    <t xml:space="preserve">متفهم وداعم حقيقي </t>
  </si>
  <si>
    <t xml:space="preserve">وضوح المتطلبات والمهام، ووضوح الأسباب للقرارات السابقة </t>
  </si>
  <si>
    <t>71VAgWY</t>
  </si>
  <si>
    <t>J8l6jRK</t>
  </si>
  <si>
    <t xml:space="preserve">فكرة الاجتماع الأسبوعي أكيد مو عبث. ولها فوائد سواءً الآن أو لبعدين. 
بالمقابل أتمنى لو بالمقابل يكون أثرها أسرع، وتتضّح الأولويات ورؤيتك للقسم والمهام على بعد بحيث تسهل علي عكسها في آليات وخطط للفريق. وجودها بيساعدني كثير. </t>
  </si>
  <si>
    <t xml:space="preserve">ما عندي مرئيات بنّاءة للمشاركة. 
ولكن أشكره، وشكرته كثيرًا على ثقته فيني وبقيادتي. ويعلم جيدًا بأني بعمل جاهدة عشان أكون قد هذه الثقة. </t>
  </si>
  <si>
    <t xml:space="preserve">تعقيبًا على: يُشرك الفريق ويشاورهم عند اتخاذ القرارات. 
أتوقع فيه كثير من النقاط قابلة بأن قراراتها تكون بالتشارك وفقًا لأنها تتوافق مع مهامي ومسؤولياتي لكن اللي يحصل العكس. وأغلب القرارات اللي متعلقة بالقسم توصلني من فريق أو شخص خارجي وهذا مزعج أحيانًا. خصيصًا أنها بسيطة/ غير حساسة، لكن نقلها لك كرئيس تنفيذي تبعّدني عن الصورة كمدير &amp; تزيد من المهام التشغيلية اللي يرجعون لك فيها.  </t>
  </si>
  <si>
    <t>1. تقديمك مساحة «لأي مساحة» رائـع جدًا. وممتنة لك. 
2. أعتقد أحيانًا ما يشعر بالجهد المبذول لباقي الفريق. ويكون صعب علي أعكسه له، ولا يشعر بقيمة وجودهم رغم أن مهام القسم كبيرة/ كثيرة. وودي لو يتفهم سبب وجود كل شخص، وما تكون حلوله = ترى شخص واحد بيشيل لك الليلة. وفقط.
هذا اللي جاء ببالي.</t>
  </si>
  <si>
    <t xml:space="preserve">لما يعطينا روية تسويقية يخلي كل القسم ينطلق من إلى. 
فلما يعكس لي أفكاره/ مرئياته تفرّق جدًا. وأقدرها. 
</t>
  </si>
  <si>
    <t xml:space="preserve">1. تواصل مستمر.
2. مواءمة. وتحس بوجودي فعلًا وتبلغني بأي مستجدات لازم أعرفها كمدير في التسويق.
3. مشاركة الملاحظات والمرئيات مهم. أعتقد تتعيجز أحيانًا بس مساحة مفتوحة. </t>
  </si>
  <si>
    <t>PdLP6bb</t>
  </si>
  <si>
    <t>zxMpJL0</t>
  </si>
  <si>
    <t>نواف العقيّل</t>
  </si>
  <si>
    <t>رائعه جداً في سرعة توجيه فريق العمل</t>
  </si>
  <si>
    <t>نعمل بنموذج عمل واضح ودقيق</t>
  </si>
  <si>
    <t xml:space="preserve">الثقة عالية جداً </t>
  </si>
  <si>
    <t>الحاجة بين فتره وفتره للملاحظات على جودة المنتج</t>
  </si>
  <si>
    <t>روح المجموعة الواحدة
توجيه المهام بشكل واضح</t>
  </si>
  <si>
    <t>مشاركة الملاحظات -إن وجدت- بين فتره وفتره اخرى</t>
  </si>
  <si>
    <t>NpxK870</t>
  </si>
  <si>
    <t>دائمًا البراء ما يكون واضح في التواصل والتوجيه. 
 يمكن الفارق بين أي قائد آخر أن البراء مستحيل يفتح مهمة أو يسندها لو هي فعلًا غير واضحة،
 لذلك اللي يميزه عن أي قائد آخر. صح لو كان التواصل بطيء ومتذبذب إلا إنه دائمًا يكون واضح.</t>
  </si>
  <si>
    <t>البراء رائع في فلترة المرئيات من فوق. وبعض الأحيان عادي ما توصلنا من الأساسي. 
 حلوة بس بنفس الوقت مخيفة. خصوصًا للقادة ولحساسية قسمنا. فهذا يشعرني بالتوتر وعدم الوضوح. ممكن لي أنا بس.</t>
  </si>
  <si>
    <t>الظروف وحساسيتها تلعب دور مهم هنا. فأشهر ما أقدر أحكم بشكل عادل.</t>
  </si>
  <si>
    <t>دائمًا موجود للدعم.</t>
  </si>
  <si>
    <t>ما يميز البراء إنه تنفيذي حقيقي. 
 وعبدالرحمن يقدره ويحترمه كثيرًا. 
 وجود أحد مثل البراء داعم حقيقي للفريق. يفلتر دائمًا أي مرئيات سلبية وممكن ما توصلنا. يعمل على التحسين.</t>
  </si>
  <si>
    <t>قرب ووضوح أكثر.</t>
  </si>
  <si>
    <t>xXb2XWd</t>
  </si>
  <si>
    <t>البراء ممتاز في التواصل وضبط الأولويات، 
 اجتماعنا الأسبوعي يساعدني كل مرة في ضبط الأولويات وتوضيح الخطة. 
 نقاشنا دائمًا يساعدني ويحفزني. ولا يُعوض. 
 لكن هناك تحديين:
 1. يمكن أبطأ تنفيذي في اتخاذ القرارات. يعني شغلات تاخذ يومين، فعليًآ تاخذ أسابيع. 
 يحب الإحسان والإتقان جدًا، وهذا الشيء يأثر على القسم كامل. 
 نضطر أحيانًا أننا نعمل خلف الكواليس ونعتمد بدون ما ندخله معنا في القرار. وبالنهاية تطلع الأمور طيبة. 
 2. أحيانًا لا يعرف الضغط اللي علينا. 
 مثلًا التقييم الدوري وتقييم القادة والترقيات والهيكلة والمسميات وسلم الرواتب وخطة التوظيف كله علي، وعادي تلاقيه يعطينا مهام أكثر ويتوقع نخلصها بسرعة. 
 ليس فقط أنا، حتى مع باقي الفريق. 
 أحيانًا هو بعيد عن الصورة (وأكيد جزء من القصور من طرفنا، ولازم نحدثه أكثر)، لكن يحتاج يدخل نفسه أكثر في الصورة الكبيرة، وعادي يترك التفاصيل علينا.</t>
  </si>
  <si>
    <t>ممتاز وأفضل شخص في تحفيز الاستقلالية. 
 أعمل تحته وكأن لا مدير لي، وهذا الشيء حلو. 
 ما أضطر أرجع له في كثير من الاعتمادات، وهو يثق بقراري. 
 لكن، 
 البراء بعيد جدًا عن فهم الموارد البشرية. بعيد عن فهم تحديات التوظيف، والترقيات، والتقييمات. 
 مع أننا شاركناه التحديات أكثر من مرة، لكن يبقى بعيد عنها. 
 يمكن لسبب تواجده خارج الرياض، وانشغاله في مهام بعيدة عن الموارد، ف ينسى تفاصيل الموارد البشرية.</t>
  </si>
  <si>
    <t>أحب أن البراء يشاركنا القرارات والأفكار التنفيذية، وندخل معه في الصورة الكبيرة (أحيانًا). 
 ويثق بمشورتنا ورأينا. 
 النقطة اللي تحيرني: فجأة من شهرين طلع قرار منه أن كامل فريق الثقافة يرجعوا له مباشرة، وما كان عندي اشكالية. 
 لكن بعد ما تغيرت الإدارة له، لم يتغير شيء: لم يجلس مع "فريقه" الجديد أكثر. لم يشاركهم مهام. لم يتابعهم. لم يقيمهم. لا يعرف فعليًا لو الموظف كويس أو لا. 
 فكانت لخبطة لجزء من الوقت، إلا لما اتضح (بشكل غير واضح) أنه لن يدخل مباشرة معهم، ورجعنا على الهيكلة القديمة بشكل فعلي (رسميًا ما اعتمدنا التغيير منه، لكن اعتمدنا التغيير أنا والفريق حتى نضمن الشغل يمشي.
 البراء "قريب جدًا من الفريق".. لما يكون في الرياض. 
 لما يسافر خارج الرياض، يكون بعيد جدًا، عن الفريق وعن الشغل وعن العمل، كأنه مختفي ومشغول بأعمال آخرى. 
 فنتحمس عند تواجده في الرياض، ويشاركنا أفكار ومبادرات كثيرة نتحمس لها، 
 ولكن فجأة لما يسافر، ننسى كل شيء، ويرجع كل شيء كما كان، وكأنه لم يكن. أو يعتمد علينا أننا نكمل الأفكار والمبادرات، بدون توجه منه. وتزيد المهام علينا. 
 قادة الموارد البشرية، مضغوطين جدًا. يعني فعليًا أنا وتغريد شايلين ال280 موظف في كل ما يخص الموارد البشرية. صعب. وأحتاجه يكون متفهم لحاجتنا له في بعض الأمور أو التدخلات.</t>
  </si>
  <si>
    <t>البراء ممتاز في تطوير علاقات الفريق. 
 يقدر جهدنا. رهيب. سهل. متعاون. 
 وأفضل من يقودني ويطورني. 
 لكن إلى الآن لم يشارك أي مرئيات بشكل مباشر تساعدني على التطور . ولم يجلس معي حول تطويري لأكون أفضل، أو "فخر". 
 أعتمد على نفسي لتطوير نفسي. 
 يمكن هو يثق فيني؟ لكن لا أعلم.</t>
  </si>
  <si>
    <t>رهيب. سهل. متعاون. متفهم. أسلوب راقي جدًا. يسعى لأجلنا. يدافع عن الفريق، يحمينا، إلخ. 
 صراحة أفضل مدير بالنسبة لي، وأثق فيه.</t>
  </si>
  <si>
    <t>لازم يكون متواجد مع الفريق أكثر. 
 وجوده في الرياض مهم جدًا، ولا نستغني عنه. 
 يحتاج أن يكون معنا، حتى وهو خارج الرياض. فعليًا يختفي. 
 لازم يجلس مع كل شخص من الفريق كل فترة، ويفهم دورهم، وشغلهم، وخطتهم، إلخ. حتى يفهم كل شخص من الفريق ويعرف كيف يديرهم بشكل أفضل. 
 لازم يتخذ قرارات أسرع بكثير. نحن أبطأ فريق في اتخاذ القرارات. نحتاج نعمد فلسفة "أزهلها".</t>
  </si>
  <si>
    <t>A65L4k0</t>
  </si>
  <si>
    <t>أشوف إنه قريب رغم بُعده، سواء على بيسكامب أو اتصال. 🙂‍↔️
ولكن أحتاج إنه يكون أصرم في اتخاذ القرارات بسرعة، ويكون نقطة تواصلنا مع القوّات العليا لتحديد الأولويات.</t>
  </si>
  <si>
    <t>ذكي عاطفيًا واجتماعيًا بشكل يخرّع. ❤️
لكن بسبب كبر الفريق ما عنده ثقة عالية في كل العناصر وهذا طبيعي.
وربّما نظرة التنفيذيين للثقافة هي انعكاس نظرتنا لنفسنا، فلو كنّا واثقين أكثر نقدر نواجههم. 🤺</t>
  </si>
  <si>
    <t>يثق في الفريق بشكل كبير، ويمكّنه لاتخاذ القرارات. 💥
ولكن ما عندنا خريطة كبرى نمشي عليها، أو نجم شمال نستعمله كأساس لقراراتنا.</t>
  </si>
  <si>
    <t>أحس إن الكيميا بيننا رائعة، وفاهمين بعض بشكل كبير. 
ولكن ودّي يقولها في وجهي أكثر، ويتحدّاني أكثر عشان يطلّع أفضل ما عندي.</t>
  </si>
  <si>
    <t>قريب منّا. متعاطف بشكل كبير، ومقدّر لكل جهد نبذله.
ومتأكد بأنه خط الدفاع بيننا وبين التنفيذيين، ظهر وسند. 🫀</t>
  </si>
  <si>
    <t>الصرامة، السرعة والتحدّي، مثل ما ذكرت سابقًا.</t>
  </si>
  <si>
    <t>8qP4674</t>
  </si>
  <si>
    <t>aQ47L0b</t>
  </si>
  <si>
    <t>محمد سرحان</t>
  </si>
  <si>
    <t>يتميز بوضوحٍ عالٍ في التواصل وحسن ضبط الأولويّات، مما أسهم في تعزيز فهم الفريق للاتجاه المطلوب، ورفع مستوى التركيز وجودة الأداء.</t>
  </si>
  <si>
    <t xml:space="preserve"> وضوحه، دعمه، طريقته في توزيع المهام، تعامله مع الفريق، يعطي توجيهات واضحة، يستمع للفريق، يسهّل اتخاذ القرار</t>
  </si>
  <si>
    <t>يقدّم القائد نموذجًا مميزًا في القيادة من خلال قدرته على توجيه الفريق بوضوح، وبناء بيئة عمل داعمة تُحفّز على الالتزام والمسؤولية. يتّسم أسلوبه بالمرونة والاستماع، مما يسهم في تعزيز التعاون وتسهيل إنجاز المهام بكفاءة. كما يُقدَّر له حرصه المستمر على تمكين الفريق ومنحه الثقة، وهو ما ينعكس إيجابًا على جودة العمل وروح الفريق. وأرى أن استمرار هذا النهج سيُعزّز التطور المهني ويُحقق نتائج أفضل على مستوى الفريق ككل.</t>
  </si>
  <si>
    <t>يتميّز القائد بدعمه المستمر لتطوير الفريق، من خلال توجيهاته الواضحة وتشجيعه على اكتساب مهارات جديدة. ويسهم اهتمامه بتمكين الأفراد وتوفير بيئة داعمة في رفع جودة الأداء وتعزيز الثقة. وأرى أن استمرار هذا النهج يعزّز التطوّر المهني ويقوي الفريق</t>
  </si>
  <si>
    <t>أقدّر في أسلوب قيادته وضوحه، ودعمه المتواصل للفريق، وحرصه على خلق بيئة عمل محفّزة تُسهِم في نجاح الجميع.</t>
  </si>
  <si>
    <t>لا أرى جوانب محددة تحتاج إلى تطوير، سوى الاستمرار في النهج الحالي ودعمه بمزيد من فرص التقدّم المهني</t>
  </si>
  <si>
    <t>لا توجد مرئيات إضافية جوهرية، سوى التأكيد على أهمية استمرار الدعم المتبادل بين القيادة والفريق، لما له من أثر واضح في تعزيز الأداء ورفع مستوى الانسجام.</t>
  </si>
  <si>
    <t>A6NWNeD</t>
  </si>
  <si>
    <t>44656kB</t>
  </si>
  <si>
    <t>اسمك لن يُشارك مع القائد 🔒.</t>
  </si>
  <si>
    <t>عبدالله القرني</t>
  </si>
  <si>
    <t>تحديد المهام بوضوح. ومعرفة مهام كل فرد في المجموعة. مما يُساعد في تحديد إسناد المهام.</t>
  </si>
  <si>
    <t>الروح الإيجابية أثناء العمل التي انعكست على الفريق.</t>
  </si>
  <si>
    <t>التشجيع على المبادرة🔝
التمكين بطريقة اعطائنا مهام جديدة أخرى غير مهامنا وجديدة علينا وهذا يشجعنا للتطور.</t>
  </si>
  <si>
    <t>الروح الايجابية.
تقدير المجموعة.
يعزمنا.</t>
  </si>
  <si>
    <t>لا شكرًا</t>
  </si>
  <si>
    <t>ja2j6rJ</t>
  </si>
  <si>
    <t>zxyJyAR</t>
  </si>
  <si>
    <t>مازن النفيسه</t>
  </si>
  <si>
    <t>«ما يعجبني وما يشد انتباهك عندما تعمل لأول مرّة مع مدربنا القاسم هو وضوحه تجاه أغلب الأمور، وتوجيهه تركيزك إلى الأولى فالأولى، وهذا ما يجعل انضباطك أعلى في العمل على المهام الأهم فالمهم.»</t>
  </si>
  <si>
    <t>يشجّع دائمًا على إظهار الإبداع، وعلى إبراز الأشياء التي يعرف أنك تجيدها بإتقان، ويمنحك الاستقلالية واتخاذ القرار فيها. وهذا ما يعطيني ثقة أعلى في إنجاز المهام التي أتقنها وأبدع فيها، مع حرصٍ منه على المتابعة بين حينٍ وآخر ليتأكد من أنك تسير في الاتجاه الصحيح.
ورغم فترات الضغط في عملنا، خصوصًا في «رياضة ثمانية» وما يتخللها من ساعات عمل طويلة في بعض الأيام، إلا أنه يقدّر ذلك معنويًا، ويجعلك تشعر بأن الجهد الذي تبذله محل تقدير. وبرغم أنني أمضيت ثلاثة أشهر فقط، إلا أنني واثق بأنه سيقدّر أي جهد إضافي، وهذا ما يمنحني راحة أكبر تجاه عملي، ودافعًا للمواصلة.</t>
  </si>
  <si>
    <t>هو السبب الأول — بعد توفيق الله — في أن يتّسم الفريق بروح خفيفة وممتعة، ويسهّل العلاقة بيننا بروحه القريبة من الجميع. من الأمثلة الواضحة دعمه المستمر للخروج مع الفريق شبه أسبوعيًا على وجبة غداء أو عشاء يجتمع فيها كل من هو موجود، إضافة إلى الرحلات والنشاطات الرياضية التي مارسناها معًا. هذا كله أسهم في بناء علاقة قوية بيننا، وترك أثرًا مباشرًا على أدائنا عمومًا، وعلى أدائي في العمل خصوصًا؛ فصار الحضور للمقر ليس عبئًا، بل أعرف أنني سأعمل في مجال أحبه، ومع أشخاص ومدير أستمتع بالعمل معهم.
وكل هذا لم يكن ليحدث لولا توفيق الله، ثم وجود أشخاص في إدارتنا يشجّعون هذا النهج؛ مديرنا القاسم، وكذلك أبو هيا «إبراهيم القرعاوي» خلال فترات العمل، كانا عنصرين أساسيين في دعم هذا الجو.</t>
  </si>
  <si>
    <t>أعتقد أن ما سبق يوضّح دوره في هذا الجانب؛ فهو يهتم كثيرًا بتطوّرنا، ويشجّعنا على التعلّم من بعضنا البعض، كما يدفعنا لحضور أي تدريب أو ورشة قد تضيف للفريق. ومثال ذلك دورة Opta الأخيرة، التي كان حريصًا بشدة على حضورنا لها لإيمانه بأنها ستمنحنا قيمة مهنية إضافية في مجالٍ يمسّ عملنا مباشرة كقسم رياضي.</t>
  </si>
  <si>
    <t>أقدّر كل ما يقدّمه لنا. ومنذ اليوم الأول الذي التقيته فيه في المقابلة الوظيفية كان ذلك واضحًا؛ عرفت حينها أنني سأكون ضمن فريقه. روحه، وحُسن أسلوبه، وكونه يستمع لك ويقدّر أي إضافة تقوم بها — كلها عوامل تدفعك للإنتاجية وتساعدك على العمل بصورة أفضل.</t>
  </si>
  <si>
    <t>لا يوجد شخص كامل، لكن وسط كل هذه الجوانب الإيجابية يبدو واضحًا أنه يجتهد بصدق — حتى في الأشياء التي قد لا تكون مثالية، والمثالية أصلًا مفهوم زائف — لذلك يصعب عليّ أن أحدد نقطة أنتظر منه تطويرها بنفسه.
وإن كان هناك جانب غير مرتبط به مباشرة، فهو حاجة قسم التواصل الرياضي لعدد أكبر من الأعضاء. تكبير الفريق سيُسهم في توزيع الأدوار بشكل أدق، خصوصًا أن مديرنا «القاسم» يضطر أحيانًا للعمل معنا في مهام تشغي
لية بسبب قلّة العدد. وهذا لا يعدّ تذمّرًا بقدر ما هو طموح لتحسين جودة عملنا، ولتمكيننا من تقديم الصورة التي تستحقها «ثمانية» عبر منصّات التواصل.</t>
  </si>
  <si>
    <t>البحث عن موظفين جدد في قسم التواصل الرياضي أصبح ضرورة. فتكبير الفريق سيسهم في توزيع الأدوار بدقّة أكبر، خصوصًا أن مديرنا «القاسم» يضطر أحيانًا إلى المشاركة في مهام تشغيلية بسبب قلّة العدد. وهذا ليس تذمّرًا، بل طموحٌ لتحسين جودة عملنا، لأن ضغط المهام قد يؤثّر أحيانًا في مستوى الإنتاجية، وهو ما لا نريده جميعًا.
وفي كل الأدوار نحتاج دعمًا، لكن تحديدًا في دوري المتعلق بالكتابة لمنصّات التواصل الاجتماعي؛ فنحن بحاجة إلى كتّاب رياضيين ذوي جودة عالية، ليُسهموا في إبراز عملنا بشكل أفضل ويواكبوا المستوى الذي نطمح إليه.
وشكرًا لكم ومقدّر جدًا لكم 🙏🏼</t>
  </si>
  <si>
    <t>0QzyBNj</t>
  </si>
  <si>
    <t>2EKEz1D</t>
  </si>
  <si>
    <t xml:space="preserve">أحمد عادل مصطفى </t>
  </si>
  <si>
    <t>يوجد تواصل يومي واضح لترتيب الأولويات ومناقشة المهام بشكل مباشر وفعّال.
التواجد المستمر وسرعة الرد تساعد في تسريع اتخاذ القرارات ومعالجة أي عوائق في الوقت المناسب.</t>
  </si>
  <si>
    <t xml:space="preserve">داعم دائمًا للأفكار الجديدة ومبادرات التطوير، ويشجع على اختبار حلول مختلفة.
</t>
  </si>
  <si>
    <t>يتعامل كعضو من الفريق بالإضافة إلى دوره كمدير، وهذا يجعل بيئة عمل مريحة وفعالة.</t>
  </si>
  <si>
    <t xml:space="preserve">داعم ومشجع دائمًا لتجربة أفكار مختلفة والعمل على تطوير أساليب التنفيذ.
يمنح الثقة للفريق دائمًا.
</t>
  </si>
  <si>
    <t>ما أقدره في أسلوب قيادته للفريق، هو تعامله دائمًا كا عضو من الفريق بالإضافة لكون قائد الفريق.</t>
  </si>
  <si>
    <t>تخصيص وقت دوري محدد لمتابعة التطوير المهني للفريق بشكل مستمر.</t>
  </si>
  <si>
    <t>RGl0Jll</t>
  </si>
  <si>
    <t>2EBMaOj</t>
  </si>
  <si>
    <t>عبدالعزيز العنزي</t>
  </si>
  <si>
    <t xml:space="preserve">تواصله مع الجميع وتواجده طوال الوقت من اكثر الأمور التي تريح فريق العمل ولكن لابد من ان يطور من مسؤولياته بتحديد المهام اكثر وأكثر لانها ليست واضحه </t>
  </si>
  <si>
    <t xml:space="preserve">
طريقة عمل العمل ليست واضحة إلى الان </t>
  </si>
  <si>
    <t xml:space="preserve">قائد متميز مطور محفز يعمل ويتواجد دائما في كل وقت إذا كانت الأمور تسير بشكل إيجابي فلا يوجد افضل منه في القيادة أما إذا حدثت مشكلة بسيطة تتعقد اكثر بسبب عدم الوضوح </t>
  </si>
  <si>
    <t xml:space="preserve">مهتم بالتطوير وايضا يساعد على التطور لكن بنسبة بسيطة </t>
  </si>
  <si>
    <t xml:space="preserve">حماسه وتواجده الدائم مع الفريق </t>
  </si>
  <si>
    <t xml:space="preserve">إيضاح المهام وتوضيح العمل بشكل واضح وصريح </t>
  </si>
  <si>
    <t>67Grq2P</t>
  </si>
  <si>
    <t>jaoNy4E</t>
  </si>
  <si>
    <t>عمار الشنقيطي</t>
  </si>
  <si>
    <t xml:space="preserve">أنا لا أزال في مرحلة بناء الثقة مع مديري، وغالب أرائي قد تكون مبنية على تصورات منقوصة، وسأكتفي بذكر بعض الأمثلة لبعض التحديات: 
- كُنت أتلقى مهام من عدة أشخاص مختلفين بمناصب مُختلفة في ثمانية، بالإضافة إلى مهام مُديري، اعتقد في بداية الأمر أن تحديد الأولويات هو أمر يعود لي، ولكن الأمر لم يكن كذلك بعد تلقي رسالة عتاب مديري بالمباشر بالتقصير في مهام مُسندة سابقة. 
- تحديد الأولويات وأوقات العمل، أثر على عملية التواصل مع مديري المباشر، دائمًا كنت أشعر بالتقصير اتجاه كل ما أقوم به من مهام، وهذا أثر على عملية وجود الحافز التلقائي للعمل. 
المرئيات: 
أغلب موظفي القسم لا زالوا في بداية رحلتهم في ثمانية، اعتقد أن على القاسم أن يُكثف عملية التواصل بشكل أكبر، سواءً في عملية خلق أنماط مهام تساعد على انسجام الفريق أكثر، بدًلا من خلق نمط فردي لمهام كل فرد على حدى، هذا قد يتسبب بوجود نمط تنافسي سلبي. 
</t>
  </si>
  <si>
    <t xml:space="preserve">القاسم رائع جدًا، من حيث التواجد الدائم، ولديه طريقة رهيبة في التواصل مع الفريق، </t>
  </si>
  <si>
    <t xml:space="preserve">طبيعة العمل متوترة دائمًا، نظرًا لساعات العمل الطويلة، وفي هذه المرحلة اعتقد ان على القاسم تكثيف عملية التواصل الإيجابي مع الفريق، أكثر من عملية القلق على انجاز المهام. </t>
  </si>
  <si>
    <t>—</t>
  </si>
  <si>
    <t xml:space="preserve">القاسم إنسان رائع على الصعيد الشخصي، وقدوة من ناحية العطاء المستمر في العمل. </t>
  </si>
  <si>
    <t>أتمنى أن يُطور مهاراته في التواصل الجماعي والفردي، وأن لا تكون هذه الاجتماعات والنقاشات فقط في إطار الفضفضة، وأن تتحول إلى حلول فعالة</t>
  </si>
  <si>
    <t xml:space="preserve">تحدث القاسم عن أحد الموظفين، المقصرين، بشكل سلبي، في ثاني لقاء لي معه، وتكرر الموضوع مرة أخرى أمام الفريق كامل، وللأمانة هذا الموضوع ترك عندي انطباع سلبي اتجاه، وكذلك أثر على تعامل الفريق كامل مع الموظف المقصر. 
قد يكون مُحقًا في حديثه عنه، لكن لمثل هذه التصرفات تبعات أبعد قد تؤثر سلبًا على الجو العام للفريق. </t>
  </si>
  <si>
    <t>lbX4ZZB</t>
  </si>
  <si>
    <t>WORGgNL</t>
  </si>
  <si>
    <t>عبدالرحمن السلمي</t>
  </si>
  <si>
    <t>مرحبًا. أقدّر فرصة مشاركة ملاحظاتي، وأعرضها هنا بشكل موضوعي يعكس التجربة التي مررت بها خلال فترة عملي.
1. ضعف في الفهم الفني للمحتوى الرياضي
هناك فجوة واضحة في الفهم الفني لمجال كرة القدم وصناعة المحتوى الرياضي، مما انعكس على جودة التوجيه واتساق القرارات والمخرجات.
2. مشاكل متكررة في التواصل والتوجيه
واجهت صعوبة مستمرة في طريقة التواصل والتوجيه من مديري المباشر القاسم، مما أثّر على سير العمل واتخاذ القرارات داخل الفريق.
3. تحفّظ واضح في إبراز الجهود
تحفّظ في إبراز جهودي ومنحي المساحة الكافية للظهور والتميّز، مما قلّل من فرص إبراز العمل بالشكل الذي يعكس قيمته الحقيقية 
4. تطبيق غير مناسب لأسلوب «تيك توك» على جميع المنصات
غالبًا ما يتم التعامل مع المنصات بطريقة مشابهة لـ «تيك توك»، رغم اختلاف طبيعة كل منصة، مما يؤثر على جودة المخرجات.
5. تذبذب واضح في القرارات والتقييمات
على سبيل المثال لا الحصر: تم إبعادي عن العمل على السوشيال ميديا -سواء في التغطيات المباشرة أو غير المباشرة- بحجة أن الأداء غير جيّد. وتم نقلي بدلًا من ذلك إلى العمل على محتوى البرامج.
وفي الاجتماع نفسه، طُلب مني إعداد استراتيجية التواصل الرقمية الكاملة، وهي مهمة لا تُسند عادةً لشخص يُقال له إنه غير جيّد في هذا المجال. 
هذا التناقض يطرح تساؤلًا حول آلية توزيع المهام وتقييم الأداء:
        - إمّا أن التقييم الأول غير دقيق.
        - أو أن هناك عدم وضوح في توجيه الأدوار،
وهو ما أعطى انطباعًا بعدم استثمار قدراتي بالشكل الصحيح، أو الحد من مساحة بروز عملي.
6. عدم إبراز الأعمال المميزة
عدد من الأعمال التي قدّمتها لم تُعرض أو تُبرز رغم تميزها، ما يؤثر على التحفيز وتقييم الأداء.
6. أسلوب يميل إلى التصيّد بدل البناء
كان هناك ميل واضح للتركيز على الأخطاء والتضييق بدل تقديم دعم بنّاء يساعد على تطوير الأداء.
7. تقييد الصلاحيات دون مبرر مهني واضح
في بدايات عملي، أبلغني مديري المباشر القاسم بعدم فتح المهام، ومشاركتها معه في البنق، وهو ما أعاق استيعابي الكامل لدوري وأثّر على استقلاليتي.
وفي النهاية، أحب أوضّح إني مؤمن بالمشروع وباللي نقدر نوصله مع بعض. وأنا حاضر دائمًا للإضافة والعمل بروح الفريق، وبإذن الله نشوف هذا العمل يكبر ويتحقق له مستقبل جميل.</t>
  </si>
  <si>
    <t>EkVLKQN</t>
  </si>
  <si>
    <t>ممتازة في التوضيح، وتوزيع الأولويات، وترتيب المهام. 
 لكن أحيانًا تعطي مهام كثيرة أو تتوقع مننا نبادر في المهام، ونحن لسا مو فاهمين طريقة عمل ثمانية، أو طريقة تفكيرها.</t>
  </si>
  <si>
    <t>تحب تعمل كل شيء بنفسها. عندك فريق، اعتمدي عليه. 
 عندها فريق كبير، ومن أكثر من 3 أشهر، لكن الموظفين ما عندهم خبر. كلهم يرجعوا لها لأي طلب، وهي ما توجههم لنا، بل تنهي الموضوع من طرفها أو تطلب مننا نسويه، بدون ما توجه الموظف لنا. 
 تحتاج تتخذ قرارات أسرع حول توزيع مهام الفريق، وهيكلة الفريق، وتقييم أداء الفريق. 
 فيه موظفين من أول أسبوع يبان أنهم سيئين، وبعضهم العكس. فتحتاج تتخذ قرار أسرع بخصوص الفريق.  
 فريقها كبر، ولا زالت تغريد تسوي أكثر المهام الروتينية والبسيطة بنفسها. 
 لازم تفوض بطريقة أفضل وأسرع. 
 هي يجب أن تكون بمثابة "مدير" ولا تتدخل بالتفاصيل الصغيرة. 
 عرّفي الموظفين عن فريقك، خليهم يتوجهوا لهم بدل التواصل معك.</t>
  </si>
  <si>
    <t>لا أشعر أنها تخلق التعاون داخل الفريق. عندنا في الفريق 5+ موظفين، لكن كل "فريق" بعيد عن الآخر. 
 وكل طلب لازم نرجع لها وهي توجهنا. 
 فيه موظفين معها في الفريق، مضغوطين جدًا، وفيه بعضهم لا وجود لهم. نحتاج محاسبة أسرع على الموظفين المقصرين. 
 ما تشاورنا أو تاخذ رأينا. فقط تعطينا القرار. 
 أكيد تسمح لنا في مشاركة رأينا، لكن لا تعطي هذا الانطباع.</t>
  </si>
  <si>
    <t>تحب الأفكار الابداعية والمختلفة. 
 لا تشاركني مرئيات كثيرة تساعدني على التطور. أحيانًا تخفي تقييمها لي في قلبها، ولا تشاركني. 
 تقدر جهد الفريق وتدعمهم وتساعدهم على التطور. وتتفهم الفريق.</t>
  </si>
  <si>
    <t>متعاونة. متفاهمة. متواجدة (عادة).</t>
  </si>
  <si>
    <t>تحب تعمل كل شيء بنفسها. عندك فريق، اعتمدي عليه. 
 عندها فريق كبير، ومن أكثر من 3 أشهر، لكن الموظفين ما عندهم خبر. كلهم يرجعوا لها لأي طلب، وهي ما توجههم لنا، بل تنهي الموضوع من طرفها أو تطلب مننا نسويه، بدون ما توجه الموظف لنا. 
 تحتاج تتخذ قرارات أسرع حول توزيع مهام الفريق، وهيكلة الفريق، وتقييم أداء الفريق. 
 فيه موظفين من أول أسبوع يبان أنهم سيئين، وبعضهم العكس. فتحتاج تتخذ قرار أسرع بخصوص الفريق. 
 فريقها كبر، ولا زالت تغريد تسوي أكثر المهام الروتينية والبسيطة بنفسها. 
 لازم تفوض بطريقة أفضل وأسرع.</t>
  </si>
  <si>
    <t>67GVzpO</t>
  </si>
  <si>
    <t>2EAq5le</t>
  </si>
  <si>
    <t>مرات كثيرة أتشتت لأني أشتغل بأكثر من مشروع في الوقت نفسه وتغريد دائمًا تتدخل في الوقت المناسب تساعدني في ترتيب الأولويات وتوجيه تركيزي. أقدّر هالشيء فيها كثير
ملاحظتي الوحيدة نرجع نعمل focus meetings كل أسبوعين، كنا نعملها بشكل منتظم، لكن الفترة الأخيرة انشغلنا كلنا بسبب ضغط العمل.</t>
  </si>
  <si>
    <t>أقدّر دعمها المعنوي، لولا طريقة إدارتها ومساندتها بكل صراحة ما اتوقع إني كنت أقدر أتعامل نفسيًا مع ضغط العمل</t>
  </si>
  <si>
    <t>ما اتوقع الأسئلة مناسبة لوضع قسم إدارة المستقلين بحكم إنه مكون من فرد واحد فقط. وعندي ملاحظة حول هالنقطة وراح أذكرها في خانة «كلمة أخيرة..».</t>
  </si>
  <si>
    <t xml:space="preserve">ذكرته سابقًا في خانة «طريقة عمل القائد». أجد الدعم الكافي من تغريد كقائدة لكن أشعر بعدم القدرة في التطوير بسبب إنشغالي بالمهام وضغط العمل
</t>
  </si>
  <si>
    <t>شفافيتها في التواصل ودعمها + تفهمها عند وجود مشكلة/صعوبة والعمل على إيجاد حلول.</t>
  </si>
  <si>
    <t>تطوير القسم من ناحية العدد. إدارة المستقلين يحتاج فعليًا إلى فريق مكون من شخصين على الأقل، خصوصًا  حجم العمل تضاعف خلال السنة الأخيرة (3-4 مرات مقارنة بوقت إنضمامي). 
ويكون موظف/مستقل يعمل بشكل كامل في إدارة المستقلين فقط, وما يكون دعم جزئي من موظفين في أقسام أخرى.
وللتوضيح أنا لا أشتكي هنا 😅 بس صارت عندي قناعة آخر أسبوعين بخصوص هالموضوع بعد ما فكرت فيه كثير، وشاركتها مع الشيخة تغريد قبل كم يوم وراح نناقشها أكثر في اجتماع الـ 1:1 القادم بإذن الله</t>
  </si>
  <si>
    <t>ما عندي ملاحظات إضافية</t>
  </si>
  <si>
    <t>obQQqOX</t>
  </si>
  <si>
    <t>71aQexo</t>
  </si>
  <si>
    <t>ريم الرحيلي</t>
  </si>
  <si>
    <t xml:space="preserve">الجهود واضحة صراحةً وأكيد في مجال للتطوير أكثر خصوصا من ناحية تحديد الأولويات ومؤشرات قياس واضحة
</t>
  </si>
  <si>
    <t xml:space="preserve">الجهود جبارة والكمال أولًا وأخيرًا لله وأكيد في مساحة للتطوير وتشجيع المبادرات ومناقشة أهميتها بصراحة ووضوح </t>
  </si>
  <si>
    <t>يوجد دعم على الاستقلالية وتأدية المهام بشكل سلس ومرن وهذا رائع وبنفس الوقت أعتقد أهم ملاحظة ممكن تتمحور حول الوضوح والهدف ورؤية الإدارة سواء كانت تطوير أو تشغيل أو تأدية مهام</t>
  </si>
  <si>
    <t xml:space="preserve">الفترة الأخيرة أعتقد أفضل بكثير </t>
  </si>
  <si>
    <t>أقدر حرصها على العمل بشكل عام وعلى متابعة الفريق والمهام</t>
  </si>
  <si>
    <t>تحديد رؤية وأهداف واضحة ومؤشرات أداء واضحة تساعد على التطوير والدعم وقياس الأداء بهدف إن الموظف يعرف ايش الاحتياجات ويكون في مساحة له إنه يتداخل مع فريق المنشأة  ويبادر في التطوير وسد الإحتياج</t>
  </si>
  <si>
    <t>67GrGEk</t>
  </si>
  <si>
    <t>Ekl8l1q</t>
  </si>
  <si>
    <t>زينب</t>
  </si>
  <si>
    <t>جميل تركستاني</t>
  </si>
  <si>
    <t>تواصله مع الفريق ممتاز، ودائمًا على اطلاع بكل شي يصير و متعاون ومتفهم، ويعرف يوجّهنا بالطريقة الصح. حازم بس بلين، وفوق هذا عنده قدرة حلوة على ضبط الأولويات ، يعرف وش المهم فعلًا ويخلينا نركز عليه بدون تشتيت.</t>
  </si>
  <si>
    <t>بشكل عام طريقة العمل واضحة ومباشرة، وما فيها تعقيد زائد. كل واحد يعرف وش المطلوب منه، وهذا يساعد إن الشغل يمشي بسلاسة.</t>
  </si>
  <si>
    <t xml:space="preserve">أتمنى يستمر في قيادة الفريق بنفس الحزم اللين اللي يوازن الأمور. يعجبني كيف يوجه الفريق بدون ما يحسس أحد بضغط، وكيف يسمع للجميع ويتفاعل مع طلباتهم. والأهم إنه يعطي الفريق ثقة كاملة، وهذا شي نحتاجه ونقدّره كثير. </t>
  </si>
  <si>
    <t xml:space="preserve">الصراحة التطوير والدعم من القائد باينين بشكل جميل. يعطي ملاحظاته ويشجعنا نتعلم ونجرب وإذا احتجنا شي نلقى دعم منه وتوجيه . </t>
  </si>
  <si>
    <t xml:space="preserve">ذكرتها في إجابة سابقة وبكررها مرة أخرى. أقدّر في أسلوب قيادته إنه يعرف يوازن بين الحزم والمرونة. واضح في توجيهاته وتوقعاته، ويخلينا نشتغل براحة بدون ما نحس بضغط ويسمع للفريق ويعطيهم مساحتهم للتعبير  وماسك زمام الأمور. </t>
  </si>
  <si>
    <t xml:space="preserve">يمكن اللي أتمنى يتطور في الفترة الجاية هو إن يكون فيه مشاركة أكبر لنا في القرارات البعيدة المدى. عندي شوي تخوف من مستقبل المشاريع اللي نشتغل عليها، ووجوده معانا في الصورة الكبيرة يطمّن ويخلينا نشتغل بثقة اعلى وطمأنينة اكبر </t>
  </si>
  <si>
    <t>لا يوجد ..</t>
  </si>
  <si>
    <t>WOXQbxv</t>
  </si>
  <si>
    <t>71ZoPKr</t>
  </si>
  <si>
    <t>منذ مجيئي إلى ثمانية جميل كان دائمًا واضح في التواصل، وأيضًا في ضبط وتوزيع الأدوار داخل الفريق، قد تحدث أحيانًا لخبطة بسبب كثر ة الضغط والبرامج، ولكن دائمًا يجد حلول وطرق لضبط العمل بأفضل شكل ممكن</t>
  </si>
  <si>
    <t>كما ذكرت طُرق جميل ممتازة، وأعيد التنويه بأن أحيانًا قد تحدث أمور خارجة عن الإرادة بسبب لخبطة في مرحلة ما قبل الإنتاج، مما قد يؤثر على عملنا وهو ما بعد الإنتاج، ولكن كجميل، فدائمًا يكون متفهّم ويحاول أن يجد حلول مناسبة للجميع قدر الإمكان</t>
  </si>
  <si>
    <t xml:space="preserve">لما وصلني خبر أنه جميل راح يكون قائد الفريق، شعرت بإني واثق بأنه راح يكون قائد ممتاز وكانت ثقتي في محلّها، وماهو شيء جديد على جميل، سابقًا ولاحقًا أثبت بأنه قائد ممتاز ..
</t>
  </si>
  <si>
    <t>دائمًا ألقى التطوير من جميل، وحتى في السابق كان حريص كل فترة على عمل دورات تطويرية وتحسينية للفريق، وأنه الفريق يتعلم مهارات جديدة مثل تسجيل وهندسة الصوت والجرافيك وغيرهم</t>
  </si>
  <si>
    <t>أقدّر دائمًا التواصل الجيد مع جميل وأيضًا حرصه على تقدير الجهود، مما أعتبره شيء مهم جدًا، وأيضًا أقدّر له تفهّمه وإدراكه للتحديات اللي تواجه الفريق</t>
  </si>
  <si>
    <t>أتوقع لو يوجد شيء يحتاج تطوير هو التواصل الجيد مع فريق ما قبل الإنتاج وأتوقع أنه جانب يحتاج تطوير من الطرفين، بحيث تسهل الأمور على فريق ما بعد الإنتاج ويكون كل شيء واضح</t>
  </si>
  <si>
    <t>5BQge0N</t>
  </si>
  <si>
    <t>yPNGXbd</t>
  </si>
  <si>
    <t>فهد بن جمعان</t>
  </si>
  <si>
    <t xml:space="preserve">فعال جداً في التواصل لكن مشكلته يتحمل مسؤوليات كثير في نفس الوقت لدرجة تسبب له تشتت </t>
  </si>
  <si>
    <t xml:space="preserve">بساطته في التعامل ، و يحسن التشتت </t>
  </si>
  <si>
    <t>سرعة اتخاذ القرار و التعامل مع رؤية الفريق</t>
  </si>
  <si>
    <t>التطوير يجدد المعرفة ويخلق بيئة سليمة للعمل</t>
  </si>
  <si>
    <t xml:space="preserve">سرعة التجاوب والحلول </t>
  </si>
  <si>
    <t>يخفف الضغط عن نفسه عشان اقدر افهم وش يقول</t>
  </si>
  <si>
    <t>توضيح التوجهات للفرق الانتاجية</t>
  </si>
  <si>
    <t>ZjX1vZo</t>
  </si>
  <si>
    <t>BzpM1p5</t>
  </si>
  <si>
    <t>حسام الخريجي</t>
  </si>
  <si>
    <t>رامي القاضي</t>
  </si>
  <si>
    <t xml:space="preserve">رامي القاضي يعطي المهام لقادة الاستديو التحليلي وتواصلنا يكون مباشرة مع عبدالعزيز القعيط او سعد ابالخيل </t>
  </si>
  <si>
    <t>جميلة وافضل مافيها ان جميع الاراء مقبولة وتُناقش</t>
  </si>
  <si>
    <t xml:space="preserve">المواصلة على ذات النهج خلال الفترة الماضية </t>
  </si>
  <si>
    <t>المواصلة على ذات النهج</t>
  </si>
  <si>
    <t>الحرية في اداء مهم العمل وفق مااراه مناسب وهذا يعود للقائد الذي يمنح الثقة لموظفيه</t>
  </si>
  <si>
    <t>محاولة خلق تجانس اكثر وانسجام اكثر من ناحية الصداقة والزمالة بين عناصر الفريق</t>
  </si>
  <si>
    <t>كله تمام وان شاء الله مع الوقت يكون تمام وتمام اكثر واكثر</t>
  </si>
  <si>
    <t>Npy6NqQ</t>
  </si>
  <si>
    <t>lbqPWVX</t>
  </si>
  <si>
    <t>مشعل</t>
  </si>
  <si>
    <t xml:space="preserve">أهمها الحسم .. صانع قرار </t>
  </si>
  <si>
    <t xml:space="preserve">العمل في أغلبه يسير كما اتفق عليه منذ البداية </t>
  </si>
  <si>
    <t xml:space="preserve">سبق أن تواجدنا في مكاننا فبالتالي يعرف احتياجاتنا جيداً </t>
  </si>
  <si>
    <t xml:space="preserve">لديه العلم والمعرفة أكثر مما أملك ، لكنه لا يشعرك بأي استعلاء </t>
  </si>
  <si>
    <t xml:space="preserve">يعرف ما يحتاجه فريقه و يسعى لتوفيره </t>
  </si>
  <si>
    <t xml:space="preserve">لا شيء أكثر من الاستمرار على وضعه الطبيعي </t>
  </si>
  <si>
    <t>8qPR8ZQ</t>
  </si>
  <si>
    <t>1A4qWj1</t>
  </si>
  <si>
    <t>مدثر محمد عبدالرؤوف</t>
  </si>
  <si>
    <t>هو شخص واضح و منظم وفي بعض الاحيان تسقط منه توصيل المعلومات ولكن هذا شئ مقدر بسبب كثر المهام و الضغوط</t>
  </si>
  <si>
    <t xml:space="preserve">متواصل و فعال بشكل ايجابي و يعطي المسؤليات للفريق بكل ثقة </t>
  </si>
  <si>
    <t xml:space="preserve">يوزع المهام و يدعم فريقه </t>
  </si>
  <si>
    <t xml:space="preserve">هو يعطي كل فرد من فريقه الشعور بالثقة و اخذ زمام المبادرة و لكن مازال الهيكل للقسم يحتاج للتكملة حتى تتضح الرؤية و يستطيع القائد الاشراف العام و التوجيه بشكل افضل و فعال بدل من الانشغال و التدخل في تفاصيل الاعمال </t>
  </si>
  <si>
    <t xml:space="preserve">يساهم بشكل كبير في نقل المعرفة و الخبرات لفريقه </t>
  </si>
  <si>
    <t xml:space="preserve">اتمنى ان يبني فريق متكامل يغطي جميع الاحتياجات و الافرع المتشعبة للعمل </t>
  </si>
  <si>
    <t xml:space="preserve">الاقسام تحتاج لوضوح الرؤية و تحديد المهام بشكل اوضح </t>
  </si>
  <si>
    <t>2EyyoAp</t>
  </si>
  <si>
    <t>WOE6VXN</t>
  </si>
  <si>
    <t>مصطفى حسن</t>
  </si>
  <si>
    <t>ضبطها للأولويات وتواصلها معنا أول بأول وتوجيهها الفعال ممتاز  للأمانة</t>
  </si>
  <si>
    <t xml:space="preserve"> أرى أننا في وجهة التحسين المستمر  والادارة الفعالة للعمل والمسؤولية العالية</t>
  </si>
  <si>
    <t xml:space="preserve">أقدّر في رزان اشراك الفريق في القرارات واعطاء كل فرد أحقيته في اتخاذ القرار  بحسب المهمة المنوط له بها والحوار بالاقناع والتوصل لحل مشترك ، الاجتماعات الدورية لمشاركة الافكار واتخاذ القرار الجماعي وعدم التحيز لقرارها </t>
  </si>
  <si>
    <t>يعجبني في رزان مشاركة المرئيات الدورية معانا وبطريقة تمثلًا حاول تعرف ليش أنت متأخر في هذه المهمة ومحاولة معرفة الاسباب، احاول قدر الامكان ما اجامل لكن رزان دعمها ملموس ومرئياتها بناءة وفي أي وقت احتجتها كانت موجودة.</t>
  </si>
  <si>
    <t>أقدر في رزان المرئيات الدورية التي تطور من مستوى الفريق ، مشاركة الافكار والتغذيات البصرية ، النقاش الجماعي لاتخاذ قرار ، عدم التحيز لقرارها ، اذا كنا مختلفين في القرار تعطيني المساحة اثبت صحة قراري بطريقة سلسلة ولطيفة واقدر هذا الشيء جدًا ، تقديرها لفترات الضغط وفترات غياب الطاقة أحيانًا ،أشياء أخرى لكن هذا الي يجي ببالي هذا الوقت ،وشكرًا لها للأمانة واتطورت معاها بشكل كبير</t>
  </si>
  <si>
    <t>من كثر الايجابيات ضاعت السلبيات هههه
أحيااانًا يمكن ايصالها للمعلومة يكون فيه شوي قصور ولكن اعتقد بسبب الضغط بالفترة الحالية وأقدر هذا الشيء</t>
  </si>
  <si>
    <t>1AyzV0p</t>
  </si>
  <si>
    <t>rja4zQl</t>
  </si>
  <si>
    <t>أحلام محمد الفاشق</t>
  </si>
  <si>
    <t>رزان جيدة جدًا في تواصلها وضبطها للأولويات، تخليني اعرف وجهتي وفين أبذل طاقتي بالضبط.</t>
  </si>
  <si>
    <t>أشوف في رزان قائد مُناضل يعرف كيف يدير الفريق. اللي يميزها قدرتها على تحديد الأدوار بوضوح، وأتمتتها للمهام بشكل رهييب.</t>
  </si>
  <si>
    <t>دائمًا تحاول تطلع أفضل ما فينا. 
تهتم إن التواصل يكون أقوى بينّا ونشارك بعض بالآراء. 
تعرف بالضبط متى تكون مرنة ومتى تكون حازمة &gt;ـ&lt;.</t>
  </si>
  <si>
    <t>أحب إنها تعطي الفريق مرئيات بدون مجاملة، وبأسلوب لبق. ودائمًا قبل أي ملاحظة تثني على الجهد المبذول، وهذا أسلوب يخليّنا ناخذ المرئيات بكل رحابة .
ومن طقوسها الجميلة كمان، إنها تشاركنا أسئلة دورية في اجتماعنا الأسبوعي، عشان نتشارك المعرفة ونفتح باب نقاش قصير و ممتع ويضيف لنا كل مرة.</t>
  </si>
  <si>
    <t>أقدّر في أسلوب قيادتها إنها تعرف كيف تدير الفريق بثقة، وتخلق بيئة مريحة تمنح كل شخص مساحة يتحرك فيها. تعطينا وضوح في الاتجاه، وتشجع المشاركة بدون ما تحسس أحد إنه رأيه أقل. إدارتها للمهام في فترات الضغط رهيبه، تعرف كيف ترتّب الأولويات وتخفف التشتت، وهذا ينعكس على أداء الفريق بشكل كبير.</t>
  </si>
  <si>
    <t>أحيانًا أحس إن فيه مهام تطول فيها المرئيات بشكل كبير، وهذا مو قصور لا فينا ولا فيها، بس طبيعي لأننا كمصممين نمرّ ببلوك بعد ما نستنزف كل الأفكار. فأتمنى في المرحلة الجاية يكون فيه أساليب تساعد الطرفين. مثلاً: لما تلاحظ إن المرئيات بدأت تطول، ممكن تشرك الفريق كامل في نقاش سريع في القروب. كذا نساعد بعض، ونفك البلوك عن المصمّم، ونساهم في تسريع المهمة بشكل جماعي.</t>
  </si>
  <si>
    <t>Bzlo1VR</t>
  </si>
  <si>
    <t>ja6K0yY</t>
  </si>
  <si>
    <t>محمد حسن السيد</t>
  </si>
  <si>
    <t>أغلب المهام تكون واضحة من البداية، لكن فقط أحتاج وضوح أكبر أحيانًا عند تغيّر الأولويات.</t>
  </si>
  <si>
    <t>متجاوبة جداً وسريعة في الرد وقت الحاجة، وهذا يساعدني أتقدم في الشغل بدون تعطيل.
 لكن في جانب الاستقلالية، أحياناً مش بيكون في مساحة الإبداع كفاية، وهذا يقلل من القدرة على التفكير بدل التنفيذ فقط. في التصميم تحديداً، وجود اتجاه عام مع ترك مساحة لاستكشاف الحلول شيء أساسي، لأنه يعزز الإبداع ويقود لنتائج أقوى.</t>
  </si>
  <si>
    <t>في مساحة ممتازة للتعاون وتبادل المعرفة داخل الفريق، وهذا يحسّن التواصل بين الجميع.
لكن في جانب اتخاذ القرارات، أحياناً يصلنا القرار النهائي بدون مشاركة حقيقية من البداية. نقدر نناقش ما بعد القرار، هيكون أفضل بكثير لو نشارك في صناعة القرار من أول مرحلة، خصوصاً في القرارات اللي تخص التصميم.</t>
  </si>
  <si>
    <t>تهتم بتطوير الفريق والمساحة اللي ممكن يكون في تحسين هي توجيه اوضح احيانا في مسار التطور اللي يناسب شغلي.</t>
  </si>
  <si>
    <t>أقدّر قدرته على خلق بيئة تعاون ودعم بين الفريق، وتوفّره السريع وردّه الواضح لما نحتاجه. يهتم بالتواصل.</t>
  </si>
  <si>
    <t>أتمنى مشاركة الفريق في القرارات من البداية، ووجود مساحة أكبر للاستقلالية وتقليل التدخل في التفاصيل لرفع سرعة التنفيذ والإبداع.</t>
  </si>
  <si>
    <t>obYlYYx</t>
  </si>
  <si>
    <t>GxpWpdj</t>
  </si>
  <si>
    <t xml:space="preserve">يارا المسفر </t>
  </si>
  <si>
    <t xml:space="preserve">نجلس بشكل أسبوعي تقريبًا نشارك التحديثات لكل ما يخص مسؤولياتي في معيشة. 
في بالها الأولويات دائمًا، ومعها تساعدني دايم نرجع البوصلة لاهدافنا في دِليلة الرياض وثمانية أشياء. </t>
  </si>
  <si>
    <t xml:space="preserve">الحقيقة رهام جدًا واضحة. ومريح العمل معها، ويساعدني دايم أتطور. أثق برأيها.
ما تجامل لذلك أثق فيها وفي نقدها، وتثني وتحفز دائمًا في الوقت المناسب، وتعطيني الثقة أنطلق، لكن تراقب دائمًا وهذا شيء جدًا مريح ويعطيني مجال وثقة. </t>
  </si>
  <si>
    <t xml:space="preserve">ما تحسس الشخص أنها «قائد والرأي رأيي النهائي» بالعكس — كلنا كفريق معيشة نتشارك الأفكار وتسمع تسمع تسمع كويس. وتاخذ وتسمع مرئياتي والفريق وتاخذها بعين الاعتبار. بكل اختصار ( ما تسلّك). </t>
  </si>
  <si>
    <t>تثني دائمًا في حال كان الموضوع يستحق، وتصارحني بأخطائي بشكل مباشر. من زمان.. أنا بدأت كمستقل، ومن ذيك الفترة قبل 6 أشهر وهي تحرص تشوف تطوري، وتعلمني وين مواطن القوة والضعف.</t>
  </si>
  <si>
    <t xml:space="preserve">المسؤولية والثقة بالفريق في ذات الوقت. 
تعطي الفريق مساحة يبدع، لكن تتابع دائمًا، وتشاركنا رأيها وتحفز وتدعم. </t>
  </si>
  <si>
    <t xml:space="preserve">مو مجاملة، لكن فعليًا مافيه شيء في بالي حاليًا.. 
السؤال مهم وأجابته كذلك بتفرق، لكن فعليًا لا أرى شيء يستحق التطوير إلّا ما تفعل من الاساس إن تستمر عليه. 
ورهام قائد رهيب، من الآخر.. </t>
  </si>
  <si>
    <t>44yz6eA</t>
  </si>
  <si>
    <t xml:space="preserve">هذا من أكثر ما يميزك </t>
  </si>
  <si>
    <t>تبني فكرة الاجتماعات الدورية جدا موفقة. وصلته المباشرة مع الإنتاج وبناء خط إنتاجي واضح يعتبر شيء مميز ومهم للفريق</t>
  </si>
  <si>
    <t>مميزة لاتعليق</t>
  </si>
  <si>
    <t>مميز لاتعليق</t>
  </si>
  <si>
    <t>دبلوماسي، واضح وصاحب رغبة حقيقية لإنتاج شيء يهواه</t>
  </si>
  <si>
    <t>RGl0jVJ</t>
  </si>
  <si>
    <t>VLjk00l</t>
  </si>
  <si>
    <t xml:space="preserve">كثرة المشاريع وقلة عدد العاملين عليها تسبب لخبطة «نادرًا». </t>
  </si>
  <si>
    <t xml:space="preserve">متفهمة وتمكّن الشخص وتقدر تعرف قدراته وإمكانياته، مع مراعاة الضغط. </t>
  </si>
  <si>
    <t xml:space="preserve">المراعاة والتمكين. </t>
  </si>
  <si>
    <t xml:space="preserve">الوضوح في الأولويات وضبطها بمراعاة عدد العاملين. </t>
  </si>
  <si>
    <t>BzlxlbR</t>
  </si>
  <si>
    <t>67jMxak</t>
  </si>
  <si>
    <t xml:space="preserve">أقدّر فيها وضوحها في تحديد الوجهة وتحديد الأولويات، ومواجهة الإدارة العليا ومناقشتهم وإيصال صوت معيشة وأهميتها لهم. </t>
  </si>
  <si>
    <t>ما مرّ يوم واحتاجها فرد بالفريق، إلا وتكون موجودة للدعم وإبداء المشورة. فيه ملاحظة صغيرة ومتأكد أنها من حرص، وهي الدخول بكل صغيرة وكبيرة أحيانًا، وبرأيي هذا يهدر وقتها وجهدها في أشياء يمكن توكليها للفريق والاعتماد عليهم.</t>
  </si>
  <si>
    <t>في الماضي كان الوضع عائم شوي، ولكن مؤخرًا ومع الاجتماعات الأسبوعية الدورية تحسّن الوضع كثيرًا من ناحية التواصل وإبداء الملاحظات وحتى أخذ التحديثات.</t>
  </si>
  <si>
    <t>بسبب زحمة المشاريع والركض المستمر بينها، لا أجد مساحة للإبداع أو حتى التفكير بطريقة مختلفة. ربما يتحسّن الوضع قليلًا مع بداية العام وزيادة عدد الفريق.</t>
  </si>
  <si>
    <t>وجودها المستمرّ وضوحها المباشر.</t>
  </si>
  <si>
    <t>جميل أن القائد يعرف كل صغيرة وكبيرة، ولكن أحيانًا يطغى عليه وضع بصمته ورؤيته وما يميل له شخصيًا في كل شيء. بينما المحتوى رؤيته لجمهور أوسع وشريحة أكبر. هذا الشيء أعتقد أنه يجب أن يُفهم ويُخفف منه، لأن ما يعجبني وما لا يعجبني لا ينطبق بالضرورة على بقية الجمهور، بل الحكم بالتجربة الجريئة وقياسها.</t>
  </si>
  <si>
    <t>مع البرامج الجديدة المستقبلية يجب زيادة عدد الفريق، وليس بهدف الراحة بل لإبداع أكبر ومساحة تطوير مهملة الآن بسبب ضغط المشاريع وكثرتها وضيق الوقت.</t>
  </si>
  <si>
    <t>pbMENLV</t>
  </si>
  <si>
    <t>أنوار</t>
  </si>
  <si>
    <t>معيشة بالنسبة لي ما زالت تُبنى، أتفهم إذا ما كان فيه وضوح في ضبط الأولويات. لكن أحيانًا أشعر بالضغط النفسي الشديد لمجرد التأخر في معرفة الأولويات أو التأخير في ضبط المهام التي تحتاج وقت وجهد وتفكير.
أما بالنسبة للتواصل فهي ممتاز ة جدًا وتعطي من وقتها الكثير لتطوير العمل وللاستماع.</t>
  </si>
  <si>
    <t>أقدّر كثيرًا حرص رهام على التفهم، وأتمنى تستمر في هذا الجانب. أحب العمل معها لأنها متعاونة جدًا وهذا يخفف من الضغط علي بالحقيقة.
أتمنى بالمستقبل نكون أكثر وضوح بالمسؤوليات لكل شخص، وندع كل شخص يبدع في مجاله أكثر.</t>
  </si>
  <si>
    <t>رائعة رهام.
 لكن أشعر أنها ما زالت تفتقد للثقة في بعض أعضاء الفريق، أتمنى يكون عندي مساحتي أكثر في اتخاد القرارات وتسريع العمل.</t>
  </si>
  <si>
    <t xml:space="preserve">بشكل عام رهام داعمة.
</t>
  </si>
  <si>
    <t>التفهم، والاستماع، والنقاش الدائم.</t>
  </si>
  <si>
    <t>تعطينا ثقة أكبر عشان ندعس، وهي تنبسط ومعيشة تنبسط:)</t>
  </si>
  <si>
    <t>الحمدلله أن فيه خانة مخصصة للاستخدام الداخلي:)
هذا اول تقييم لي مع رهام، وانا ممنونة بالعمل معها، وأشعر للمرة الأولى من بين كل القادة اللي عملت معهم أني راضية.
لكن ينقصني وضوح بما اني من فريق التسويق وخلفيتي تسويق،وخبرتي تفوق 6 سنوات، أحيانًا يجيني شعور عدم الفهم لأن قائدي من خلفية مختلفة«الإنتاج».
ولاحظت هذا في تقييم رهام لي : «أن أنوار ترى نفسها صانعة وليست كاتبة»، وبالفعل أنا لست كاتبة، ووضحت هذا الشي للجميع من بداياتي، أنا افزع معهم كوني جيدة نوعًا ما بالكتابة، ولكن ليس دائمًا أكون جيدة.. الفكرة انني أصنع وأطور وأكتب نعم! لكن اكتب السكربتات، النصوص الإعلانية المرئية،« بالأصل لاتعتمد على كتابة محتوى»، تعتمد على الرؤية البصرية والإخراجية وهذا اللي أنا شاطرة فيه. وانستقرام شاهد على ذلك، معظم الأفكار اللي حصلت على تفاعل هائل كانت من صناعتي للفكرة، والفكرة هنا ماكانت بالمقام الأول كتابة محتوى، كثر ما أنها فكرة إبداعية.
فكل اللي عملته حتى اليوم هو مهام لأكثر من شخص في الظروف العادية وفي أقسام ثمانية الأخرى.  إدارة للحساب، صناعة للأفكار وكتابة، وكتابة إعلانات الإطلاقات للمنتجات. والمتابعات مع فريق الإنتاج وخطط التسويق لكل منتج في معيشة:)...وإنتاجات معيشة في تزايد وأريد أن لا نفقد السيطرة على هذا كله، حتى لا تتأثر المخرجات ولانفقد التفاعل اللي بنيناه مؤخرًا.
أحتاج لصلاحيات أكبر وفريق أكبر يدعمني بالتسويق لنحقق نتائج أكبر، أنا شخص واحد أعمل فيه معيشة منذ سنة كاملة لحالي، بنيت حساب انستقرام من «الصفر».
واشعر في احيان كثيرة أن عملي لايُرى بالشكل المطلوب لكوني منعزلة عن فريق التسويق. 
رجائي أن يكبر الفريق ويصبح لفريق تسويق معيشة كيان مستقل ليثبت جدارته اللي أثبتها بالفعل في فترة قصيرة رغم قلة الأيدي العاملة.</t>
  </si>
  <si>
    <t>b5DoRN1</t>
  </si>
  <si>
    <t>rjBQKb5</t>
  </si>
  <si>
    <t xml:space="preserve">سحاب السبيعي </t>
  </si>
  <si>
    <t>زكية حكمي</t>
  </si>
  <si>
    <t xml:space="preserve">- أسلوب زكية بشكل عام صارم، لكن بعد عملنا معًا لفترة صرت أشوف منها تقدير  ولين في التعامل معي على وجه الخصوص. تستشيرني في كثير من الأمور، وتعطيني الثقة الكاملة في التعامل مع مهامي المعتادة والمهام الخاصة بالقسم، تقول: «أتخيل المهمة كذا، والهدف منها كذا، أثق أنك بتسوينها أفضل مما تصورت.. أنطلقي وأرجعي لي إذا عندك أسئلة». ولما تعطيني مهمة إضافية، تقول: «ركزي على مهامك الأساسية، ممكن يتأجل تسليم هذه المهمة إلى بعد أسبوعين» لكن لأني ما أحب تأجيل المهام، أضغط نفسي وأسلمها جميعًا خلال نفس الأسبوع، وتُظهر التقدير لكل ما أعمله حتى وإن كان بسيطًا. 
- يغلب على أسلوبها طابع الرسمية وذكر أدق التفاصيل، مما يختلف عن أسلوب ثمانيـة البسيط والغير مُتكلف، في بعض الأحيان تعدل على محتوى البطاقات الودّي والبسيط وتضيف تفاصيل كان من الممكن الاستغناء عنها بدون التأثير على المحتوى العام. 
- لا تُحفز إستلام مهام خارج إطار الفريق، مع أنني أرى أهمية إستلام مهام داخل القسم: مع فريقيّ الثقافة وشؤون الموظفين أمر ضروري! 
نظرًا أولًا لصغر حجم الفريق واحتياجه للمساعدة في ظل كمية التوظيف الهائلة + طرقنا مع بقية الفرق في القسم لا بُد أن تتقاطع في نقطة ما، جميل أن نعرف أكثر عن أدوار بعض ونخفف الحمل عن بعض عند مقدرتنا، على سبيل المثال: فادتني جدًا معرفتي لعقود المستقلين من يونس، صرت أجهز له العقود بشكل مبدئي ويكمل المهمة + احتكاكنا مع بقية فِرق القسم يعزز معرفتنا وترابطنا ببعض + عملي على المهام الإضافية يجدد شغفي ويُوسع مداركي. </t>
  </si>
  <si>
    <t xml:space="preserve">- في الفترة الأولى لزكية كانت ساعات عملها صباحية، تطلب مني المهام وتسألني عن التحديثات وتتابع على المهمة بعد إعطاءها بوقتٍ ليس بطويل، مما يشعرني بالضغط من بداية اليوم، وكنت أعطيها العذر نظرًا لبدايتها الى أن تلاحظ طبيعة عمل ثمانية وتوقيت العمل فيها. بعد فترة صارت تتابع معي التحديثات في نهاية اليوم فقط، ولما تعطيني المهام، تعطيني الوقت الكافي لتسليمها بدون المتابعة عليها. 
- دائمًا تردد: «إذا تحسين بضغط، تكلمي» و «إذا ما تقدرين على هذه المهمة ألحين عادي عطيني خبر نؤجلها!»، كما أنها اقترحت أن أخذ إجازة بعد أسبوعين ضغط عمل بدون أن أطلبها، فقط لأنها شعرت أنني أحتاج لراحة، مما جعلني أشعر فعلًا بالتقدير وأود أن أعطي أضعاف ما عطيت سابقًا! 
- بالنسبة للتحفيز وثقة القائد بالفريق: أعتقد أن من المبكر الحكم عليها، بما أن الفريق جديد، وزكية جديدة عليه، لا زالت في مرحلة بناءه وتطويره، لكنها تذكر دائمًا أن من أهدافها استقلال كل فرد في الفريق. </t>
  </si>
  <si>
    <t xml:space="preserve">- زكية تشجع التعاون بين الفريق وتحاول توحيد طريقة عملنا واستدامة المعلومات والنقاش عليها لكن في البطاقات، وتأخذ مع كلٍ منّا جلسة على حده. من وجهة نظري نحتاج أن تكون عندنا جلسات دورية أسبوعية للفريق معًا.
- أحد الفترات أعطتني مهام إضافية تتعلق بالقسم ويوم عن يوم كانت تزيد، أقدر أديرها خصوصًا أن مالها وقت تسليم محدد، لكن كنت أفكر لو تعطي هذه المبادرات للفريق بالتساوي بنقدر ننجزها بشكل أسرع وبيكون لكل منّا مبادرة خاصة عمل عليها، ولاحظت أنها تطلب مني أن أكون في جلسة التفاوض مع لنكدإن للفائدة ولم تطلبها من باقي الفريق، أقترحت على زكية أن تشمل الدعوة باقي الفريق، ووّضحت لي أن ما ودها تضغطهم وتشعر أنهم يستاءوون من المهام الإضافية. 
- بالنسبة للمشاورة وإتخاذ القرارات، بالفعل تعطيني خبر  عنها وتأخذ رأيي غالبًا، لكن أشعر أنها لو كانت في جلسة دورية مع باقي الفريق ونسمع جميعًا ونعطي رأينا بيكون أفضل. </t>
  </si>
  <si>
    <t xml:space="preserve">داعمة جدًا. </t>
  </si>
  <si>
    <t xml:space="preserve">أكثر ما أعجبني في زكية هو محاولتها لتطوير طريقة عملنا الحالية ووضعها لآليات وأدلة لكل النقاط اللي نعمل عليها في القسم، حتى نقترح أفضل نسخة من كل طريقة عمل ونعتمدها جميعًا. أحب أن يعمل كل الفريق بنفس الطريقة كأنهم شخص واحد. </t>
  </si>
  <si>
    <t xml:space="preserve">- تطبيق أسلوب ثمانيـة البسيط، والإستغناء عن بعض التفاصيل. 
- أن تصبح أكثر مرونة. 
- في الجلسات غالبًا تتكلم أكثر مما تسمع، مع أنه في بعض الحالات المفترض أن يكون العكس، على سبيل المثال حضرت معها جلستين مفاوضة: مع مرشح ومع مبيعات لنكدإن، كانت تتكلم أكثر من الطرف الآخر وتُسهب في الحديث. «المثالين اللي ذكرتها للجلسات لم يحضرها غيري، لذلك أتمنى عدم ذكرها في مشاركة التقييم مع القائد»
- تطبيق الجلسات الدورية مع الفريق. </t>
  </si>
  <si>
    <t>rjpRGWM</t>
  </si>
  <si>
    <t>2EBZzoA</t>
  </si>
  <si>
    <t>جوهره</t>
  </si>
  <si>
    <t>طريقة تواصلها واضحة، حادة نوعًا ما، منظمة جدًا، عندها وجهة نظر في ترتيب الأولويات وهذا شيء مهم في الفتره الحالية، فيها تكة «تكبّر»، أتمنى تنتبه لهذه الصفة لأنها مذمومة، ويتغير فيها خصوصًا إنها تواجه مرشحين. مثلًا أكثر من مره طلبت مني أشكر المرشحين بإسمها -ماعندي مشكلة- قد لا أُصيب بمعلومتي هذه، لكن فيه فريق كامل يشتغل معك سواءً مقابلات أو ترتيبات، فالأفضل الشكر بإسم الفريق ككل مافيه استثناءات.</t>
  </si>
  <si>
    <t>بتكلم عن اللي أشوفه، صدقًا أشوفها رهيبة جدًا في العمل «بعيدًا عن شخصيتها». متعاونه، تساعد قد ما تقدر، تحاول تتفهم -ولو انها أوقات تهج معها، ما اللومها مين فينا ما ينضغط من العمل؟-، تقدر تحتوي الموقف وتساند وأنا احييها على هذي الصفة، لو بتكلم أنا وش أستفدت منها؟ الكثير صراحة ساندتني كثير وعلمتني كثير وأحس بثقتها فيني وهذا الشيء يشجعني أكثر على العمل.
والحقيقة هي في العمل جدية 90٪ ولو أوقات يتطلب العمل عكس ذلك، المرونه مهمة.</t>
  </si>
  <si>
    <t xml:space="preserve">اللي أقدره فيها انها تشجع على تبادل المعرفة -شهادة حق- لكن فيه حس التمييز اللي تقدر تحس فيه بين الموظفين، وهذا الجو يخلق حساسية بين الفريق.
</t>
  </si>
  <si>
    <t>إذا جينا بنتكلم عنها في التطوير والدعم فهي خيالية صراحة، تحرص على التطوير والنمو وتدعم أي فكرة جديده.</t>
  </si>
  <si>
    <t>صراحة عظيمة، مُراعيه في بعض الأحيان، تهتم لعمل الفريق وسمعته عند الأقسام الأخرى، عندها رؤى وأفكار مستقبليه فيما يخص العمل، شخصيتها لطيفه.</t>
  </si>
  <si>
    <t>التواضع للفريق وفهمهم وفهم احتياجاتهم، حتى لو الشغل لازم يمشي، مهم نفهم ظروف بعض واختلاف الشخصيات والأراء نتقبلها حتى لو ما تعجبنا نقدر نشارك رأينا بأسلوب ألطف، بظني مهم تعطين فرصة للأشخاص ومساحه لهم يظهرون شخصياتهم بدون تدخل شخصي.</t>
  </si>
  <si>
    <t>صراحة ترددت أكتب أو لا. أعوذ بالله من سوء الظن بالناس لكن خلال فترة شغلي معها أنا لاحظت أختلاف شخصيتها تمامًا عن ثقافة ثمانية والدليل ماقدر الفريق يندمج معها وبالفعل شفت إنعكاسه على الفريق بشكل سلبي جدًا ومو عيب فيها -مافيه أحد فينا كامل -. أنا متأكدة إنها رهيبة لكن مو في بيئة ثمانية. قد أُصيب أو أخطئ الله وأعلم.</t>
  </si>
  <si>
    <t>2EZYJ6A</t>
  </si>
  <si>
    <t>aQeoG7b</t>
  </si>
  <si>
    <t xml:space="preserve">نادين صفاوي </t>
  </si>
  <si>
    <t>لما يتعلّق الموضوع بتحديد الأولويات، زكية تعرف تمامًا وش اللي يحتاج أولوية وتتعامل معه بوضوح، وإذا تغيّرت التوجيهات فهي مباشرة توضّح وش المطلوب في المرحلة الحالية.
أما في اتخاذ القرارات، فهي تكون متعاونة وتقدّم دعمها في الأمور اللي عندها علم وخبرة فيها.</t>
  </si>
  <si>
    <t>أحياناً أحس إن زكية تثق فيّ في الشغل، لكن أحياناً ثانية أحس إنها تفضل تتابع كل التفاصيل بنفسها، وأوقات أحس إنها تميل شوي لأسلوب المايكرو مانجمنت.
بالنسبة لتجاوبها، يعجبني إنها دايم متاحة وترد بسرعة لما أحتاجها أو أطلب رأيها.
أما لما يكون فيه ضغط عمل، فهي فعلاً تهتم إننا ما نتعب من كثر الشغل، ويبان حرصها على راحة الفريق من الضغط.</t>
  </si>
  <si>
    <t>زكية تحب إن الفريق يتعاون في إنجاز المهام، لكن مو كثير تشجع على الاجتماعات أو تبادل الأفكار بشكل مفتوح. أذكر موقف لما انضمت وشافت إني قريبة من أماني وروان ونتواصل كثير بالمكالمات عشان نتابع ونفضفض لبعض، قالت لي وقتها ما يحتاج كل هالاجتماعات لأن عندنا شغل كثير. فصرت أحس إنها مو داعمة بشكل كافٍ لفكرة التقارب بين أعضاء الفريق، ونتيجة لذلك أحس أحياناً إني شوي بعيدة عن باقي الزملاء.
زكية عندها معايير عالية لأنها جايه من بيئة عمل أكثر تنظيم وهيكلية corporate، فتميل إنها تحب كل شيء يكون مرتب وواضح، بينما طبيعة الشغل عندنا تختلف شوي startup setting.
أما في اتخاذ القرارات، فهي تشركني فيها وتثق برأيي وتسمع لوجهة نظري دائماً بحكم تجربة وخبرتي.</t>
  </si>
  <si>
    <t>زكية تقدّر جهود الفريق وتعرف متى تذكر الشكر أو الإشادة لما يكون العمل مميز، لكنها تفضّل إن كل شخص يركّز أكثر على شغله معها شخصيًا أكثر من بناء العلاقات بين أعضاء الفريق.
إلى الآن ما وصلني منها أي ملاحظات تخص أدائي أو شغلي، ويمكن لأننا ما اشتغلنا بشكل مباشر أو مكثّف سوا، وهي تثق في شغلي وإحساسي بالمسؤولية.
لكنها تقدر أفكاري وتعطيني المساحة أطرح رأيي وأشارك اقتراحاتي بكل راحة.</t>
  </si>
  <si>
    <t>اللي أقدّره في أسلوب زكية بالقيادة إنها تثق برأيي في المواضيع اللي نناقشها، وغالبًا تاخذ برأيي وتتصرف بناءً عليه.
بعد، أحس بالراحة لما أشاركها مخاوفي أو أفضفض، لأنها تعطيني المساحة والثقة إني أتكلم بصراحة.
وأقدّر بعد إنها دايم موجودة وقت الحاجة، وتسأل باستمرار إذا نحتاج أي مساعدة أو دعم في شغلنا.</t>
  </si>
  <si>
    <t xml:space="preserve">أتمنى من زكية في المرحلة الجاية إنها تركّز أكثر على تقوية الترابط بين أعضاء الفريق، وتحرص إننا نكون متواصلين ومتقاربين مو بس في نطاق الشغل، لكن بعد عشان نحافظ على روح الفريق والتعاون بيننا. </t>
  </si>
  <si>
    <t>أقترح يكون فيه اجتماعات أكثر تجمع الفريق عشان نتواصل أكثر، نشارك أفكارنا، ونعزز روح التعاون بيننا.
بحكم إن زكية تركّز كثير على جانب الشغل، أحس لو صار فيه مساحة أكثر للقاءات والنقاشات الجماعية بيقوّي الترابط داخل الفريق ويخلي التعاون أسهل وأمتع.</t>
  </si>
  <si>
    <t>XxgvY64</t>
  </si>
  <si>
    <t>VLjq68l</t>
  </si>
  <si>
    <t xml:space="preserve">روان </t>
  </si>
  <si>
    <t xml:space="preserve">أحسها بهالمرحلة ماتوضح أي شيء ـــ لمن صرت مع زكية شعرت ان صار وجودي وعدمي واحد </t>
  </si>
  <si>
    <t xml:space="preserve">ماتثق فيني مع الأسف دايما تذكرني أن معاييرها عاليه وأني غير مناسبه لهالشاغر ـــ أحب تنوع المهام وتعرف بهالشي  ووضحت لها كثير أني احس بالاحباط بالمحدوديه ونتيجة اللي حصل فعلا المهام والعمل بدأت لي محدوديه 
لا أشعر بالمرونه ولا بالحرية أبدا معها ــ متعاونه جدا وتقدر ضغطنا وحالتنا دائما </t>
  </si>
  <si>
    <t xml:space="preserve">تسمينا بناتها/ لكن ماحسيت بهالاحساس وأشعر انها قصرت كثير بحقي كفرد بالفريق </t>
  </si>
  <si>
    <t xml:space="preserve">صرت اخاف ابادر لإن أتاكد أنها تفشلني واحيانا تتكلم عني وترفض بينما انا بكون سعيده لو بادرت ): 
كنت أتمنى دائما تشجعني على المبادره لكنها كانت ضدي رغم اني اعرف انها تبغى تركيزنا يكون محصور على الاستقطاب لكن هالطريقه ماتشبهني
جدا متعاونه من ناحيه انها تطورني وتقدم نصائح لكن ليس على علي مهامي و الاستقطاب تقدر جهدنا وتتفهم الضغط مشكوره وأقدرها هنا كثير </t>
  </si>
  <si>
    <t xml:space="preserve">زكية رائعه كشخص بالفريق و متعاونه وأقدر دعمها دائما وتفهمها وكلامها اللطيف 
لكن كقائدة لا أحس كنت أصارع يوميا معها ومع الاسف صرت استثقل العمل و أحيانا انازع
قيادتها غير مرنه وأنما لازم نمشي على طريقتها «تقوم بعملي عني أحيانا» وتتابع بطريقه تشعرني بالازعاج نوعا ما 
كثره التحديثات اللي تحتاجها والاجتماعات تؤخذ مني وقت غير عادي بلا أي فائده 
احس لو بحدث كل اسبوع كأني بسوي هاند اوفر وبطلع اجازه لمدة شهر 
</t>
  </si>
  <si>
    <t>أتمنى تعطينا حريتنا وتثق فينا وتسمع لنا وتوقف معنا دائما أحسها ضدنا بالعمل 
تخلق بيننا بيئه تنافسيه مع الأسف ):</t>
  </si>
  <si>
    <t xml:space="preserve">سعيده اني بطلع لشاغر آخر ويمكن وجود زكية ساعدني بهالحاله لكن كنت أتمنى جهدي ودعمي يساعدني بالانتقال و أنتقالي بسبب أني استاهل وليس أن زكيه تبغى تتخلص مني بفريقها 
زكية فعلا مو واضحه بينما أنا وسحاب وأماني نفس طريقه العمل والمهام او متشابهين تشوف شغلنا سيء و مانشبه معاييرها فقط لإن سحاب ما أبدت رأيها وانا وضحت لها ان هالشيء مايناسبني بدأت تذكرني دائما اني غير مناسبه وتحبطني ــ وتطلب مني مرونه نفسيه رغم والله أني احاول مرارا وتكرارا التكيف معها بشكل أو باخر
دائما تذكرنا ان التيم عليه شكاوي كثير واننا مو قاعدين نساهم في حله وترفض توضح السبب وبإيش ضعيف تحسسنا أننا مقصرين و أن السبب أحنا واستقطابنا سيء رغن اني اثق باللي اوصي فيهم دائما  
اللي أتمنى مستقبلا ما يتقاطع طريقي مع زكية ولا تكون قائده لي، مُرحبه كزميله بالفريق وبالعكس كثير بفرح لها والله وأي شيء بقدر اقدمه بقدمه لدعمها لكن كوننا ضمن نطاق مهام محدده لا بحترق مجددا </t>
  </si>
  <si>
    <t>8qaAXkE</t>
  </si>
  <si>
    <t>yPNRebW</t>
  </si>
  <si>
    <t xml:space="preserve">أماني العنزي </t>
  </si>
  <si>
    <t>أشعر أن جزء من تأهيل القائد أن يعرف مايعمل عليه الفريق، الأدوات، التحديات، وأن يمر بتجربة يوم كامل في حياة موظف.
في كثير من الأوامر تعطى من دون حاجة وأن نمت عن شيء تنم عن ضعف المعلومة لدى القائد ورغبته في إعطاء أمر ما، ربما أي أمر 🫨!
التواصل سيء حقيقة كنت أعتقد أني أبالغ أو ربما لم تلتقي أرواحنا حتى شفت طريقة التواصل مع زملائي  وامتد ليكون مع المرشحين ( شعرت بنوع من الفضاضة) أحد المرشحين ذكر أنها أسوأ مقابلة دخلها في حياته فيها شعور غير مريح شيء ما يجعلك تخرج وأنت غير راضٍ عن نفسك (: 
الحياة ليست بهذه الشدة، نخفف دور أننا أوصياء على البشر ومعاييرهم.</t>
  </si>
  <si>
    <t>سابقًا، رهيب وإبداعي!
نطور أدلة، نقفل الشواغر بإيطار زمني أقل، المرشحين يشبهون ثمانية كقيم وسير العمل أكثر فعالية، وعندنا متسع للحلم، والمبادرة والتجربة دومًا.
حاليًا كلها انظفت تبرر بالمعايير العالية وأن ثمانية اليوم اختلفت وأننا مو مناسبين (:</t>
  </si>
  <si>
    <t xml:space="preserve">ممكن يطفي؟ طريقة لا تشبه ثمانية المشعة.
ليس هذا النوع من القادة اللي تتطور معهم ومن خلالهم، وأعتقد أنها ترى الموظف المستقل مهدد لها فتحاول تتخلص منه بطريقة ما بشكل يجحد كل الإنجازات والتقدم اللي سعى إليه. 
في نظري البقاء في قسمها للأشخاص المنقادين أو بمعنى أصح خائفين أو ممكن تحاول تغيير الفريق لفريق تعرفه شخصيًا.
تمنيت يكون فيه وضوح بسبب محاولة نقلنا لأقسام أخرى - وليس ذكر أنك غير مناسب هنا وهذا مو مجالك لأن خروج أكثر من موظف أو اختلاف مستواه لمستوى أقل عن سابقه يعني أن ثمة خطأ من القائد -التواصل يفقد الشفافية والوضوح - الشيء الواضح أننا لسنا جيدين كشخصيات بالنسبة لها وهذا هو السبب الأساسي.
ذكرت أنها بتطلعنا لأنها تحتاج أشخاص أكثر خبرة في القسم، إذا لماذا تحتفظ ببعض المتدربين وبعض الزملاء المقاربين لمستوانا؟ 
في كثير من الاجتماعات التي تستغرق 45 دقيقة من الوعظ بمحتوى مكرر أتساءل ما الفائدة منه؟ 
 عليكم أن تتقبلوني وما تكونون هشين نفسيًا - إدرتي تشبه غازي القصيبي 
أنا مو من جيلكم - أنتوا من جيل الـ BBM 
لا تبادرين ترى راح تحترقين وظيفيًا - ما أحط راح يرقيك خليك بمهامك عليك بمهامك الأساسية. 
ماتناسبين التوظيف لو بقيتي فيه بعطيك تقييم سيء أنت أفضل في مكان آخر.
بشكل عام أتذكر أن الشخص لو كان فض القلب لانفضوا من حوله الناس - لذا سأكون سعيدة لو غادرت أنا القسم بالرغم أني أحبه وأعطي فيه 😬
</t>
  </si>
  <si>
    <t>غير موجودة إطلاقًا.</t>
  </si>
  <si>
    <t>مؤخرًا قلت المنشنات الكثيرة، والبطايق الجديدة. 
فصار من السهل أنك تىركز فيما تعمل وقلت المتابعة المتكررة لأشياء سبق وحدثناها أو تجري بطبيعية حسب تسلسل البطاقة.</t>
  </si>
  <si>
    <t>القابلية للتعلم - أكثر سمة أراهن عليه ومقابلها الاستكبار - التواضع قليًلا مع المرشحين - هذه ليست ساحة معركة هو أيضًا يقيمنا 💬</t>
  </si>
  <si>
    <t>شكرًا ثمانية 🫶</t>
  </si>
  <si>
    <t>eq7z4dE</t>
  </si>
  <si>
    <t>8qZLZb5</t>
  </si>
  <si>
    <t>فواز المطيري</t>
  </si>
  <si>
    <t>التشجيع الدائم، و التعليم المستمر من ابرز السمات. قد يكون اوقاتها فيه تقصيد بالتواصل اليومي هدا محل تقدير نظراً لضغط الأعمال.</t>
  </si>
  <si>
    <t>طريقة العمل جميلة جدا. وانا سعيد بها</t>
  </si>
  <si>
    <t>قيادته للفريق فعاله. و اتمنى ان نتعلم منه كيفية إدارة الفرق. شي إيجابي فعلاً ومبهر.</t>
  </si>
  <si>
    <t xml:space="preserve">الدعم موجود دائما. في اجتماعاتنا الاسبوعية. القائد مهتم جدا بالتطوير الداخلي. </t>
  </si>
  <si>
    <t xml:space="preserve">المرونه دائما. </t>
  </si>
  <si>
    <t xml:space="preserve">لايوجد </t>
  </si>
  <si>
    <t>gDr0qll</t>
  </si>
  <si>
    <t>6Rb6BDA</t>
  </si>
  <si>
    <t>لجين المنهالي</t>
  </si>
  <si>
    <t xml:space="preserve">
واضحة جدًا، ما تلفّ ولا تدور دايم توصل المعلومة بشكل بسيط وسريع ونفهم منها وش المطلوب بدون ما نحتار فوق هذا تعرف تحط كل شخص بالمكان المناسب ومن ناحية التعامل مره سهلة بالتعامل مع شخصيتي الغريبة شوي اللي ما تحب المجاملات ولا يطربها المدح الزايد ماتجامل أبد، وهذا أكثر شي أحبه فيها! إذا فيه شي يستحق الانتقاد تقوله بوضوح وإذا فيه شي كويس تفرح فيه وتوصل الشكر بكل صدق وبساطة بدون تطبيل 🥁
صريحة، لكن حنونة وتعرف توازن بين إنها تجلد وتطبطب وبالنسبة لي أنا مع هذي الشخصية جدًا لأنها تساعد طبيعة الانسان في انه يتعلم ويسعى للأفضل ويحسن من نفسه
وعلى قولتهم (الله يخلّي من بكاني ولا ضحك علي الناس)💃❤️</t>
  </si>
  <si>
    <t xml:space="preserve">تحب ترتّب الشغل وتوضّح الصورة من البداية، ما تخلّي أحد يتخبط أو يمشي بدون هدف تحاول وتحسن وتساعد بكل ماعندها </t>
  </si>
  <si>
    <t xml:space="preserve">ما تحب تعقّد الأمور ولا تمشي بنظرية "المهم نشتغل" وخلاص، دايم تسعى إن الشغل يكون له خطوات مرتّبة، وتحفّز الفريق يشتغل بذكاء مو بكرف عشوائي حتى لو كانت العشوائية لابد منها تحاول تهندل الأمور </t>
  </si>
  <si>
    <t>تدعمنا بطريقة مباشرة او غير مباشرة حتى في الاشياء اللي لسه قاعدة تنطبخ على نار هادية 
أبسط الاشياء بما أني لسة طالبة وتخصصي تطوير مواقع والعاب ماتفشل انها تحسسني أني أفضل تقني في العالم أشك أنها تطبق علي نظرية الفراشة دايم تحط تخصصي قدام عيوني وتخاطبني فيه🤣🙂‍↔️</t>
  </si>
  <si>
    <t>دايم موجودة، مو بس بالكلام حتى بالأفعال والتسهيلات. لو أكلمها بأي وقت وبأي مكان موجودة أحيانًا قبل لا نطلب الدعم نلقاها جابت الحل 
ما تضيع وقت الفريق عندها حس مسؤولية عالي وتعرف كيف تقود بدون ما تحسسك إنك تحت ضغط.</t>
  </si>
  <si>
    <t xml:space="preserve">يمكن يكون فيه مساحات أكبر للنقاش بين الفريق ومشاركة بعض القرارات أو التحديات اللي نواجهها مع بعض قبل الحل، عشان نستفيد من بعض ونتطور أكثر </t>
  </si>
  <si>
    <t>لا، بس مبدئيًا كذا الموضوع مسألة وقت وشهودتنا تحكم العالم🫵🌍</t>
  </si>
  <si>
    <t>8qabJg4</t>
  </si>
  <si>
    <t>71zD8LY</t>
  </si>
  <si>
    <t>عبير الحربي</t>
  </si>
  <si>
    <t>خلال الفترة الماضية، شهد ساعدتني أفهم المطلوب بشكل مباشر، المهام و إدارتها.
 كانت الأولويات دائمًا واضحة بطريقة تسهّل معرفة وش يبدأ فيه الفريق، وهذا خفّف من التوتر وصارت الأمور منظمة وقت كثرة النشر.
بالنسبة لي، هالوضوح وترتيب الأولويات كان له دور كبير في تسهيل شغلي وتنفيذ المهام بشكل أدق.
شكرًا لك شهد 🫶🏻</t>
  </si>
  <si>
    <t>واضحة جدًا، وفيها تنظيم يساعد الفريق يعرف خطواته اليومية. توزيع المهام وترتيبها يمشّي الشغل بشكل ممتاز! خاصة إن فيه متابعة مستمرة وتحديثات عند أي تغيّر.
بشكل عام، طريقة العمل مناسبة جدًا ومحفزة للتطور والتغيير الإيجابي.</t>
  </si>
  <si>
    <t>بالنسبة لتوزيع المهام، موزع بشكل مناسب للجميع.
 كل واحد يأخذ شغل على قد طاقته وطريقته، بدون ضغط زايد أو وقت مايناسب وقته.
مقدرة كل الجوانب والنقاط وهذا الي يخلي الشخص فعلًا يشتغل بحب.</t>
  </si>
  <si>
    <t>جدًا متقبّلة لأي طريقة جديدة ممكن تساعد الفريق وتطوّر شغلنا.
 ما تعارض وتدعمنا لتجربتها دامها بتطور وتحسّن طريقة العمل. 
وأقربها اليوم وقفت معي ودعمت الطريقة الجديدة اللي اشتغلت عليها.</t>
  </si>
  <si>
    <t>محفزة، مقدرة لكل الظروف، تدعم التطوير وبشدة.
ممتنة لوجودها.</t>
  </si>
  <si>
    <t>هي متفهمة جدًا إن مهامنا تحتاج تطوير وتسعى فيها،
و تدعم أفكرنا بالتطوير، وأيضًا يوم عن يوم تصير تغييرات إيجابية في فريقنا.</t>
  </si>
  <si>
    <t>gDr61Ml</t>
  </si>
  <si>
    <t>LZ6DZ61</t>
  </si>
  <si>
    <t>فواز برناوي</t>
  </si>
  <si>
    <t>الوضوح في تفصيل خطوات المهام وتوفير المصادر المساعدة لإنجاز المهام على أكمل وجه</t>
  </si>
  <si>
    <t xml:space="preserve">نحتاج أن نناقش آلية الاجازات الاسبوعية دون الحاجه لطلبها من بالم </t>
  </si>
  <si>
    <t>تناقش الكثير من التفاصيل التي من شأنها تحسين آلية العمل لكل الفريق</t>
  </si>
  <si>
    <t>أعتقد اننا بحاجه لمناقشة الملاحظات على ادائي كل فتره</t>
  </si>
  <si>
    <t>متواجد دائما، داعم دائما، واضح دائما</t>
  </si>
  <si>
    <t>توفير اجازات اسبوعية وتدوير المهام بين الفريق
نراجع ما انجزناه بعد كل فتره ونناقش فرص التحسين</t>
  </si>
  <si>
    <t>شكرا لكم على هذه المساحة المفيدة</t>
  </si>
  <si>
    <t>QKqW9Vg</t>
  </si>
  <si>
    <t>حرصك عبدالرحمن على الأفكار والتوجهات يعطينا فهم عميق لمنطلقاتنا. ومساحة حرة لتنفيذ هذه الأفكار مع كل فريق.
 ممكن أحيانًا، ولضيق الوقت، بعض التنفيذيين يغيب عنهم التواصل لقرارات قد تؤثر على عملهم. فممكن وجود آلية لإبلاغ كل التنفيذيين، أو تفعيل «مجموعة ثمانية» أكثر قد يساعد.</t>
  </si>
  <si>
    <t>لم تكن لتنجح ثمانية من غير منتجها الرائع، أيًا كان.
 ولعلّ اهتمامك يغلب عليك في القرب من الأقسام التي تبني هذه المنتجات؛ إنتاجًا وتقنية وتصميمًا.
 لكن القرب أيضًا من الأقسام المساندة بيساعد أكثر في اندماج كل الشركة، وفهم التحديات التي قد تكون موجودة لديهم.</t>
  </si>
  <si>
    <t>أبومالح قائد بالفطرة. مُلهم ويجعل الآخرين يهتمّون لما يهمّه.
 فهمه لنفسيات الناس، وكيف تكسبهم، موهبة حقيقية وتُبقي الناس حوله.</t>
  </si>
  <si>
    <t>قدرته في إلهام فريقه، وإيمانهم بمشروعه وأفكاره. في الوقت الذي يعطيهم مساحة للتنفيذ كيفما يناسبهم.</t>
  </si>
  <si>
    <t>التواصل الداخلي ليست مهمة قسم الثقافة فحسب. هي تبدأ من رأس الهرم.
 وأدرك ضيق الوقت وسرعة التحديثات وإنهاك الدوري. ولكن وعيك بأهميتها قد يساعد في تفعيل «مجموعة ثمانية» أكثر وأكثر.</t>
  </si>
  <si>
    <t>PdQlDq5</t>
  </si>
  <si>
    <t>أبومالح ما "يوصل" المعلومة. إما تفهم بنفسك، أو ما تفهم. 
 ولا يوضح مهام. فقط يقولها مرة واحدة. والتنفيذيين معه فهموا طريقة تفكيره وعمله. 
 أحيانًا يعطي 15 أولوية ومهمة جديدة، بعدين فجأة يغير التوجه، أو ينسى أنه شاركنا الأولويات، ويستاء مننا. 
 لا تغير التوجه بسرعة وبسهولة. 
 واصبر علينا.</t>
  </si>
  <si>
    <t>أبومالح يمكن جلست معه مرة أو مرتين في السنة، مع أنه مديري.
 وبطيء في الرد. ف ما أشوفه متاح ومتجاوب عند الحاجة. يعني لازم تلاحقه. 
 جميع التنفيذيين مضغوطين، وهو يقدّر هذا الشيء، لكن نحتاج منك تقدير، وشكر، وتواصل. ولو رسالة "شكرًا" كل فترة وفترة. أو تقدير أمام الفريق.</t>
  </si>
  <si>
    <t>ممتاز في خلق بيئة مستقلة، متعاونة، تتبادل معرفة. 
 ويبني ثقافة أداء عالية، لدرجة أنها تخوف لو فيه تنفيذي نزل أداءه مرة في السنة. 
 ويشرك الفريق في القرارات أحيانًا، لكن عادة يعطي "قرار" ولا يشاورنا فيها. وسهل عليه يقنعك بنظريته.</t>
  </si>
  <si>
    <t>ما يقدّر جهد الفريق. عادي أنه ينتقد التنفيذي أمام البقية فقط لمجرد خطأ واحد في السنة. 
 ولا يجلس معي لمشاركة المرئيات البناءة حول أدائي وتطويري. فعليًآ لا أعرف لو أنا تنفيذي كويس أو سيء. هل رح أترقى غدًا أو أنفصل. 
 عند أبومالح، السكوت تساوي رضا. ولكن لا يشكرك بحرارة. فقط يسكت. 
 والتعليقات منه موجودة دائمًا. فدائمًا تحس بتقصير وكأنك تنفيذي سيء، فنضطر دائمًا نلاحق رضاه، ولو بكلمة.  
 إذا أبومالح أخذ صورة سيئة عن شخص، مستحيل تتغير. والعكس. 
 فإذا الموظف الشاطر فجأة أخطأ مرة، يبقى أبومالح ينتقد كل شيء منه لكامل الدهر. وهذا خطأ. 
 لأن الفعل الواحد لا يلغي دهر من الجهد. 
 والعكس،، إذا حب شخص، يوافق على قرارات وأراء هذا الشخص مهما كانت. فتلاقي هذا الشخص يستغل هذا "الحب الأعمى" ويطلب من أبومالح أكثر وأكثر. بينما البقية تُرفض طلباتهم. 
 لازم أبومالح يتفتح لاختلاف الشخصيات والعقليات، ولا يتطبع عنده الكره أو الحب. كل شخص يخطئ ويصيب. لازم ما يكون هذا الشيء تهديد للشخص أنه سيء دائمًا.</t>
  </si>
  <si>
    <t>يدعم الاستقلالية، والأفكار الابداعية، ويقدر جهد التنفيذيين بسكوت.</t>
  </si>
  <si>
    <t>إذا أبومالح أخذ صورة سيئة عن شخص، مستحيل تتغير. والعكس. 
 فإذا الموظف الشاطر فجأة أخطأ مرة، يبقى أبومالح ينتقد كل شيء منه لكامل الدهر. وهذا خطأ. 
 لأن الفعل الواحد لا يلغي دهر من الجهد. 
 والعكس،، إذا حب شخص، يوافق قرار هذا الشخص مهما كان. فتلاقي هذا الشخص يستغل هذا "الحب الأعمى" ويطلب من أبومالح أكثر وأكثر. بينما البقية تُرفض طلباتهم. 
 لازم أبومالح يتفتح لاختلاف الشخصيات والعقليات، ولا يتطبع عنده الكره أو الحب. كل شخص يخطئ ويصيب. لازم ما يكون هذا الشيء تهديد للشخص أنه سيء دائمًا.</t>
  </si>
  <si>
    <t>Pdy8vrd</t>
  </si>
  <si>
    <t>5lJ6oM</t>
  </si>
  <si>
    <t>أبو عمر، أوضح منك مديرًا لم أجد، حتى أنّي مرّات أقول ليته يكون أقل وضوحًا من شدّة العتاب ههههه، لكن الأكيد أني أفضل هذا على عدم الوضوح لأنه يجعلنا دائمًا على نفس الصفحة.</t>
  </si>
  <si>
    <t>في وقتٍ سابق كنتُ أجد صعوبة كبيرة في التواصل معك لسببٍ ما، لكن تواصلنا الفعّال مؤخرًا ساعدني كثيرًا في تحقيق مستهدفات القسم وسرعة سير المهام وإنجازها. برأيي أن ما نمرّ به ليس سهلًا، ويتطلّب العمل المستمرّ بدون توقّف ولا هوادة. لكن ربما تفهّم مشاعر الفريق واستيعاب الضغط بشكلٍ أكبر سيساعدهم على الاستمرار في العمل دون توقّف، ولساعات عملٍ إضافية دون مقابل، ودون إجازات في نهاية الأسبوع.</t>
  </si>
  <si>
    <t>كلّنا اليوم نعمل لهدفٍ واحد، وهو أن تكون لثمانية الريادة كأفضل منصة محتوى عربي. لكن المحاسبة العادلة بين الأقسام أمرٌ مهم، فلا نُحمّل قسمًا أخطاء قسمٍ آخر، ليس لشيءٍ إلا لضمان أن يتحمّل كل قسمٍ مسؤوليته ويحرص على ضبط مخرجاته دون مجاملة أو تهاون.</t>
  </si>
  <si>
    <t>ليس منك اثنان، أقولها يقينًا لا تطبيلًا.</t>
  </si>
  <si>
    <t>ماتعرف قد ايش تأثير وضوحك في الفترة الأخيرة، فرق معي جدًا في سلاسة العمل وسرعة إنجازه وتطوره.</t>
  </si>
  <si>
    <t>التعاطف والتفهم، خصوصًا في الأخطاء الغير فادحة «الي جايبين فيها العيد».</t>
  </si>
  <si>
    <t>b5XXDRo</t>
  </si>
  <si>
    <t>Xx4LGYj</t>
  </si>
  <si>
    <t>للأسف أشعر ماعندنا أولويات، كل شيء أولوية وعاجل حتى نعلن عنه او نطلقه ثم ننساه احيانًا. ماعندي اشكال في ان كل شي عاجل لما نكون فعلًا مضغوطين في الوقت مثل الدوري، لكن دايم يكون فيه فرصة للمراجعة واعادة ضبط ما سبق واحسنا "نتعيجز" نسويها</t>
  </si>
  <si>
    <t>أشعر أن مدى انخراطه في الاشياء نابع من اهتمام شخصي وليس لانه لازم نركز عليها، وهذا يؤدي لتجاهل مناطق كثيرة والتركيز احيانًا على ماهو اقل اهمية. وهذا مربك احيانًا</t>
  </si>
  <si>
    <t>يعجبني اتخاذنا للقرار بطريقة جماعية احيانًا لكنها مرات تضيع الطاسة</t>
  </si>
  <si>
    <t>كثير من الاحيان اشعر ان العمل غير مقدر، وهذا مايعني عملي شخصيًا، لكن دائمًا نستسهل عمل الاخرين وننتقص منه، ولا نراعي الجهد والوقت والظروف التي انتجت هذا المخرج. وعادي انه مايقدر لما يكون غلط، المشكلة حتى الاشياء الصح ما تاخذ حقها مثل ما الاشياء الخطأ تاخذ حقها من الزعل والعتب والتصعيد احيانًا</t>
  </si>
  <si>
    <t>- يسمع للناس (احيانًا خخ)
- يعرف يحفزك ويطلع اقصى ماتقدر عليه
- منحاز للمنتج دائمًا</t>
  </si>
  <si>
    <t>دائمًا تغيب عن المؤشرات اللي تساعدنا على التركيز وعلى تقييم عملنا ومخرجاتنا بشكل فعلي</t>
  </si>
  <si>
    <t>6ReYlVZ</t>
  </si>
  <si>
    <t>- واضح لكن يغيّر رأيه كثير
- في قرارات يعلّقها أو يفوّضها لأشخاص آخرين</t>
  </si>
  <si>
    <t>- مرن والتعامل معه رائع، مُمكّن وما عمري حسّيت بأي تقييد في العمل معه
- أحيانًا يصر على بعض القرارات التي أختلف معه تمامًا في تنفيذها، مما قد يجعلني غير مؤمن بها مما يعكس جودة العمل بها</t>
  </si>
  <si>
    <t>- الفريق مؤمن به
- متعاون ويتفهّم ويساعد باللي يقدر عليه</t>
  </si>
  <si>
    <t>- يشاركني كل المرئيات بشكل مباشر وواضح جدًّا
- قد تكون المرئيات في بعض الأحيان مُصاغة بطريقة جيّدة، مما يسبب اختلاف حين تلقّي هذه المرئيات</t>
  </si>
  <si>
    <t>- شخص ذو رؤية
- مُلهم
- صريح، اللي في قلبه على لسانه</t>
  </si>
  <si>
    <t xml:space="preserve">- التقليل من المزاجية
- توقعات واقعية
</t>
  </si>
  <si>
    <t>KYyDPJz</t>
  </si>
  <si>
    <t xml:space="preserve">نتعلم منك في اتخاذ القرارات. لكن يفوتك أحيانًا إشراك الأطراف المعنيّة في القرارات المهمة، مما يؤدي إلى غياب الوضوح في المسؤوليات أو الأولويات.
</t>
  </si>
  <si>
    <t>أتمنى أن يكون هناك جدولة ثابتة لـ 1:1 تساعدنا على موائمة أفضل. قصيرة متكررة لا طويلة متباعدة.</t>
  </si>
  <si>
    <t xml:space="preserve">عندك بعد نظر وحرص وثقة في الفريق. حريص على التفاصيل الصغيرة، قبل الكبيرة. </t>
  </si>
  <si>
    <t>- نشعر أحيانًا أن تخوض معارك صعبة لوحدك.</t>
  </si>
  <si>
    <t>b5Xvbqg</t>
  </si>
  <si>
    <t>RGd2qKl</t>
  </si>
  <si>
    <t>عدنان احمد المنسف</t>
  </si>
  <si>
    <t>عبدالعزيز المزي</t>
  </si>
  <si>
    <t>الوضوح موجود في ترتيب المهام لكن هناك عدم ضبط في توزيع الادوار  لكي يكون كل شخص في الفريق يصب تركيزه فيها ويرجع السبب ربما في قلة العدد في الفريق خصوصا في المكساج لذلك ان امكن فصل قسم المكساج عند قسم التسجيل الصوتي الميداني قد يعطي تركيز وانجاز اسرع</t>
  </si>
  <si>
    <t xml:space="preserve">بكل امانه وصدق هو حريص على روح الفريق الواحد وتماسكه عند الضغط </t>
  </si>
  <si>
    <t>اوصي ان تكون قيادة الفريق منفصله عن العمل مع الفريق ربما تكون القياده اكثر تركيزاً</t>
  </si>
  <si>
    <t xml:space="preserve">هناك بطئ شديد في عمليات التطوير سواءا كانت تقنياً او فنياً ولكن لا يمكنني اللوم هنا على القائد لانه لديه ايضا تحديات واتمنى من الادارة او الماليه المسانده في هذا الجانب لانه يسبب عائق كبير جدا جدا في التطور للفريق بالشكل والسرعه لإنجاز المهام </t>
  </si>
  <si>
    <t xml:space="preserve">لديه وعي كامل بصفات القائد يمكنه من اتخاذ القرار السليم </t>
  </si>
  <si>
    <t>ان تكون متطلبات الفريق التقنيه والفنيه اولويه في  سرعة اتخاذ القرار لانه يسهم في جودة الفريق</t>
  </si>
  <si>
    <t>هي امنية ان يكون الشخص القائم على مرحلة تسجيل الصوت في اللوكيشن فقط مهامه التسجيل
والشخص القائم على عملية المكساج مابعد التسجيل تكون مهامه فقط المكس وشكرا</t>
  </si>
  <si>
    <t>5BY6q1M</t>
  </si>
  <si>
    <t>مرونتك الدائمة جدًا تساعدنا في وصول لمكان أفضل.</t>
  </si>
  <si>
    <t>لكل قائد طريقة عمل مختلفة. وطريقة عبدالقدوس مختلفة. يعطي الثقة والوقت والجهد والمساحة حتى تكون أفضل.</t>
  </si>
  <si>
    <t>نحتاج اجتماعات دورية مع قادة الفريق. حتى نخلق توازن أفضل.</t>
  </si>
  <si>
    <t>دائمًا حاضر للدعم والتطوير. بس نحتاجها بشكل أكبر وأقرب.</t>
  </si>
  <si>
    <t>إنه يعطي المساحة والوقت والجهد.</t>
  </si>
  <si>
    <t>وضوح ودعم أكبر. توجيه.</t>
  </si>
  <si>
    <t>VLylA6E</t>
  </si>
  <si>
    <t>عبدالقدوس واجهة إنسانية للموارد البشرية والله!
باله طويل وإنسان سهل التعامل، ما أذمر أني ترددت بتوضيح أي شيء أو السؤال عنه</t>
  </si>
  <si>
    <t>يدعم المبادرة - هذا النوع من القادة اللي ينمو وتنمو من حوله الأشياء بالمقابل.
أفترض أن أي أحد يعمل بجانب عبدالقدوس راح يكون بأعلى سطوعه المهنية.</t>
  </si>
  <si>
    <t xml:space="preserve">ليتها تعود كما كانت ): </t>
  </si>
  <si>
    <t xml:space="preserve">9000000000% والله 
حتى لما كان يعدل ويصحح على مبادراتي وينورني بحيث تكون بشكلها الأكمل طان يقول عدليها لتصبح باسمك.
</t>
  </si>
  <si>
    <t>هو ثمانية بشخص بالنسبة لي أول ما دخلت ثمانية (: 
الاستقلال 
المرونة 
الدعم 
المبادرة 
والانسانية البالغة والله</t>
  </si>
  <si>
    <t xml:space="preserve">ممكن تقييمي عن القائد الحالي للإستقطاب - شيء ما خاطئ بإدارة الوضع والفريق والتواصل وحتى إدارة العلاقة مع المرشحين من قبل القائد 😬
</t>
  </si>
  <si>
    <t>شكرًا لكل ما تفعلون!
أحبكم جدًا 🫶</t>
  </si>
  <si>
    <t>japqo8Q</t>
  </si>
  <si>
    <t xml:space="preserve">روان القرني </t>
  </si>
  <si>
    <t xml:space="preserve">واضح تماما ومتعاون كثير ويحاول داينا يساندنا لو نحتاج وحتى قبل نطلب 🙌🏼 ما أروعه </t>
  </si>
  <si>
    <t xml:space="preserve">فعلا رائعه طريقته ومرونته يعطينا الحرية ووثق فينا من أول لحظه - عبدالقدوس صدقا أفضل مدير يوصل المعلومه وفعلا مايتردد ابدا انه يساعدني لو اخطأت او غفلت عن نقطه - أقدره كثير القاه دايما موجود قبل ما أحتاجه </t>
  </si>
  <si>
    <t xml:space="preserve">أفضل شيء صدقا / يعطيني الحرية والاولوية اتكلم عن رأيي ونتناقش فيه </t>
  </si>
  <si>
    <t xml:space="preserve">احيانا يكون ودي اطلب مهام اكثر او مختلفه عن عملي يقدمها لي بس ما أحسه مقتنع اني ممكن اكثر امسك من مهمه عند الحاجه خوفا اننا نحترق ): لكن صدقا سعيدين </t>
  </si>
  <si>
    <t xml:space="preserve">رائعه ومرنه قيادته واضح تمااااما ماعمري حسيت أني موظف عادي يحسسني دائما أني قائده ولي المساحه أبحر دائما يعطيني الحريه والمرونه الكامله وأتمنى يستمر هالشيء وحسيت ـــ يسمعنا لكن ما أحسه يتفهم وضعنا خصوصا باللي صار مع زكية 
أنا سعيده بطلع من عندها لكن ماتجاوب معاي من أول لحظه وهالشيء زعلني شوي وفعلا أدى لإحتراقي بوقت سريع لإن اعرف عبدالقدوس يدعمنا من أول لحظه أتمنى مستقبلا يحاول قبل نوصل لمرحله الاحتراق </t>
  </si>
  <si>
    <t xml:space="preserve">يمكن أعرف اغلب الفريق واعرف طريقتنا يحس احيانا اننا مضغوطين و ساكتين
لكن صدقا لا. لو فعلا مضغوطين ونحس بالازعاج بنتكلم دائما احسه استباقي بهالنقطه رغم اننا سعيدين ومتقبلين 
وفعلا راضيه ومبسوطه بمبادرتي وبالضغط اللي انا فيه ـــ اعرف انه حريص ويبحث عن راحتنا لكن صدقا بنتكلم وبنقدم رأينا بهاللحظه </t>
  </si>
  <si>
    <t xml:space="preserve">أتمنى يرجع مديري (: </t>
  </si>
  <si>
    <t>zx4LZVR</t>
  </si>
  <si>
    <t>obR4MY1</t>
  </si>
  <si>
    <t>ناصر بامشموس</t>
  </si>
  <si>
    <t>عبدالله الرويس</t>
  </si>
  <si>
    <t>أعتقد صدقًا أن عندنا مشكلة في ضبط الأولويات
لكن ما أقدر أني أحط اللوم على مديري لأني لو سألته دائمًا يرتبها ويحدد لي تواريخ.
 لكن للأسف أنا ما اسأل الا اذا اصلاً كثرت المهام وتراكمت وتأخرت في تسليمها هنا أسأل
لو كان من حل لهذه المشكلة ممكن يكون تحديد تواريخ منطقية مع كل مهمة في وقت اسنادها</t>
  </si>
  <si>
    <t>للأمانة يحفز ويدعم ويمكن ودائمًا يخليني أجرب أشياء جديدة في الشغل كان ودي اني اسويها. لأننا في وطن يجعل الاحلام حقيقة خخخ.
أما عن طريقة عمل العمل
في فريقنا فيه مشكلة انعدام للأونرشيب
الحمدلله مو قاعدة تأثر على جودة المخرجات لكن تأثر في بطئ العجلة والتسليم دائمًا على آخر اللحظات وأحيانًا يتأخر موعد النشر. ما أدري ليش هذي المسؤولية مو عندنا لكن متأكد أن مسؤلية القائد يخلينا مسؤولين.</t>
  </si>
  <si>
    <t>بحكم صغر فريقنا وأننا نعرف بعض قبل لا نشتغل مع بعض أحس ما ارعينا لهذي النقطة اهتمام كبير.
لكنها مهمة جدًا خصوصًا أن نوع التواصل في الشغل غير عن برا.
إذا كان العمل مع مديري مباشرة فهو دائمًا سلس وواضح ورائع وممتع.
إذا كان العمل مع زميل أحيانًا أواجه مشاكل في التوجه الأنسب وتقسيم العمل. فأرى أنها تحتاج إشراف من القائد.
إذا كان العمل عمل جماعي وفريق كبير ومن ضمنهم القائد عادةً يكون فوضوي وحوسة إلى ان نجتمع حضوريًا تترتب الدنيا. فممكن نجتمع أكثر.
وممكن عشان تترتب حياتنا ونفهم بعض كفريق أكثر وننتج أفكار أجدد..
نحدد يوم في الأسبوع على الأقل نجتمع فيه حضوريًا.</t>
  </si>
  <si>
    <t>داعم ومحفز وممكن ويثق في فريقه❤️</t>
  </si>
  <si>
    <t>أقدر فيه الثقة 
وكيف انه لما يعطي المهمة فهو واثق انك بتسويها بشكل رائع وما يعطيك شعور أنه شايل همك وبتشغله في هذي المهمة.
أقدّر فيه حكمته في التعامل مع الأفكار.
هو كمخرج إبداعي تطرح عليه مئات الأفكار من الفريق، وعنده قدره عجيبة تبارك الله في التفريق بين القبيح والجيد وإيجاد الجانب الجيد في الفكرة القبيحة.
تجدد مستمر وعضلة إبداعية لا تنضب
مع أنه كبير في العمر مسكين. بس ما شاء الله دائمًا أفكاره جديدة ومواكبه 
وفي كل مره أروح له بمشكلة أيًا كان حجمها مباشرة يطرح عشرات الحلول والأفكار البديلة وكأنه مفكر بالمشكلة من قبل.</t>
  </si>
  <si>
    <t>عندي مشكلة إبداعية اللي هي «أزمة البيع»
وودي أقسم هذه الأزمة إلى شقين..
أولاً: مع قائد فريقي.
ثانيًا؛ ثمانية بشكل عام.
أنا كشخص يحاول يكون مبدع ويطلع بأفكار رهيبة دائمًا وفي كل فكرة أطلعها يكون عندي شك. هل الفكرة هذي فعلاً كويسة ولا لأ. وهنا بالضبط تكمن فائدة الفريق وزميل العمل أنه يعطيني رأيه ويعلمني.
مشكلتي مع أبوعيد لما يطرح أي فكرة دائمًا أحسه يبيعها لي بزيادة حتى لو كان فيها مشاكل. وأنا فاهم أن هذا شي متجذر في شخصيته وصار طبع من كثر التعامل مع العملاء وغيره. لكن حنا في وضع جديد اللي هنا أن حنا عميل أنفسنا فلازم نتحدى أفكارنا مع بعض ونشك فيها عشان لو في هلا نعالجه وندعس.
أما مشكلتي مع ثمانية أو يعني الإدارة فهي تناقض مشكلتي مع أبوعيد
ألا وهي أن حنا فريق. مايحتاج تاخذ وضعية العميل وأنا ما يحتاج أبيعك الفكرة.
تحدى فكرتي اسألني إذا تحس في شي مو واضح علمني كل الثغرات وقولي يحتاج تشتغل على كذا كذا كذا. أو الحالة الأمثل أنك تفكر معي بحلول إبداعية.
ما أدري إذا الكلام طالع ضبابي ومو واضح لكن فكرتي بشكل عام ما يحتاج أنا كموظف أحس أن في بيف بين الإدارات ويكون العمل اللي اشتغلت عليه هو الضحية.
شكرًا لكم❤️❤️</t>
  </si>
  <si>
    <t>2EzR41D</t>
  </si>
  <si>
    <t>ODXpJ66</t>
  </si>
  <si>
    <t>عبدالله الجبيلة</t>
  </si>
  <si>
    <t xml:space="preserve">أقدّر بإنه متابع وحريص جدًا على جودة المحتوى وتقديمه بالشكل المطلوب، واتمنى منه قوّة الإلتزام في مواعيد الإجتماعات والتواجد الدائم في مجريات العمل. </t>
  </si>
  <si>
    <t xml:space="preserve">سلس في العمل بشكل عام ومتفهم لظروف الفريق.  </t>
  </si>
  <si>
    <t xml:space="preserve">يُشرك فريق العمل في مهام مختلفة وهذا الشيء يعزز من روح التواصل بيننا، ولكن اتمنى منه الحرص على تبنّي وتوجيه الأعضاء الجدد واحتوائهم، وتطوير مهاراتهم. </t>
  </si>
  <si>
    <t xml:space="preserve">دائما اجده داعم ومؤيد وواثق بفريق العمل. </t>
  </si>
  <si>
    <t xml:space="preserve">أشعر بالراحة في مشاركة أرائي، يزرع ثقة عالية في أعضاء الفريق، مبدع ومفكر رائع دائمًا يجد حلول ذكية. </t>
  </si>
  <si>
    <t xml:space="preserve">الإلتزام بالوقت، التواجد بشكل أكبر في الإشراف على سير العمل، الحرص على التمسّك بزمام الأمور وإنهائها. </t>
  </si>
  <si>
    <t>لدي ملاحظة عامة على قسم مخرج ثمانية، أرى بإن مخرج لديها طاقة إبداعية كبيرة ولكن هنالك بعض المشاكل في طريقة سير العمل أجدها دائمًا تعطّل سير الإنتاج، أيضًا أجد بإن هنالك الكثير من الأماكن الشاغرة في مخرج ثمانية لتحقيق نجاحات أعلى في كتابة وإنتاج البرامج، أتمنى بإن يتوسّع قسم مخرج ثمانية بشكل أكبر .</t>
  </si>
  <si>
    <t>vGVb6Og</t>
  </si>
  <si>
    <t>MeEe60M</t>
  </si>
  <si>
    <t xml:space="preserve">أقدر كثير جهود عبدالله في ترتيب ما يستطيع ترتيبه داخل دائرة العمل،
خصوصا في ظل تغير القادة المستمر في فريقنا، واللي يؤثر على وضوح التوجهات على المستوى الأكبر.
أحيانا ألاحظ أننا جميعا نقع في نفس الدوامة بسبب تغير أو غموض بعض القرارات، 
وهذا ينعكس بشكل طبيعي على الفريق كامل.
ومع ذلك، أرى أن ما يقدّمه من وضوح  «قدر المستطاع» ساعدنا على الاستمرار بشكل أو بآخر. </t>
  </si>
  <si>
    <t>1. طريقة عمله بشكل عام جيدة وواضحة
2. أحيانا يكون في جوانب غير واضحة لنا كفريق فيما يخص توزيع المهام على الموظفين.
ويمكن هالشي يساعده يشوف الصورة من زاوية أوسع، أو يكون له سبب أو ضرورة
ويمكن فعلاً هذا الأسلوب الأنسب لإدارة العجلة… ما عندي إجابة قطعية.</t>
  </si>
  <si>
    <t>1. أقدر وامتن مساحة التعبير/القرار المتاحة للفريق بقيادته، هالشي يشعر الموظف بمسؤولية أكبر تجاه العمل.
2. دائمًا متواجد لما يحتاجه الفريق، سواء بسؤال أو مشورة وهذا يساعد كثير بالأيام اللي يكون فيها ضغط عالي، أو الفريق متعب.
ومن ناحية التعامل مع التحديات
أحترم إنه يسمع ويستوعب الوضع قبل ما يقرر. بعدها يتخذ ما يخدم مصلحة العمل.
بشكل عام طريقة قيادته داعمة، وعادلة.</t>
  </si>
  <si>
    <t>أرى إن مساحة التطوير داخل الفريق بشكل عام تحتاج اهتمام أكبر. يشاركني القائد مرئياته كل مرة أطلب ذلك، ويكون داعم وسَمّاع، وهذا شيء أقدّره كثير.
لكن بشكل عام، نحتاج إطار أوضح للتطوير كفريق، مو بس بشكل فردي أو عند الطلب. وجود مسار واضح أو خطة تطوير ينعكس على أدائنا كلنا.
مع ذلك، دعمه حاضر، وردّه على أي استفسار أو طلب مرئيات يساعدني أشتغل بثقة أكبر.</t>
  </si>
  <si>
    <t>أقدّر سماعة لمشاكل الفريق وتقبله للنقاش، وقدرته على احتواء المواقف بهدوء ودعم الفريق وقت الحاجة.</t>
  </si>
  <si>
    <t>أتمنى يكون في تركيز أكبر على تطوير الفريق بشكل شامل، مع وضوح أوسع للرؤية والمسار القادم، بحيث نعرف اتجاهنا كأسلوب عمل وكأهداف.</t>
  </si>
  <si>
    <t>أحب أوضح أن مرئيتي هنا تتعلق بالفريق بشكل عام، وليست مرتبطة بقائد معين بشكل مباشر.
من ملاحظتي أن الزملاء الأقدم هم الأكثر تحمل لعبء العمل، بينما الزملاء الجدد أو الأقل خبرة لم يحصلوا بعد على الوقت الكافي للدخول الفعلي في دورة الفريق أو استلام مهام تساعدهم على إبراز قدراتهم.
هذا الوضع يخلق:
1.  فجوة غير مقصودة في توزيع الحمل.
2. يحد من تطور الموظف على المدى الطويل؛ لأن التركيز المستمر على المهام العاجلة يترك مساحة أقل لاكتساب المعرفة الجديدة التي قد يحتاجها المكان مستقبلًا. 
حيث أن الاعتماد الأكبر على موظفين معينين، رغم وجود طاقات واعدة لدى بقية الأعضاء يمكن الاستفادة منها لو أُتيحت لهم الفرصة بشكل تدريجي ومدروس.
أرى أن حل أزمة التوظيف مستقبلا وتنظيم توزيع المهام سيساهم في إدماج الجميع بصورة أفضل ويخلق توازن صحي داخل الفريق. لكن بالفترة الحالية، يمكن التخفيف من هذا التفاوت عبر توزيع المهام بما يتناسب مع احتياج الفريق  وبعد حل الازمة يمكن وضع كل شخص بمكانه المناسب حسب المهارات. 
أشارك هذه المرئية بهدف تحسين آلية العمل وتعزيز فرص التطور للجميع، 
لأنني مؤمنة أن الفريق يمتلك إمكانيات عالية ومتنوعة ستظهر وتتطور وتفيد المكان بشكل أكبر عند توازن الحمل بينهم</t>
  </si>
  <si>
    <t>Xxdvk64</t>
  </si>
  <si>
    <t>pbDe1LE</t>
  </si>
  <si>
    <t>حسن مخدوم</t>
  </si>
  <si>
    <t>تتطلب طبيعة العمل الكثير من الوقت، ويفضل ايضاح الأولويات قبل توزيع المهام .</t>
  </si>
  <si>
    <t xml:space="preserve">ارى بعض التحيز في طريقة العمل وعدم تقبل الاختلاف والتركيز على بعض التفاصيل التي تختلف من شخص الى اخر. احيانا لا توجد طريقة صحيحه وطريقة خاطئة ولكن بكل بساطه لكل شخص طريقة مختلفة ويجب تقبلها في بعض الاحيان. </t>
  </si>
  <si>
    <t>يعجبني تميكنه للفريق بشكل عام، كما يقوم بشكر الفريق في اوقات مختلف وهذا يشعر الفريق بالتقدير.</t>
  </si>
  <si>
    <t>بالنسبة لم ارى التطور على الصعيد المهني في هذا العمل وطبيعة المهام. ولكن اكتسبت بعض المعرفة حول المجال بشكل عام .</t>
  </si>
  <si>
    <t>اقدر الدعم والتوفر لتقديم الدعم بأي وقت ممكن، واقدر شكره للفريق عند الانجاز . ويعجبني تمكينه للفريق.</t>
  </si>
  <si>
    <t>اعتقد يوجد للتطور في: 
١- تقبل الاختلافات.
٢- التعامل مع الضغط (اوقات بكون الكل تحت ضغط العمل وتراه يؤثر على اسلوب الحوار)
٣- مراعاة اختلاف المناصب عند توزيع المهام.</t>
  </si>
  <si>
    <t>obYZkJe</t>
  </si>
  <si>
    <t>6RNqAyZ</t>
  </si>
  <si>
    <t>هادي جعفر آل مرزوق</t>
  </si>
  <si>
    <t>علي السعو</t>
  </si>
  <si>
    <t>علي جا بوقت الضغط والتوقعات على الفريق فيها كثير، ومع ذلك تحمله بكل مسؤولية، وحاول يوازن بضبط سقف التوقعات بيننا وبين فريق المنتج والادارة، وضحى كثير من وقته الخاص. 
واضح جداً ومباشر في التواصل، وهذا شيء يجب ان يستمر عليه وهو الشفافية، اذا كانت فيه مشكلة يكون مبادر في توضيحها مع الفريق ومناقشتها بكل رحابة صدر</t>
  </si>
  <si>
    <t xml:space="preserve">رائع جداً من ناحية توزيع العمل، ولكن لاحظت ان الفريق شويتين تردد في استقبال الافكار الجديدة والضخمة، علي جاي بخلفية كبييرة جداً من عمله السابق، واراد تطبيق المفاهيم هنا وهناك، يمكن كان افضل لو جلسنا واستمعنا لجاهزية الفريق مع الافكار، بس بشكل عام هو دائماً موجود لاستقبال اي افكار ونقاش زي ماذكرت فوق وهذي نقطة قوية تحسب له. </t>
  </si>
  <si>
    <t>رائع كبداية، واتمنى الاستمرار على نفس النهج</t>
  </si>
  <si>
    <t>ممكن اكثر من متحكم، وهذا اكثر شي اعجبني في اسلوب قيادته</t>
  </si>
  <si>
    <t>كما ذكرت اعلاه، ممكن اكثر من متحكم، واقعي في تقديراته ويحب ما يعمل. ويخاف الله في عمله.</t>
  </si>
  <si>
    <t xml:space="preserve">التركيز على احتياجات واراء واداء الموظفين اكثر، ضغط العمل الان لا يلام عليه، بس ممكن لو نوازن بين هذا وهذا اكثر بيكون افضل. </t>
  </si>
  <si>
    <t>VLAXdaE</t>
  </si>
  <si>
    <t>eqQV66q</t>
  </si>
  <si>
    <t>كريم نصر</t>
  </si>
  <si>
    <t>علي العتيق</t>
  </si>
  <si>
    <t>يتميّز القائد بقدرة واضحة على إيصال المعلومات بشكل دقيق ومباشر، مما يقلل اللبس ويسهّل فهم التوجيهات. كذلك يُظهر مرونة جيدة في إعادة ترتيب الأولويات عند تغيّر الظروف، مع مراعاة احتياجات الفريق. وفي الوقت نفسه، أرى أن تعزيز التواصل الاستباقي ومشاركة الفريق بالصورة الأكبر يمكن أن يرفع فعالية وضوح التوجّه بشكل أكبر.</t>
  </si>
  <si>
    <t>أثمّن جداً نمط القيادة القائم على الثقة ومنح مساحة للتجربة واتخاذ القرار. كما أقدّر تواجده عند الحاجة وتعاونه المستمر. وأعتقد أن تعزيز التواصل الدوري وفتح باب النقاش حول التحديات بشكل أعمق سيضيف قيمة كبيرة ويقوّي دعم الفريق</t>
  </si>
  <si>
    <t>القائد يخلق بيئة عمل قائمة على التعاون ويشجع تبادل المعرفة بين أعضاء الفريق، وهو ما ينعكس إيجابًا على جودة العمل. 
ويُشرك الفريق في المناسبات المهمة. ومع ذلك، قد يكون تعزيز النقاشات الجماعية قبل اتخاذ بعض القرارات مفيدًا في زيادة الشعور بالمشاركة وتوسيع زاوية النظر.</t>
  </si>
  <si>
    <t>يقدّر القائد جهود الفريق ويحرص على بناء علاقات إيجابية داخل العمل، كما يقدّم ملاحظات بنّاءة تساعد على التطور وتحسين الأداء. دعمه للمبادرات وتشجيعه للأفكار الإبداعية يمثل نقطة قوة مهمة. ويمكن تعزيز ذلك أكثر من خلال زيادة المتابعة الفردية وتوفير فرص تعلم إضافية تساعد على تنمية المهارات المهنية.</t>
  </si>
  <si>
    <t>أقدر طريقته في التواصل واحترامه لأفكار الفريق، إضافة إلى دعمه المستمر وتشجيعه لنا على الإبداع والاعتماد على أنفسنا</t>
  </si>
  <si>
    <t>أرى أن تعزيز المتابعة الفردية بشكل منتظم، وإتاحة مزيد من الوقت لمناقشة التحديات خلال فترات الضغط، قد يساهم في تحسين التنسيق ورفع مستوى أداء الفريق</t>
  </si>
  <si>
    <t>لا توجد ملاحظات إضافية، سوى مواصلة دعم الفريق وتمكينه، مع النظر في توسعة الفريق لتخفيف الضغط وتحسين جودة الأداء</t>
  </si>
  <si>
    <t>gD17bv1</t>
  </si>
  <si>
    <t>Gx8MMp2</t>
  </si>
  <si>
    <t>فيصل الحسين</t>
  </si>
  <si>
    <t>واضح جدا</t>
  </si>
  <si>
    <t>لا نوجد ملاحظات</t>
  </si>
  <si>
    <t>يشجع على التَعلم، ومهتم بتطوير الفريق.</t>
  </si>
  <si>
    <t>أنه يحسن تحديد المهام.</t>
  </si>
  <si>
    <t>التواصل الفعال... احيانًا يكون هناك جوانب اغفلها بسبب عدم ادخالي ب" اللوب"</t>
  </si>
  <si>
    <t>PdL7QDQ</t>
  </si>
  <si>
    <t>q4G6R5O</t>
  </si>
  <si>
    <t>أقدّر كثيراً وضوح علي في شرح الأولويات وحرصه على تفهّم التعقيدات التقنية التي نواجهها في المهام المختلفة، وهذا يساهم في تسهيل العمل ويعكس دعماً حقيقياً للفريق.
ورغم ذلك، تواجهنا أحياناً مواعيد تسليم تبدو غير واقعية بسبب ضغوط خارجية. في مثل هذه الحالات، أرى أنه سيكون من المفيد للفريق لو تم توضيح هذه التحديات للإدارة العليا بشكل أكبر، بما يضمن توافق التوقعات مع قدرات الفريق ويُسهم في تحقيق نتائج ذات جودة عالية دون ضغط غير مبرر.</t>
  </si>
  <si>
    <t>يتميّز علي بقدرة لافتة على التفويض وبمنح الفريق مستوى عالٍ من الثقة، مما يعزز الشعور بالتمكين ويفتح المجال أمام تنمية المواهب داخل الفريق. كما يُظهر روح تعاون استثنائية، إذ لا يتردد في تقديم الدعم حتى في المهام البسيطة، الأمر الذي يعكس التزامًا حقيقيًا بنجاح الفريق ويدعم بيئة عمل إيجابية.
وفي المقابل، أرى أن هناك مجالاً محدوداً للتحسين يتعلق بمواءمة ما يعبّر عنه شفهيًا من تفهّم لتحديات ومشاعر الفريق خلال فترات الضغط، مع الخطوات العملية التي تعكس هذا التفهّم بصورة أوضح. تعزيز هذا الجانب من شأنه أن يرفع من فعالية الدعم المقدم ويعزز توازن الفريق في الفترات الصعبة.</t>
  </si>
  <si>
    <t>يتميّز علي بأسلوب قيادة قريب من الفريق، مما يخلق علاقة يسودها الاحترام والثقة ويجعل التواصل معه سهلاً ومباشراً. لطيف في تعامله ومحفّز في توجيهاته، ويسهم أسلوبه الإيجابي في تعزيز روح المبادرة داخل الفريق.
كما يمتلك قدرة واضحة على اكتشاف إمكانيات الأفراد وتقدير ما يميّز كل شخص، ويحرص على تمكين أصحاب الأفكار والخبرات القيّمة من تطبيقها على نطاق أوسع داخل الشركة، بما يعود بالنفع على الفريق ككل. هذا النهج يعكس قدرته على توظيف المهارات في أماكنها المناسبة وتحويلها إلى قيمة حقيقية تُسهم في تطوير العمل.</t>
  </si>
  <si>
    <t>أُثمن كثيرًا حرص علي المستمر على عقد اجتماعات دورية معي لمشاركتي مرئيات بنّاءة وتوضيح نقاط القوة وفرص التطوير. كما أقدّر تشجيعه لي على تطبيق النهج نفسه مع فريقي، إذ أرى أن هذا الأسلوب يعزز التطور المهني بشكل منظّم ويسهم في رفع كفاءة الفريق بصورة ملحوظة.</t>
  </si>
  <si>
    <t xml:space="preserve">	- يبني بيئة عمل قائمة على الثقة والتمكين.
	- يمتلك قدرة مميزة على اكتشاف نقاط القوة لدى أعضاء الفريق وتوظيفها بالشكل الأمثل.
	- يشجع على تبادل المعرفة ويحفّز التعاون بين أعضاء الفريق.
	- يتعامل بلطف واحترام.
	- يدعم المبادرات البنّاءة ويتيح الفرصة لتطبيق الأفكار الجديدة على نطاق أوسع.
	- متعاون ومستعد لتقديم المساعدة حتى خارج نطاق مهامه المباشرة.</t>
  </si>
  <si>
    <t xml:space="preserve">
	- تحسين آليات التواصل المتعلقة بتوقعات العمل والجدولة الزمنية لضمان وضوح أكبر وتقليل الضغوط.
	- إظهار حزم أكبر عند التعامل مع طلبات خارجية غير واقعية قد تُرهق الفريق أو لا تتناسب مع قدراته.
</t>
  </si>
  <si>
    <t>44RAelX</t>
  </si>
  <si>
    <t>b5ePb62</t>
  </si>
  <si>
    <t>علي لا يغفل عن تفصيله شاركتها او شاركها الفريق معه سابقاً. وغالباً ما يبلغني فور تغير الأولويات أو الأهميات.</t>
  </si>
  <si>
    <t>بالعادة أستشير علي عند الضرورات وعند تضارب الأولويات. كان علي متفهم دائماً للصورة العامة وللتحديات، ويدعم الرأي والتوجه الموضوعي الغالب لمصلحة الفريق أو المؤسسة. علي لا يتجاوب فوراً بالعادة، لكنه لم يتأخر عن اطار ١٢ ساعة في الرد.</t>
  </si>
  <si>
    <t>من ابرز ما يميز علي كمدير هو هذه النقطة حقيقةً، مستمع جيد للتحديات، يحفز صناعة القرار ضمن الأولويات وأطر العمل العامة ويعطي الثقة لصانع القرار. يجعل من مشاركة الأداء وتحمل المسؤوليات مهمة سهلة وذاتية.</t>
  </si>
  <si>
    <t xml:space="preserve">لا اذكر مرة واحدة لم يذكر علي فيها انجازاتي او انجازات الفريق في كل المناسبات التي تدعو لذلك. في نقاش سابق حول اهمية مبادرة في استمرارية الفريق، لم يتوانى عند دعمها ضمن شروط واتفاق مسبق </t>
  </si>
  <si>
    <t>مبادلة الثقة وتحميل المسؤولية ذاتياً، الهدوء والاستماع جيداً، التوجيه البناء واللامزعج، التقدير والاثناء ودعم المبادرات الايجابية</t>
  </si>
  <si>
    <t>تواصل أسرع.</t>
  </si>
  <si>
    <t>ODyLx5R</t>
  </si>
  <si>
    <t>2Ybzdj</t>
  </si>
  <si>
    <t>مستمع جيد جدا، وبالتالي تواصله واضح أيضا
يحاول يوضح للفريق أولوياتهم بشكل مكتوب حتى تبقى كمرجع</t>
  </si>
  <si>
    <t>أعتقد في مجال للتحسين في مسألة الوعي والتفهم لتحديات الفريق
علي بعض الأحيان يفقد أعصابه عندما تكون أحد النقاط غير واضحة أو تكررت أحد المشاكل، يمكن التواصل الكتابي والسريع في بيسكامب يعطي هذا الانطباع، بس بالتأكيد هذا الانطباع موجود</t>
  </si>
  <si>
    <t>الأفضل في التشجيع والدعم للفريق</t>
  </si>
  <si>
    <t>يعطيني مرئيات عن أدائي بشكل متكرر، يطلب اجتماعات محطة كل فترة</t>
  </si>
  <si>
    <t>الثقة اللي يعطيها للفريق وتعلمت الكثير من علي في هذا الجانب
وكذلك الدعم اللي يتبع هذه الثقة</t>
  </si>
  <si>
    <t>-التعاطف مع الفريق في المستويات الأقل وفهم تحدياتهم أكثر
-أداء الفريق رائع من ناحية تواصل وثقافة، لكن فنيا وتقنيا نحتاج اننا نرفع الbar قليلا، رفع الbar هذا يتطلب تواصل top-down من أعلى الهرم، ومن ثم إتاحة مساحة ووقت للجميع حتى يخرجوا من منطقة الراحة ويبدؤوا بإنجاز المهام بمعايير جديدة. لكن اذا اعتمدنا على كل فريق وقائده في ضبط معايير فريقه فسيكون هناك تفاوت وبطء في الحركة</t>
  </si>
  <si>
    <t>gD184el</t>
  </si>
  <si>
    <t>Bzd0aPY</t>
  </si>
  <si>
    <t>ممدوح</t>
  </si>
  <si>
    <t>رغم انشغاله مع الدوري والافرقه وان فريق الذكاء لايوجد به غيري الا انه وفر الوقت والجهد للتخطيط معي قد مايقدر.</t>
  </si>
  <si>
    <t>أحب جدا كيف يعطي الفريق الثقة والمسؤولية</t>
  </si>
  <si>
    <t>ممتازة ويخلي الفريق يساعد باتخاذ قرارات مهمة</t>
  </si>
  <si>
    <t>من ناحية التطوير ف هو يهتم بذلك خصيصا من ناحية العلاقات لكن من ناحية التقدير سأكمل رأيي بالكلمة الاخيرة</t>
  </si>
  <si>
    <t>- اعطاء الثقة والمسؤولية
- التفهم والسلاسة بالعمل
- الوضوح بالتسليمات</t>
  </si>
  <si>
    <t xml:space="preserve">- لا أشعر بالتقدير </t>
  </si>
  <si>
    <t>القائد عظيم جدا لكن فقط مشكلة التقدير هي الوحيدة اللي احس فيها واعذره لانضغاطه وانشغاله</t>
  </si>
  <si>
    <t>gDpX0vK</t>
  </si>
  <si>
    <t>5B4QVgM</t>
  </si>
  <si>
    <t>حسين العلي</t>
  </si>
  <si>
    <t xml:space="preserve">كان صعب جدًا تمييز الأولويات وتنظيم العمل خلال الفترة الماضية </t>
  </si>
  <si>
    <t>مرعب في عمله وحجم المسؤوليات الي يتحملها والساعات الي هو متواجد فيها. 
كونه متطرف حتى النخاع في ساعات العمل، يخليننا نقتدي به ونتطرف أيضًا</t>
  </si>
  <si>
    <t>كانت القرارات غالبًا مأخوذة مسبقًا وخارج مساحتنا في العمل، كان دورنا تنفيذ أغلب الوقت.</t>
  </si>
  <si>
    <t xml:space="preserve">كانت المحطات واللقاءات الدورية رائعة في كشف نقاط الضعف، لم تكن بالضرورة جيدة في علاجها </t>
  </si>
  <si>
    <t>مستمع ممتاز، متفاني بأدق التفاصيل، يرمينا في أماكن جديدة نستكشفها</t>
  </si>
  <si>
    <t>التمكين الكافي من حيث الصلاحيات والتعريف لدى الأطراف الأخرى، التأني في التواصل وتسليم المهام والمشاريع، توضيح الأولويات الحقيقية ومساعدتنا على التركيز أكثر، معالجة تحديات هيكلة المنظمة في نطاق عمل أقسام التقنية</t>
  </si>
  <si>
    <t xml:space="preserve">منذ بدأت العمل في ثمانية وحتى اليوم وأنا أشعر أن ثمانية تأخذ جهد ولا تعطي خبرة أو معرفة. 
كما أن الجهد والعمل وقائمة الشغل المستعجل لا منتهية. 
أتمنى أن تكون «حمّى الدوري» فقط وأن الحال الطبيعي مستدام أكثر من شكله اليوم. </t>
  </si>
  <si>
    <t>Bzq2Mr5</t>
  </si>
  <si>
    <t>Y5GL5kW</t>
  </si>
  <si>
    <t>خالد أبو ندى</t>
  </si>
  <si>
    <t>القائد يمتلك قدرة جيدة على إيصال الرسالة وتحديد المسارات الواضحة للعمل، وهذا ينعكس بشكل إيجابي على أداء الفريق. ومع ذلك، قد يُعزّز العمل أكثر من خلال زيادة وضوح القرارات الجديدة ومشاركة تفاصيل الأولويات بشكل أدق عند وجود تغييرات، لضمان مواءمة جهود جميع أعضاء الفريق.</t>
  </si>
  <si>
    <t>أقدّر أسلوب القائد في تمكين الفريق ودعمه لاتخاذ قرارات مستقلة، إضافة إلى تفرغه للإجابة عن الأسئلة وتقديم المشورة. كما يظهر تفهّمًا لتحديات الفريق.
ومع ذلك، قد يكون تعزيز توضيح الخطوات التالية والمتوقع خلال فترات الضغط عاملًا مهمًا لتحسين سير العمل.</t>
  </si>
  <si>
    <t>القائد يوفّر بيئة عمل تعاونية ويعزز تبادل المعرفة، ويبني ثقافة أداء واضحة وعادلة. كما يشرك الفريق في اتخاذ القرار بصورة جيدة. ومع ذلك، قد يفيد إشراك الفريق مبكرًا في بعض التغييرات أو القرارات العليا لتعزيز المشاركة بشكل أكبر.</t>
  </si>
  <si>
    <t>القائد يقدّر جهود الفريق ويعزز بيئة إيجابية، مع مستوى جيد من دعم المبادرات. قد يكون من المفيد تعزيز مشاركة الملاحظات البنّاءة بصورة أوضح وأكثر انتظامًا لدعم التطور المهني بشكل أفضل.</t>
  </si>
  <si>
    <t>أقدّر في أسلوب قيادته قدرته على خلق بيئة عمل إيجابية تشجّع على التعاون وتبادل المعرفة بين أعضاء الفريق. كما يتميّز بالوضوح في التوجيه، وإعطاء الفريق مساحة للاستقلالية والثقة، مما يعزز روح المبادرة والمسؤولية. هذه الممارسات تسهم بوضوح في نجاح الأعمال وتماسك الفريق، وأرى أهمية الاستمرار عليها.</t>
  </si>
  <si>
    <t>أرى أن المرحلة القادمة قد تستفيد من تعزيز جوانب التطوير المهني عبر مشاركة ملاحظات بنّاءة بشكل أكثر انتظامًا وعمقًا، لأنها تساعد الأفراد على فهم نقاط التحسين بشكل أوضح. كما قد يساهم إشراك الفريق مبكرًا في بعض القرارات أو التوجهات الجديدة في زيادة الوضوح وتقليل التشتت خلال فترات الضغط.</t>
  </si>
  <si>
    <t>eq78bqx</t>
  </si>
  <si>
    <t>71LOK55</t>
  </si>
  <si>
    <t>يمان العرضي</t>
  </si>
  <si>
    <t>يحتاج يكون أوضح في التوقعات من الفريق، عادة أتفاجئ من توقعاته بعد فترة وليس بشكل مسبق.</t>
  </si>
  <si>
    <t>يحتاج يتفهم التحديات اللي يمر فيها الفريق، خصوصًا مع ضغط الدوري. في بعض النقاشات أشعر أن تعليقاته كأننا في وضع مثالي.</t>
  </si>
  <si>
    <t>يحتاج إذا ذكر سلبية، يعطي مقترح لتحسينها. يتكرر أنه يذكر سلبيات دون وضوح كيف تحسّنها.</t>
  </si>
  <si>
    <t>- يحرص على الإنجاز.
- يشتغل بيده حتى لو خارج نطاق عمله.</t>
  </si>
  <si>
    <t>- يظهر تقدير أكثر.
- يظهر تفهّم للتحديات.
- يساعد في حل التحديات، عادة يرد على التحديات بردول مثل «أتفق معك....» بس بدون حلول.</t>
  </si>
  <si>
    <t>QKWyykl</t>
  </si>
  <si>
    <t>Pd1q6AQ</t>
  </si>
  <si>
    <t>أديب تويت</t>
  </si>
  <si>
    <t>عمار قائد مرن ويحاول دائماً أن يضبط الأولويات المناسبة في الوقت المناسب، وعند حدوث أي طارئ يقوم بتغييرها لتناسب الوضع الجديد. يحاول دائماً أن يوضّح لفريق الهندسة أولويات الشركة استباقياً حتى يكون لدينا الوقت الكافي لوضع خططنا.</t>
  </si>
  <si>
    <t>عمار يضع نصب عينه جودة عمل الفريق ويستطيع دائماً أن يكشف "عنق الزجاجة" في سير العمل.</t>
  </si>
  <si>
    <t>أكثر قائد ارتحت بالعمل معه في حياتي المهنية :)</t>
  </si>
  <si>
    <t>يعجبني في عمار صراحته وعدله، عندما يرى ما يعجبه يحفّز ويشجع، وعندما يلاحظ أخطائي يقوم بتوضيحها مباشرة ويقترح طرقاً لإصلاحها.</t>
  </si>
  <si>
    <t>هادئ وعقلاني، متفهم وبنفس الوقت حازم عند الضرورة ولا يتهاون مع التقصير.</t>
  </si>
  <si>
    <t>ما في شي ببالي صراحة</t>
  </si>
  <si>
    <t>سأكون صريحاً هنا..
عمار وعدنا أثناء ضغط العمل على مشروع الدوري أننا سنحصل على مقابل over time
ونحن نعلم أن المانع حالياً من حصولنا عليها هو بعض التعقيدات المالية، لكن هذا من الممكن أن يؤثر على نظرة الفريق لعمار كونه هو الذي قطع هذا الوعد.
أنا شخصياً أتفهم تماماً ما حصل ولا ألومه، لكن أتمنى من فريق الموارد البشرية أن يكون شفافاً مع الفريق ويوضح سبب التأخير لكي يرفع الحرج عن عمار.</t>
  </si>
  <si>
    <t>0Q57KPA</t>
  </si>
  <si>
    <t>y06ag6</t>
  </si>
  <si>
    <t xml:space="preserve">من أعظم ما فيه التعامل بمرونة عالية في المشاريع ففي المشاريع السريعة لا يفرض عليها ما لا نطيق (من تنظيم) في سبيل السريعة و في المشاريع المتأنية الصلدة يعطيها حقها كما يجب و الشيء الخرافي ادارة هذا العدد الهائل من المشاريع و اخراج نتائج . 
و الاهم بالنسبة لي هو القدرة علي التفاعل بسلاسة مع متطلبات فريق المنتج و تحويلها لأولويات في مهامنا دون ان تشعر انه تم "هدم المعبد" </t>
  </si>
  <si>
    <t>قد تكون فترة العمل في مشروع الدوري هي الاقصي كضغط عمل يمكن ان يحصل لاي قائد او موظف بالعموم إلا انه كان دائما يتيح لنا تجربة اشياء كثيرة من طريقة عمل او حتي افكار تقسيم مشاريع.
و ما قد اعتبره مأخذ هو انه قد يتطلب منك ان تقنعه هو شخصيا بالفكرة الجديدة او طريقة التنفيذ حتي و إن أجمع الفريق عليها و قد نتأخر يوم او اثنين بسبب محاولة الإقناع لكن بالتأكيد طالما أنه توجد فرصة لاقناعه فمن الجيد أن يكون القائد معك قلبا و قالبا و أنت تقتحم الصعاب و هو مقتنع بها</t>
  </si>
  <si>
    <t>قد تكون فترتي معه من أكثر الفترات في تجربة أشياء جديدة و العمل مع توليفات مختلفة من الفريق و حتي إقحامي في اشياء خارج نقاط مواضع قوتي.
و من اجمل ما في عملنا الان اننا دائما نجرب في افكار فلان او نعمل علي تطبيق مقترح فلانة و لا يمر 3 اسابيع الا و هنالك شخص  يبدع في حل لكي يساعد كل الفريق.</t>
  </si>
  <si>
    <t>التنوع في تشكيلات الفرق و إتاحة عمل كل عضو في الفريق في اكثر من مشروع هذه نقطة ممتازة و اتمني أن تبقي عليها بحيث تبقي امكانية عملنا في اكثر من مشروع و ان كان بصورة مداورة
 "نقتبس من الرياضة :)"</t>
  </si>
  <si>
    <t xml:space="preserve">اشكر له الإستقالية و اتاحه اعضاء الفريق و تشجيعه للافكار الخلاقة و المبدعة </t>
  </si>
  <si>
    <t xml:space="preserve">اتمني أن نصل مثلما وصل فريقك في راديو من عمل sprints و اخراج release اسبوعي </t>
  </si>
  <si>
    <t>الضغط كبير علي القادة و هو يؤثر عليهم و علي الموظفين خاصة انهم يقومون بكثير من الاعمال الادارية و التقنية الداخلية و الخارجية مع الشركاء ارجوا ان تكون التعينات الاخيرة فرجة لنا و لهم .</t>
  </si>
  <si>
    <t>QKpvL8g</t>
  </si>
  <si>
    <t>rjO667l</t>
  </si>
  <si>
    <t>احمد عمران</t>
  </si>
  <si>
    <t>التواصل وترتيب الأولويات ممتازان حتى الآن. عمار يحرص على إشراك أعضاء الفريق في فالتخطيط للمهام، ويستوضح آراءهم بشكل مستمر.</t>
  </si>
  <si>
    <t>الاهتمام بمشاركة تقدّم العمل على Basecamp ممتاز، وأشجّع على عقد اجتماعات دورية لتعزيز التنسيق بين الفرق المختلفة.</t>
  </si>
  <si>
    <t>عملية المشاركة المستمرة رائعة.</t>
  </si>
  <si>
    <t>يهتم بمشاركة الجوانب الفنية وتحسين الجودة التقنية بشكل مستمر، ويركّز على المهام التي تسهم فعلياً في تحقيق ذلك. ومن أفضل الاجتماعات المرتبطة بهذا الجانب هي “المحطة التقنية”، أستمتع كثيراً بالنقاشات والموضوعات التي يتم طرحها فيها.</t>
  </si>
  <si>
    <t>هادئ ومتعاون، ويحرص على إشراك جميع أعضاء الفريق في النقاش.</t>
  </si>
  <si>
    <t>تطوير آلية تساعد في اتخاذ القرار، بحيث تتيح مشاركة جميع أصحاب الخبرات بشكل منظم وفعّال في عملية اتخاذ القرار.</t>
  </si>
  <si>
    <t>6R5VZ6R</t>
  </si>
  <si>
    <t>A626e1D</t>
  </si>
  <si>
    <t>أنس الردادي</t>
  </si>
  <si>
    <t>عمار دائما متواجد عند الحاجة وحريص على انك تقتنع بالفكرة</t>
  </si>
  <si>
    <t>بيئة الفريق متقبلة للتغيير والتجديد والتطور للأفضل من ناحية العمل، نحرص دائما نراجع الأخطاء ونصححها</t>
  </si>
  <si>
    <t xml:space="preserve">أعتقد احد أهم الأمور الموجودة حالية في الفريق هي البيئة الخالية من اللوم وهي نقطة جيدة للتعلم من الأخطاء ورفع أداء الفريق </t>
  </si>
  <si>
    <t xml:space="preserve">عمار حريص على حضور اجتماعات المحطة وخلال الاجتماعات يعطي تصورات ونصائح تساعد على التحسن والتطور </t>
  </si>
  <si>
    <t>التواصل، والقرب من الفريق على الصعيد الشخصي</t>
  </si>
  <si>
    <t>صراحة هي نقطة واحدة بالنسبة لي مهمة وهي اجتماعات "الريترو" لانها أهم خطوة لتطور الفريق وتحسين جودة العمل. مع الأسف الاجتماعات هذي ما تقام بشكل مستمر دائما وهذا يؤثر علي الفريق على المدى البعيد</t>
  </si>
  <si>
    <t>Gx4jGdO</t>
  </si>
  <si>
    <t>سريع ويلاحظ مشاكل ترتيب الأولويات بسرعة رغم بعده عن تفاصيل المشاريع. واضح جدا في التواصل وشيء ملهم جدا صراحة، رغم إن الفترة الماضية كانت صعبة علينا وفيه مشاكل كبيرة حصلت لكن كان حريص إنه يحافظ على بيئة خالية من أي لوم blame-free culture، هذا الشيئ ساعدنا إنو نحافظ على تواصل ممتاز بين الفرق وبدون أي حساسيات.</t>
  </si>
  <si>
    <t>أكثر شيء أقدره في الفترة الماضية هو قدرة عمار على نقلي إلى مرحلة جديدة وتحسين طريقة رؤيتي للكثير من الأمور لتكون أشمل (to be able to see the big picture).</t>
  </si>
  <si>
    <t>كان فيه عدم وضوح "بسيط" مؤخرا في القرارات، خصوصا فيما يتعلق بتشكيلة الفريق، بالنسبة لي شخصيا لفترة من الوقت كانت الرؤية ضبابية حيال واجباتي خصوصا أني تسلمت مهام قيادية بشكل مفاجئ، لاحقا تم التوضيح لكن لو أني أُعلمت مبكرا كان سيساعدني على الإنجاز بشكل أفضل.</t>
  </si>
  <si>
    <t>حين مواجهة قرارات تقنية صعبة، يكون رأيه مفصلي في اتخاذ قرار بغض النظر عن غياب الوضوح في الرؤية، تعلمت منه أن اتخاذ القرارات في بعض الأحيان أقل كلفة من اتخاذ قرار خاطئ، للمحافظة على التقدم.</t>
  </si>
  <si>
    <t>الثقة بقدراتنا وتشجيعنا على المضي قدما والتعلم من الأخطاء.
فهمه لمختلف شخصياتنا وطريقة التعامل الأنسب، نصائحه حيال تعاملي مع أعضاء فريقي كانت ذهبية.</t>
  </si>
  <si>
    <t>تعزيز التواصل وروح الفريق مع الفرق المعنية بعملنا كفريق المنتج والتصميم.</t>
  </si>
  <si>
    <t>بشكل عام فريق التقنية يمر بتغييرات هيكلية هذه الفترة، وأي فترة تغيير تمر بحالة من الفوضى وعدم الوضوح، خصوصا حيال أدوارنا المختلفة، وضوح الأدوار أمام الجميع سيكون له تأثير إيجابي في سرعة اتخاذ القرارات من قبل قائدي الفرق الجدد، وأعتقد أن الدعم من الموارد البشرية سيكون قيمًا في هذه النقطة.</t>
  </si>
  <si>
    <t>pbM2pb1</t>
  </si>
  <si>
    <t>xXjErjy</t>
  </si>
  <si>
    <t>أحمد الرويحي</t>
  </si>
  <si>
    <t>دائما ما يسأل عن ترتيب الأولويات والمهام، تفكيره منطقي في ترتيبها وتسلسلها</t>
  </si>
  <si>
    <t>غالبا متواجد عند السؤال حتى أيام الإجازة..
ولا يجبر أحد أن يعمل فوق طاقته ويحترم فترات إجازات أعضاء الفريق
ملاحظة: لم أرسل له في الإجازة لكن وجدته يرد على استفسارات الفريق خلال إجازته ومتعاون معهم</t>
  </si>
  <si>
    <t>يحفزني كثيرا ويثني علي كلما وجدني أستقطع من وقتي لتعليم أو تطوير مهارات أحد أفراد الفريق ممن هم أقل مني في المستوى..
يعجبني فيه أنه يشرك الفريق كاملا في اتخاذ القرارات ويستمع للجميع.</t>
  </si>
  <si>
    <t>يشكر دائما ويثني</t>
  </si>
  <si>
    <t>متعاون ومنصف جدا، يتسم بالوضوح والشفافية وغالبا متواجد عند السؤال حتى أيام الإجازة..
ملاحظة: لم أرسل له في الإجازة لكن وجدته يرد على استفسارات الفريق خلال إجازته ومتعاون معهم</t>
  </si>
  <si>
    <t xml:space="preserve">أن يرشح من أثبت جدارته للترقية المهنية والمسمى الوظيفي الذي يستحقه عضو الفريق، وأن يهتم في هذا الأمر
وأن يساعد في تطور أعضاء الفريق إذا ما كان هناك شيء يعرقل التطور والترقية..
لأنه في ظني أني أستحق ترقية، لأن المسمى الوظيفي الذي حصلت عليه: 
- مهندس واجهات خلفية II
بينما مهامي الحالية أعمل ك "قائد ومهندس واجهات أمامية أول" 
في مشروعين على التوازي، مما يدل على كفائتي في هندسة الواجهات الأمامية والواجهات الخلفية، وأيضا خلال أول شهر أستطعت تسليط الضوء على مشاكل كثيرة في المشروع و أقترحت حلول حسنت من جودة أسلوب العمل واتساقه وتنظيمه حتى مع الشركات الخارجية مثل جاكو وحصلت على ثقة الفريق فيني بشكل كبير وعن مقترحاتي وتخطيطي في حل وأداء المهام.
</t>
  </si>
  <si>
    <t>أود لفت انتباههم إلى ماذكرته في "الجوانب التي تتمنى أن يطوّرها القائد في المرحلة القادمة؟"
لأني ناقشته قبل مع "نادين" مستقطبة المهارات وأن المسمى الوظيفي الذي عرض علي - في ظني - أني أستحق مسمى أعلى منه، ولكني قبلت لأني أريد حقا العمل في ثمانية ولم أصبر على مناقشة ذلك الأمر وقلت في نفسي حسنا سأنضم وبعدها سأثبت أهليتي لما كنت أطلبه، وها أنا ذا مستعد لكي يتم متابعتي والتحقق من جدارتي في هذا الأمر، أو أتقبل الرفض والنقد البناء ومعرفة ما ينقصني أو يعرقل ترقيتي.</t>
  </si>
  <si>
    <t>Mel7orA</t>
  </si>
  <si>
    <t>rjO6K5p</t>
  </si>
  <si>
    <t>ياسين حجازي</t>
  </si>
  <si>
    <t xml:space="preserve"> فنان في ضبط الاولويات. وايضا ممتاز في إصال افكارة و أرائه بطريقة جيدة ودون تحيز.</t>
  </si>
  <si>
    <t>منظم و متفهم ودائما في الخدمة اذا احتجته.</t>
  </si>
  <si>
    <t>ممتاز جدا في ادارة الفريق. بعطى الكل الثقة الكاملة لأداء مهامهم مع الرقابة دون تدخل مزعج.</t>
  </si>
  <si>
    <t>واعي بحجم وتعقيد المهام و يقدر المجهودات.</t>
  </si>
  <si>
    <t>تقدير المجهود و الثقة في الفريق.</t>
  </si>
  <si>
    <t>لا يوجد حاليا.</t>
  </si>
  <si>
    <t>6Rer1YA</t>
  </si>
  <si>
    <t>b58Ek2L</t>
  </si>
  <si>
    <t>انه دائمًا عندما يجد الفريق يحيد عن اهداف الدورات يذكرنا بالهدف الاساسي للدوره وتركيزنا عليها اولًا ثم القيام بأي تحسينات تخرى</t>
  </si>
  <si>
    <t>طريقه العمل واضحه دائمًا مما يحفز الثقه لدى الفريق في انجاز المهام في وقتها</t>
  </si>
  <si>
    <t>دائمًا يذكرنا بضروره التعاون والتواصل بين الفريق واننا نعمل اجتماعات ناخد اراء بعض قبل بدء العمل على ميزات جديدة او تطبيق حلول للمشاكل المعقده</t>
  </si>
  <si>
    <t>نجتمع كل فتره مره واحده بنتكلم فيها عن اهدافنا وايش نحتاج نركز عليه الفترة القادمة وايش نحتاج نخلي بالنا منه وده مخلي عندي ثقه و رؤيه واضحه في انجاز المهام</t>
  </si>
  <si>
    <t xml:space="preserve">إدارة الفريق بوضوح الاولويات والاهداف والرؤيه مما يجعل كل شئ واضح لإنجاز المهام وتطوير الفريق </t>
  </si>
  <si>
    <t>أتمنى تطوير عامل طلب الإجازات بحس ان دايمًا بيحصل نقاش بيدور حول كل اجازه وساعات بيتم تقليلها 
كمثال لو في مرحله ضغط في العمل قبلها بفتره ممكن يتم التنويه ان الفتره المقبله هيكون في ضغط شغل ف لو حد محتاج اجازه للراحه قليلًا قبلها يبلغنا لأن وقت مايبتدي ضغط الشغل الاجازات هتكون محدوده او بعد فترة ضغط الشغل ماتخلص يبلغنا لو حد محتاج يأخذ اجازه للراحه 
حاسس ده الجزء الوحيد اللي محتاج تطوير الاهتمام بوضع الفريق من الناحيه النفسيه</t>
  </si>
  <si>
    <t>44qyWyA</t>
  </si>
  <si>
    <t>b58gXa0</t>
  </si>
  <si>
    <t>الاولويات واضحة جداً، وعمار دائما موجود في حال شعرت انك تائه :)
في اجتماع دوري 1-1 ودائما فيه تكون الامور والتوقعات والاولويات واضحة.</t>
  </si>
  <si>
    <t>عمار ما شاء الله دقيق جداً في ملاحظة حتى اصغر الامور في علاقات وتفاعل الفريق. رهيب!</t>
  </si>
  <si>
    <t>لا شيء، منتبه لكل شي ما شاء الله</t>
  </si>
  <si>
    <t xml:space="preserve">عمار واحد من افضل المدراء الي اشتغلت معهم. ما شاء الله كيف يحصل وقت ينتبه لكل شخص في فريقه ويساعده يتطوّر ويتحسن. ومقدّر جداً لجهود وإنجازات الفريق. 
</t>
  </si>
  <si>
    <t xml:space="preserve">بغض النظر عن بيئة ثمانية الممتازة، الشغل مع عمار وحدة من الاشياء الي بتخلي الموظف سعيد وراضي في وظيفته. مقدر وداعم لكل اعضاء الفريق. وما يسلك اذا شاف سلوك يحتاج تحسين وتطوير منك بل يوصله لك بطريقة تساعدك انك تحسنه. وجود عمار مكسب كبير للفريق. </t>
  </si>
  <si>
    <t xml:space="preserve">لا شيء </t>
  </si>
  <si>
    <t>J8b7BWR</t>
  </si>
  <si>
    <t>71LONEz</t>
  </si>
  <si>
    <t>محمد عاصم عبدالله</t>
  </si>
  <si>
    <t>واضح ويحاول مساعدة الفريق وتجنب المشكلات واعادة ترتيب الاولويات طبقا لاحتياج الشركه</t>
  </si>
  <si>
    <t>طريقة عمل ممتازه يحاول المساعدة وتحليل المشكلات والتنبيه على النقاط التي يحتاجها الفريق او لو يأخذها ف عين الاعتبار</t>
  </si>
  <si>
    <t xml:space="preserve">اقدر تفهمه لمجهود الاشخاص وتقديره لهم وتحفذيهم وتقبل النقد </t>
  </si>
  <si>
    <t>اعتقد انها نقطة تحتاج ان تكون موجوده بشكل اكبر ووضع خطه مع الشخص لتنمية مهاراته</t>
  </si>
  <si>
    <t>محاولة تنظيم طريقة العمل، خلق بيئه سليمه، عدم الضغط عالاشخاص، مساعدة اي شخص ف وقت الحاجه، انتباهه للتفاصيل والتركيز عليها</t>
  </si>
  <si>
    <t>وضع خطط لتنمية مهارات الشخص واعداده للمراحل المتقدمه</t>
  </si>
  <si>
    <t>kd1XEvZ</t>
  </si>
  <si>
    <t xml:space="preserve">محمد مصطفى محمد </t>
  </si>
  <si>
    <t xml:space="preserve">القائد واضح في تواصله وترتيب أولوياته ويتخذ قرارات فعّالة، مع إمكانية تعزيز مستوى التفصيل لضمان فهم أدق داخل الفريق.
</t>
  </si>
  <si>
    <t>القائد يمنح استقلالية واضحة ويتجاوب عند الحاجة ويُظهر تفهّمًا جيدًا للضغوط، مع إمكانية تعزيز التواصل الاستباقي لدعم الفريق بشكل أكبر.</t>
  </si>
  <si>
    <t xml:space="preserve">القائد يعزز التعاون ويبني ثقافة أداء واضحة، لكن يحتاج إلى إشراك الفريق أكثر في القرارات، حيث يتم اتخاذ بعض القرارات دون الرجوع لهم، ومن الأفضل مناقشتها معهم أولًا لضمان توافق أكبر.
</t>
  </si>
  <si>
    <t xml:space="preserve">القائد يقدّم دعماً فعّالاً عبر مشاركة مرئيات بنّاءة وتشجيع المبادرة، مع إمكانية تعزيز المتابعة المستمرة لتطوير مهارات الفريق بشكل أعمق.
</t>
  </si>
  <si>
    <t>أقدّر وضوحه في التوجيه، ودعمه المستمر، وتشجيعه على المبادرة والعمل بروح الفريق.</t>
  </si>
  <si>
    <t>أتمنى تعزيز إشراك الفريق في القرارات بشكل أكبر ورفع مستوى المتابعة والاستماع لمرئيات الأعضاء قبل اعتماد التوجهات.</t>
  </si>
  <si>
    <t>q4MQVDg</t>
  </si>
  <si>
    <t>xE6M8J</t>
  </si>
  <si>
    <t>عمار ملم بالسياق ويتذكر تفاصيل الأمور بشكل ممتاز.</t>
  </si>
  <si>
    <t xml:space="preserve">أكثر ما يلفتني هو إنه يتخذ إجراء مباشرة ولا يؤجل أو يهمل أي مهمة مهما كانت صغيرة أو غير عاجلة بل يعطيها اهتمام ويعالجها بأقرب فرصة، يقترح خطوة عملية تساعد في الحل أو تحسين الوضع عمومًا وهذا يدل على مسؤولية حقيقة تجاه العمل والفريق. </t>
  </si>
  <si>
    <t>التعاطف والتشجيع المستمر وحسن الانصات كلها أمور ممتازة عند عمار.</t>
  </si>
  <si>
    <t>ودي أشيد بوقفة عمار معي ومساعدتني على مواصلة العمل خلال أيام حرجة مثل أيام إطلاق مشروع الدوري حيث كان الاحتياج في أقصاه، ما قصر مشكور كان يتابع أدائي بشكل يومي ويحرص على انجاز المطلوب بدون ما يشكل ضغط علي.</t>
  </si>
  <si>
    <t>عمار قادر على خلق جو لطيف داخل الفريق والحقيقة أن خفة دمه كانت تنقذ أصعب الأيام.</t>
  </si>
  <si>
    <t>بعض قراراته ما تصيب أحيانًا، أتمنى لو تحصل فرصة لتقييم عواقب الأمور بشكل أفضل.</t>
  </si>
  <si>
    <t>للتنويه أنا عملت مع عمار آخر أربعة شهور تقريبًا وما كان مُعين كمدير لي بشكل مباشر وواضح (صار التغيير فجاءة) لذلك ممكن تكون مرئياتي غير دقيقة بعض الشيء لكن حاولت أشارك بعض الأمور اللي التمستها خلال العمل معه على أحد مشاريع الدوري.</t>
  </si>
  <si>
    <t>aQoYVPq</t>
  </si>
  <si>
    <t>2EBQ6p8</t>
  </si>
  <si>
    <t>عبدالله رجب</t>
  </si>
  <si>
    <t>بيتواصل بوضوح وبيوضح الاتجاه والأهداف للفريق، وعنده قدرة ممتازة في تحديد الأولويات.
مثال: في بداية انضمامي للفريق، وضّح إن التركيز حاليًا على الـ business features مش الـ architecture العميقة، لأن الفريق لسه في مرحلة بناء ومحتاجين نكمّل الـ hiring الأول. الوضوح ده ساعدني أبدأ بسرعة وأركز في المكان الصح.</t>
  </si>
  <si>
    <t>متاح ومتجاوب عند الحاجة، مما يساعد في حل التحديات بسرعة.
مثال: في بدايه انضمامي للفريق كان في اشياء كثيره غير واضحه ساعدني كثيرا في البدايه مع الفريق 
فرصة تطوير:
 الأولويات بتتغير بسرعة بسبب التحديات اللي بنواجهها. لو قدرنا نشارك التغييرات دي بشكل أسرع (مثلاً: رسالة سريعة في basecamp أو update في standup)، دا هيساعدنا نعدّل خططنا والمشاريع المستقبلية بشكل أفضل ونتجنب العمل علي اشياء اقل اهميه.</t>
  </si>
  <si>
    <t>يشجع التعاون وتبادل المعرفة داخل الفريق.
مثال: ما بياخد ال inputs دايما من الاكثر خبره في الفريق يسأل دايمًا: مين عنده خبرة في الموضوع ده ممكن يساعد ؟
فرصة تطوير:
ممكن نعزز دا أكثر بـ جلسة شهرية قصيرة (30 دقيقة) كل واحد يشارك فيها شيء تعلمه أو best practice.ظ</t>
  </si>
  <si>
    <t>يقدّر الجهد ويشجع المبادرة، والـ feedback اللي يعطيه بنّاء ومفيد.</t>
  </si>
  <si>
    <t xml:space="preserve">يحرص على خلق بيئة تعاونية وثقافة عمل واضحة. متاح ومتجاوب عند الحاجة، ويظهر فهماً لتحديات الفريق. هذه الممارسات تساهم في نجاح الفريق.
</t>
  </si>
  <si>
    <t>1. زيادة مشاركة الفريق في اتخاذ القرارات بشكل منتظم (مثلاً: 
   جلسة أسبوعية للاستشارة) - دا هيعزز جودة القرارات والالتزام 
   بالتنفيذ.
2. إيصال جهود الفريق وتحدياته للإدارة بشكل أوضح - دا هيساعد 
   في تقدير المجهود وتخفيف الضغط والحصول على الدعم المناسب.</t>
  </si>
  <si>
    <t>لا توجد مرئيات إضافية في الوقت الحالي</t>
  </si>
  <si>
    <t>ZjXPb60</t>
  </si>
  <si>
    <t>67KoZYJ</t>
  </si>
  <si>
    <t>ترتيب جيد للمهام ووضوح الاولويات</t>
  </si>
  <si>
    <t>متاح عند الحاجة ولا يتأخر عند طلب مساعدة او اجتماع. اشعر  بالتحيز نحو طريقة عمل معينة حتي لو تم الاختلاف عليها من قبل اعضاء الفريق مما يؤدي الي الاحساس بعدم الاستقلالية كما يؤثر على مشاعر الفريق اذا كانت الطريقة تسبب ضغط اثناء العمل</t>
  </si>
  <si>
    <t>يتم تنبيه الفريق عند اتخاذ القرارات ولكن لا يتم مشورتهم</t>
  </si>
  <si>
    <t>يشجع على المبادرة بشكل واضح وفعال، لكن لا يتم مشاركة مرئيات تساعدني على التطور</t>
  </si>
  <si>
    <t>طريقة عمل منظمة وواضحة</t>
  </si>
  <si>
    <t>الاهتمام بتطوير اعضاء الفريق</t>
  </si>
  <si>
    <t>GxgAyYe</t>
  </si>
  <si>
    <t>6Rbgve2</t>
  </si>
  <si>
    <t>عملت مع عمار لمدة شهرين، وكانت التجربة محدودة لكنها كشفت بعض التحديات، في أوقات معينة، كان من الصعب تمييز ما هو عاجل عمّا هو مهم، مما أثّر على ترتيب الجهود داخل الفريق، رغم ذلك، كانت تجربة مفيدة.</t>
  </si>
  <si>
    <t>لم تكن الصورة العامة للعمل واضحة دائما، وكان على الفريق بذل جهد إضافي لفهم الاتجاه أو الهدف من بعض المهام.</t>
  </si>
  <si>
    <t>القيادة خلال فترة العمل معه بدت مركزية إلى حدّ كبير، مما قلل من مساحة المبادرة لدى الفريق، يمكن تعزيز التجربة أكثر عبر إشراك الفريق في صناعة القرار وإتاحة مساحة أكبر للنقاش والتجربة..</t>
  </si>
  <si>
    <t>في أحيان كثيرة، كان الفريق يعمل دون ملاحظات بنّاءة.</t>
  </si>
  <si>
    <t>أسلوب قيادته للفريق كان عمليا أكثر من كونه تشاركيا، مما جعل التواصل أحيانا يتجه من الأعلى إلى الأسفل (الهرم المقلوب).
لديه حضور قوي وقدرة على تحريك العمل عند الحاجة، ويمكن أن يضيف الكثير لو ركّز أكثر على إشراك الفريق في القرارات اليومية.</t>
  </si>
  <si>
    <t>من الجوانب التي تحتاج إلى تطوير هي إدارة المواعيد والاجتماعات؛ فقد كانت تتغيّر بشكل متكرر ودون إشعار كاف، مما سبّب ضغطا واضحا على التوازن بين العمل والراحة، وأثّر على تركيز الفريق..
تعزيز حسّ التنظيم والاتساق في القرارات، فهما أساس الثقة في أي فريق ..</t>
  </si>
  <si>
    <t>التعامل مع بعض المواقف، خصوصا تلك التي تخص الأعضاء الجدد، احتاج إلى قدر أكبر من التأنّي والإنصاف، إذ شعر بعض الأعضاء بأن الموقف حُسم بسرعة دون النظر إلى الصورة الكاملة.</t>
  </si>
  <si>
    <t>zxvAvkE</t>
  </si>
  <si>
    <t>EkdPM6X</t>
  </si>
  <si>
    <t>عمر الغامدي</t>
  </si>
  <si>
    <t xml:space="preserve">التواصل مع عمر ممتاز جدًا، يعيبه احيان التأخر في الردود - اربع ساعات تقريبًا - في بعض الأحيان. عدا عن ذلك فهو ممتاز وواضح جدًا في تفاعلاته معنا كفريق. </t>
  </si>
  <si>
    <t xml:space="preserve">ممتازة جدًا، عملت مع العديد من القادة وعمر الغامدي يُعد من أفضلهم من ناحية التمكين والثقة. وأجده حاضرًا للمساعدة والدعم حينما تواجهني مشكلة ما. </t>
  </si>
  <si>
    <t xml:space="preserve">أود أن تستمر روح القيادة هذه المبنيه على المشاركة في اتخاذ القرارات، والدعم والاشادة عند تقديم عمل ممتاز والمحاسبة عند التقصير. </t>
  </si>
  <si>
    <t xml:space="preserve">صدقًا لم تصلني مرئيات سلبية من طرف القائد حتى الآن، ولكن أود دائمًا أن تكون المرئيات حاضرة في عملنا المستمر وأن لا ننتظر فترة التقييمات حتى نعطيها. 
أفضل شيء تقدمه لعضو فريقك هو أنك تعلمه كيف يتطور وتعتمد عليه أكثر. </t>
  </si>
  <si>
    <t xml:space="preserve">أقّدر فيه جدًا مدى احترامه للجهود التي نبذلها وتقديره لعملنا 
وقدرته العجيبه على توزيع المهام بشكل متساوي بين أعضاء الفريق 
وتوظيف كل شخص منا حسب قدراته وامكانياته. 
قائد رائع محظوظه اني اعمل معه واتعلم منه. </t>
  </si>
  <si>
    <t xml:space="preserve">وجود اجتماع الفريق الدوري، ليس شرط أن يتم اسبوعيًا. مرتين بالشهر اظنها كافيه حتى تبقي الجميع على اطلاع وتقدم لنا فرصة لتدارك اي تعارضات او مشكلات متوقع حدوثها. </t>
  </si>
  <si>
    <t xml:space="preserve">أظن فريق التحرير الآن بمختلف أنواعه اصبح أكثر استقرار ونضج ووضوح بطريقة عمله من أي وقت سابق. شكرًا لكل من ساهم في وصول الفريق لهذه النقطة. </t>
  </si>
  <si>
    <t>44qMDyY</t>
  </si>
  <si>
    <t>ZjoAN6y</t>
  </si>
  <si>
    <t>عبدالله عيسى</t>
  </si>
  <si>
    <t>ماعندي الكثير لأقوله</t>
  </si>
  <si>
    <t>يحب يشوف تطور الفريق</t>
  </si>
  <si>
    <t>أتمنى يصير يشاورنا أكثر بأتخاذ القرارات</t>
  </si>
  <si>
    <t>بيساعدني اسوي دليل لبرنامج معين، بيفيد الفريق كامل ويسرع وتيرة الإنجاز.</t>
  </si>
  <si>
    <t>عمر رائع، يعطي نصائح،يحاول يطور الفريق، يعطيني مشاريع إضافية تكون مختلفة شوي، وفيها تحديات وهو شي ممتاز جدًا للي يبغا يتطور.</t>
  </si>
  <si>
    <t xml:space="preserve">مرات يتأخر بالرد
ما يحب التواصل بالهاتف، 
</t>
  </si>
  <si>
    <t>اتمنى تأكدوا للقادة بشكل عام انو التواصل المباشر فعال اكثر من الكتابة والرسائل 
لان في مجال عملنا مهم جدا إيصال الفكرة بنفس اللحظة اللي نواجه فيها المشكلة 
ارفع جوالي واتصل ما ادخل و ابحث عن اسم الشخص و اقعد اكتب جريدة عشان اوضح المشكلة وانتظر الرد. 
هو للأمانة لما ادق ما يرفض الاتصال بس دايمًا تحس انه يفضل التواصل بالرسائل.
بشكل عام عمر ممتاز وما يقصر مع الفريق ولما يكون في ضغط مرات كثير هو يشيل العمل بنفسه ما يوكله ل احد ثاني بالفريق.</t>
  </si>
  <si>
    <t>VLAX7Zy</t>
  </si>
  <si>
    <t>Y501DLN</t>
  </si>
  <si>
    <t xml:space="preserve">القائد يدخل معنا في المهام احياناً وهذا شي جيد،
</t>
  </si>
  <si>
    <t xml:space="preserve">قد لاتعني القائد بشكل مباشر ولكنه يمكنه المساهمه في حلها .
بعض الملاحظات انه بدا التعود ان ايام العمل هي ٧ ايام كامله 
+طلب الفزعات كثر وهذا يجعلني استريس طول الوقت
+عندما اكافي نفسي بانحاز المهام في وقت اقصر من الطبيعي فهذا يعني مزيدا من المهام 🔂
+لاتقدير للوقت المطروح صباحي او مسائي في البرفايل
</t>
  </si>
  <si>
    <t>القائد مجتهد ويحب حل المشاكل، ولكنه اتمنى ان يكون متواجد بسرعه اكبر عند وحود المشكله</t>
  </si>
  <si>
    <t>من الجيد انه يدخل معنا في المهام وليس رميها فقط كان يقول ليست مشكلتي</t>
  </si>
  <si>
    <t>متواضع</t>
  </si>
  <si>
    <t>كيفه حل سبب المشكله وليس حل المشكله .وهذا يعني التواصل مع الاقسام الاخرى والتعمق في اصلها</t>
  </si>
  <si>
    <t>RGaBZ5P</t>
  </si>
  <si>
    <t>5BjDk2N</t>
  </si>
  <si>
    <t>محمد الديني</t>
  </si>
  <si>
    <t>عملت في الاذاعة لفترة ووجدت صعوبة في ايصال المعلومات واكثر شي انقذني ان عندي تجربة سابقة في ثمانية فكان عندي تصور ولكن كنت احتاج احد يوجهني بالتحديثات 
كنت كل شي اخذه فجأه واحيانًا بدون توضيح فعلى سبيل المثال كنت اتمنى يكون في توضيح في الية التصدير، النسخ المطلوبة ويعتبر شي مهم وكنت اتواصل مع عمر لكن يتأخر. احيانًا ممكن القى رد في اليوم الثاني ونافذة النشر تكون ضيق وماتتحمل التأجيل
هنا اضطر اتواصل مع زملائي عشان اعرف المتطلبات في كل بودكاست
في ضبط الاولويات الشهادة لله كل فترة يحددها لنا اول بأول ولكن عشان ما اكون ظالم الفترة اللي كنت فيها في الاذاعة كانت بداية الدوري واتصور وقتها الكل مشغول والمهام كثيرة فكان في صعوبة في التواصل لضيق الوقت.</t>
  </si>
  <si>
    <t xml:space="preserve">بحكم اني لي تجربة سابقة قاعد اشوف امور كثير قاعده تترتب ووتحسن للافضل 
فعلى سبيل المثال سابقًا المحرر يستلم البرنامج بالكامل بدون مساعدة 
الان لو في ضغط صار يدخل محرر مساعد يخفف على المحرر خصوصًا في البرامج السريعة في النشر </t>
  </si>
  <si>
    <t xml:space="preserve"> اقدر انه دائمًا يقدم حلول للفريق لتسهيل الية العمل
خصوصًا الية تحرير التشويقات اللي ابتكرها وسهلت علينا الكثيييييير
لكن زي ماذكرت سابقًا يحتاج يحسن من التواصل
لأن اهم عنصر في القائد.. وهذي اهم صفة في القائد.
</t>
  </si>
  <si>
    <t>صعب احكم لان الفترة كانت محدودة</t>
  </si>
  <si>
    <t>للحق اعجبني انه مايخلي المحرر يستلم كل شي لحاله
في حال انضغط يرتبها ويخلي محرر مساعد يدخل معه
وهذا الشي اقدره في عمر واتمنى يستمر فيها لأنها تزرع روح التعاون في الفريق</t>
  </si>
  <si>
    <t>التواصل.. التواصل.. التواصل
خصوصًا مع المستجدين لإنها مفصلية وطبيعة المهام ماتتحمل التأجيل او حتى الارتجال</t>
  </si>
  <si>
    <t>1AzG5r1</t>
  </si>
  <si>
    <t>yP4LNJd</t>
  </si>
  <si>
    <t xml:space="preserve">عبدالاله الرشود </t>
  </si>
  <si>
    <t>فادي</t>
  </si>
  <si>
    <t xml:space="preserve">وضوح في التوجيه.. يحدد الاولويات يصنع استراتيجيات.. مشارك في فهم الامور الفنيه وداعم لتصحيح الاخطاء </t>
  </si>
  <si>
    <t xml:space="preserve">طريقة مرنه و واضحة وسهله وداعم لكل التحديات . </t>
  </si>
  <si>
    <t xml:space="preserve">قائد ناجح وصانع لمحتوى قوي ومميز دائما يدعم في اوقات التحديات </t>
  </si>
  <si>
    <t xml:space="preserve">تعامل على اعلى مرحله في الاخلاق والتواضع دائما داعم ومساعد في كل وقت </t>
  </si>
  <si>
    <t xml:space="preserve">وجوده في كل مراحل العمل .. دايما طموح ويحب التحدي </t>
  </si>
  <si>
    <t xml:space="preserve">كل جوانبه مميزه ولكن نتمنى ان نكون على تواصل طوال الوقت </t>
  </si>
  <si>
    <t>Zjy6kko</t>
  </si>
  <si>
    <t>pbd7NvV</t>
  </si>
  <si>
    <t>سلمان بن جميعه</t>
  </si>
  <si>
    <t>فهد البراك</t>
  </si>
  <si>
    <t>جدًا واضح وصريح</t>
  </si>
  <si>
    <t>تحتاج تطوير وحوكمه</t>
  </si>
  <si>
    <t>اقدر صراحته ووضوحه بكل شيء، واحتاج انه يطور طريقة التواصل مع الفريق</t>
  </si>
  <si>
    <t>لا استطيع التقييم في هذه الفتره</t>
  </si>
  <si>
    <t>الشفافية وجعل المصلحة العمل والمنظومة أولوية قصوى قبل كل شيء</t>
  </si>
  <si>
    <t>لا استطيع الحكم</t>
  </si>
  <si>
    <t>RGa1GVl</t>
  </si>
  <si>
    <t>q4DrljO</t>
  </si>
  <si>
    <t>عبدالمجيد</t>
  </si>
  <si>
    <t>أكثر مايشدني في فهد قدرته على مشاركة الملاحظات وطرق التحسين ولا يكتفي بالملاحظات فقط.</t>
  </si>
  <si>
    <t>طريقته تعزز الاستقلالية والثقة، ومتاح دائمًا عند الحاجة.</t>
  </si>
  <si>
    <t>واضح وعادل في المحاسبة، ويشرك الفريق في القرارات.</t>
  </si>
  <si>
    <t>يقدر أي جهد يُبذل ولو كان بسيط</t>
  </si>
  <si>
    <t>التحفيز</t>
  </si>
  <si>
    <t>أعتقد ستتضح العام القادم</t>
  </si>
  <si>
    <t>2EY4L7b</t>
  </si>
  <si>
    <t>الإبتعاد عن الفريق في فترة حساسة قد تؤثر سلبًا على الفريق، وتحديدًا ضبط البوصلة مع الفريق السابق والفريق الجديد كذلك.</t>
  </si>
  <si>
    <t>لا توقف عن استماعك للموظفين، وإذا سمعت منهم مهم نمشي في طلباتهم.</t>
  </si>
  <si>
    <t>استمر في دعم الفريق، وحاول تكثر من مشاركة المرئيات المهمة لكل الفريق.
 فالمرئيات تساعدنا على التطور، والتحسين، وضبط الاداء.</t>
  </si>
  <si>
    <t>مؤمن في الفريق، داعم للاراء والقرارات، مساحة الشفافية معيار رهيب.</t>
  </si>
  <si>
    <t>قرب من فريقك، مهما وظفت مدراء.
 استمع أكثر للفريق، وخذ قرار أو خطوة حقيقية بعد استماعك لهم.</t>
  </si>
  <si>
    <t>yPr6jBW</t>
  </si>
  <si>
    <t>lbOoMrX</t>
  </si>
  <si>
    <t>رهف</t>
  </si>
  <si>
    <t xml:space="preserve">فيصل قائد تثق به، وتثق برؤيته، وقراراته. يعمل بسرعة ويفكّر بسرعة، لذلك قد لا يكون إيضاح المهام في بدايتها دائمًا بالقدر الكافي، خصوصًا مع اعتماده على أسلوب «اسأل وأجاوبك.» وفعلاً يجيب بشكل وافي وسريع بعد الأسئلة. 
لكن كطريقة عمل لا أعتقد أنها الأنسب، سيكون أفضل لو كانت مساحة الأسئلة لأشياء استثنائية، مب أساسية. فلو كان فيه شيء واحد أتمنى تغييره في أسلوب العمل، فهو تقديم شرح أوضح وسياق كافٍ منذ البداية بدلاً من الاعتماد على الأسئلة، وأن يُبنى الافتراض على أن الأمور غير واضحة في الأصل، وليس العكس. </t>
  </si>
  <si>
    <t xml:space="preserve">فيصل قائد إنساني في تعامله. من ناحية الثقة، فهو يثق بالفريق ويأخذ وجهات نظرهم بجدية، ويناقشهم، ويحرص على أن يكون الجميع متفق ومؤمن بعمله. دائمًا متاح، في أي ساعة، سواءً في بيسكامب أو في المكتب، ما أعتقد قد واجهت مشكلة في أني ما أقدر أجلس معاه أو أناقشه، وبالعكس حريص على ذلك جدًا. من ناحية التفهّم فكما ذكرت، إنسان للغاية. حتى في الظروف الشخصية والضغوطات، هو أول من يتفهم ويدعم ويترك مساحة. </t>
  </si>
  <si>
    <t>ذكرت جزء منها في النقطة السابقة، فمن ناحية الوضوح والمحاسبة فلا يُعلى عليه، وأيضًا من ناحية اتخاذ القرارات، رأيك مسموع دائمًا، وأكثر من يشجع على الإدلاء بالرأي. 
من ناحية تبادل المعرفة؛ فأعتقد فيه مساحة كبيرة للتحسين. بعد 7 شهور من العمل في ثمانية، كل ما أعرفه عن فريقي واهتماماتهم، عرفته بجهد شخصي «أعني فريق الأعمال ككل» فكان بيكون جيّد لو كان فيه لقاءات دورية للفريق، نتبادل فيها الأراء، ونتشارك التحديّات، ونفهم نقاط قوة بعض بشكل أفضل. حيث لا أشعر بالوضع الحالي أني جزء من فريق.</t>
  </si>
  <si>
    <t xml:space="preserve">فيما يخص تقديره لجهود الفريق، نعم، فيصل يقدّر العمل بشكل كبير ويُظهر ذلك باستمرار. أما على صعيد تطوير العلاقات داخل الفريق، فأشرت إليها في الجواب السابق.
من ناحية المرئيات، أعتقد يقدر يتطّور أكثر في هذا الجانب، فكل مرة شاركني مرئيات عني، كانت بعد سؤالي. ولم يسبق أن سألني بشكل مباشر عن أهدافي المهنية، وما أسعى لتحقيقه. وهو جانب يهمني للغاية ويساعدني اوائم أهدافي مع أهداف الفريق والشركة ككل. 
من ناحية الدعم؛ فأنا شخص مبادر بطبيعته ونعم أراه يدعم الإبداع والأفكار المختلفة. </t>
  </si>
  <si>
    <t xml:space="preserve">الثقة، والوضوح في التوقعات، والشفافية. </t>
  </si>
  <si>
    <t xml:space="preserve">أن يهتم أكثر بتطور أفراد الفريق مهنيًا، وما قد يساعدهم. 
</t>
  </si>
  <si>
    <t>2EzOdjV</t>
  </si>
  <si>
    <t>q4G6R45</t>
  </si>
  <si>
    <t>الفاعلية في توصيل وشرح المهام مهمة جداً، خصوصاً مع تغير الأولويات. سرعة اتخاذ القرار في تغيير الأولويات ليس بالضرورة جيد، بل يسبب ارتباك في الفريق ويتحول من شريك في العمل الى مؤدي للعمل.</t>
  </si>
  <si>
    <t>قائد فذ بلا شك. ولكن دخوله بكل التفاصيل ليس مستدام لبناء فريق عمل كبير.</t>
  </si>
  <si>
    <t xml:space="preserve">عندما تكون المحاسبة عالية، من الضروري وضوح الصلاحيات في القسم. إشراك الفريق في القرارات لا أشعر بأنه أولوية، نظراً لطريقة العمل في السابق، ووسع فجوة المهارات بين القائد والفريق. فليس بالضرورة أن تقابل بموافقة عند توظيف موظفين أكثر خبرة ومهارة. وهذا ما لم يعتاده سابقاً. وليس بالضرورة سلبي، لكنها ملاحظة تستحق الوقوف عليها.
وعلى الرغم من دعوته للتعاون بين الفريق بشكل مستمر، أحياناً </t>
  </si>
  <si>
    <t>الفترة الي فاتت كانت فترة ضغط كبيرة على الشركة. ولا أعتقد أنها كانت الفرصة متاحة له كقائد للعمل على التطوير والدعم. فكانت الأولوية هي انجاز المهام على أتم وجه. لكنه بدأ يصبح متكرر بشكل شبه دائم، وهذا بالضرورة لا يعطي شعور بالاستدامة للموظف. يوجد سعة للتطوير هنا.</t>
  </si>
  <si>
    <t>الطموح العالي وسرعة اتخاذ القرارات بدقة وحزم. هذي بعض من صفاته الكثيرة الحميدة وأهمها.</t>
  </si>
  <si>
    <t>قد يُعطي مجال لذوي الخبرة في قيادة فرقهم، ستكون بادرة ايجابية.</t>
  </si>
  <si>
    <t>أعتقد أن فريقنا على مرئى واضح لفريق الموارد البشرية. وبالتأكيد الدعم اللامحدود دائماً مثمّن ورائع.</t>
  </si>
  <si>
    <t>44Rz6JO</t>
  </si>
  <si>
    <t>yP2BPZX</t>
  </si>
  <si>
    <t>محمد رامي</t>
  </si>
  <si>
    <t>في البدايات كان في صعوبة في ضبط الاولويات واعتقد جزء منها بسبب ضغط العمل الشديد ولكن مؤخرا صار التواصل وضبط الاولويات اوضح وافضل.</t>
  </si>
  <si>
    <t>يتفهم ويستمع لشكاوى الفريق ويحرص على الاستماع بشكل عام على كل شي. 
من الممكن مرات يختار الاوقات الخطأ للضغط على الفريق في المهام الغير مهمة.</t>
  </si>
  <si>
    <t>رهيب في الاستماع لآراء الفريق ومشاركته في اتخاذ القرار  والمشورة.</t>
  </si>
  <si>
    <t>في البدايات كان في شح في التقدير ولكن مؤخرا التقدير صار واضح والشكر واضح.
بشكل عام يشجع جدا على التطور ويحرص جدا على استغلال كل فرصة لتعليم الفريق موضوع معين.</t>
  </si>
  <si>
    <t>تواجده الدائم.</t>
  </si>
  <si>
    <t>اختيار الأوقات الأنسب للضغط على الفريق.</t>
  </si>
  <si>
    <t>لا تمام.</t>
  </si>
  <si>
    <t>MelvVM7</t>
  </si>
  <si>
    <t>KYxbyNX</t>
  </si>
  <si>
    <t>شهاب فريد</t>
  </si>
  <si>
    <t>أقدر نشاطه ، حرصه لكن في المقابل عدم وضوح الأولويات ، كثرة تغيير المهام بدون توجه واضح او شرح واضح للأسباب بالإضافة التواصل في أوقات غير أوقات العمل مزعج جدًا حتى لو طلب ان يكون الرد داخل أيام العمل ..</t>
  </si>
  <si>
    <t xml:space="preserve">للأسف لا يوجد تطوير والدعم قليل </t>
  </si>
  <si>
    <t>أقدر  أنه يحاول قدر المستطاع ..</t>
  </si>
  <si>
    <t xml:space="preserve">اتمنى ان يطور المهارات الشخصية كالتواصل وإختيار الاوقات الملائمة للمهام وأن يكون هناك اولويات واضحة للفريق </t>
  </si>
  <si>
    <t xml:space="preserve">شاركتها كثير قبل كده </t>
  </si>
  <si>
    <t>Gxa5EbL</t>
  </si>
  <si>
    <t>VLPkoKJ</t>
  </si>
  <si>
    <t>لين البلوي</t>
  </si>
  <si>
    <t>العمل واضح من حيث ترتيب الأولويات، لكن التواصل غير واضح بالشكل الكافي، كما أن حدود الأدوار لا تكون محددة دائمًا، خصوصًا فيما يتعلق بمشاركتي في المهام</t>
  </si>
  <si>
    <t xml:space="preserve">آلية العمل غير واضحة، وفي كل مرة يتم كتابة جزء أو تنفيذ مهمة يتم التساؤل عن سببها ، مما يؤدي أحيانًا إلى طلب مني حذفها. إضافة إلى ذلك، يتم أحيانًا طلبي الاكتفاء بالمشاركة في بطاقة النشر فقط دون إشراكي في بقية المهام، مما يحدّ من وضوح دوري في العمل.
</t>
  </si>
  <si>
    <t>يتعاون مع الفرق الأخرى ويتفاعل معهم بشكل إيجابي، إلا أن أسلوبه معي يكون مختلفًا أحيانًا</t>
  </si>
  <si>
    <t xml:space="preserve">الدعم غير مستمر، ولا يوجد مستوى كافٍ من الثقة، ويحتاج هذا الجانب إلى تطوير، خصوصًا من ناحية الأسلوب وبناء الثقة.
</t>
  </si>
  <si>
    <t>أقدر تعاونه مع الفرق الأخرى، كما أنه يساعد في بعض الأحيان عند وجود ضغط في العمل</t>
  </si>
  <si>
    <t xml:space="preserve">تطوير أسلوب التواصل، تعزيز الثقة، والوضوح في التوجيه بحيث تكون التوقعات محددة منذ البداية ومشاركتي في المهام. </t>
  </si>
  <si>
    <t>تعزيز الوضوح في آلية العمل وبناء الثقة بين القائد وأعضاء الفريق سيساعد بشكل كبير في تحسين بيئة العمل ورفع مستوى الأداء</t>
  </si>
  <si>
    <t>xXEzkXr</t>
  </si>
  <si>
    <t>D4przVq</t>
  </si>
  <si>
    <t>محمد ناصر</t>
  </si>
  <si>
    <t>التواصل واضح وتحديد الأولويات يتم بشكل منظم يساعد الفريق على الإنجاز بكفاءة، مع مرونة في التعامل وقت ضغط المهام.</t>
  </si>
  <si>
    <t>تمتاز بطريقة عمل منظمة ومرنة تشجع الفريق على الإبداع وتضمن إنجاز المهام بجودة عالية وفي توقيت مناسب</t>
  </si>
  <si>
    <t>تمتاز بأسلوب قيادة يشجع على التعاون والثقة داخل الفريق، وتحرص على خلق بيئة عمل محفزة تساعد الجميع على تقديم أفضل ما لديهم</t>
  </si>
  <si>
    <t>تقدم دعمًا مستمرًا للفريق وتشجع على التطوير المهني، مع حرص واضح على مشاركة المعرفة وتوجيه الفريق نحو التحسين الدائم</t>
  </si>
  <si>
    <t>أسلوبها قائم على الثقة والتعاون، وده بيخلق بيئة عمل إيجابية تشجع الفريق على الإبداع والالتزام.</t>
  </si>
  <si>
    <t>الاستمرار في تطوير طرق التحفيز والتشجيع للفريق لأنها بتأثر بشكل كبير على الأداء العام</t>
  </si>
  <si>
    <t>D48xVJZ</t>
  </si>
  <si>
    <t>8qZb6D4</t>
  </si>
  <si>
    <t>محمد وجدي عبدالفتاح</t>
  </si>
  <si>
    <t xml:space="preserve">الحقيقة لينا متعاونة جداً في ضبط الأولويات وتنظيم أوقات المشاريع بحيث مايحصلش ضغط عليا او يحصل تداخل في أوقات تسليم المشاريع ،  وبتتواصل بشكل دائم وقت المشروع وبيبقي في متابعة جيدة بيننا علشان نخرج بأحسن شكل للمشروع اللي شغالين عليه. 
موقف حقيقي بيننا: 
كان عليا ضغط كبير في المشاريع و أوقات التسليم وفضلت كدا فترة بما إني كنت جديد فا مكنتش بشتكي وقولت فترة وهتعدي ، لكن لما طولت الفترة اتكلمت معاها وقولتلها إني فعلاً مضغوط ومبعرفش أخد أجازتي حتي ، وبالفعل هي حلتلي المشكلة تماماً و قدرت تشيل من عليا الضغط و دلوقتي انا بشتغل بشكل أريح و ألطف وبقي عندي وقت كافي لكل مشروع بدون ضغط </t>
  </si>
  <si>
    <t xml:space="preserve">طريقة العمل ممتازة الحقيقة ومعنديش تعليق عليها </t>
  </si>
  <si>
    <t xml:space="preserve">ممتازة جداً في القيادة و رأيها فعلاً بيطور من الشغل ، ومش بتفرض رأيها بالعكس بيبقي في نقاش بحيث نخرج بأفضل شكل للمشاريع </t>
  </si>
  <si>
    <t>حقيقي مُشجعة و داعمه جداً</t>
  </si>
  <si>
    <t xml:space="preserve">الدعم ، النقاش ، الحلول </t>
  </si>
  <si>
    <t xml:space="preserve">اتمني تطور من البريف ، البريف اللي بيتقدم كويس الحقيقة ولكن ممكن يكون مُفصل ومحدد اكتر </t>
  </si>
  <si>
    <t>zx4W4RM</t>
  </si>
  <si>
    <t>6RKGKxA</t>
  </si>
  <si>
    <t>ميس الرويزن</t>
  </si>
  <si>
    <t>أتمنى أن يكون في وضوح أكبر في شرح المهام، حتى ننفذها بكفاءة عالية ونتجنب الاجتهادات الشخصية التي تأخذ من وقت تنفيذ المهمة.</t>
  </si>
  <si>
    <t>ممتازة ومرنة ومتفهمة لظروف الفريق خصوصًا فيما يتعلق بالإجازات. هذا يعزز الإنتاجية ويخفف الضغط.</t>
  </si>
  <si>
    <t>قيادتها للفريق قائمة على الاحترام المتبادل والدعم، وتشعر الموظف بأنه جزء مهم من منظومة العمل.</t>
  </si>
  <si>
    <t>مريحة في التعامل ودائمًا تقول كل شي قابل للتطوير وهذا يجعلنا نرتاح ونقدم الي نقدر عليه.</t>
  </si>
  <si>
    <t>اقدّر مرونتها وتفهمها لظروف الفريق، وتعاملها الهادئ واحترامها للجميع.</t>
  </si>
  <si>
    <t>مع كل مهمة وضع مثال او توقع للمخرج النهائي حتى يكون التنفيذ مبني على مرجع واضح.</t>
  </si>
  <si>
    <t>PdLvd61</t>
  </si>
  <si>
    <t>2EA0LYp</t>
  </si>
  <si>
    <t>رغد عيد</t>
  </si>
  <si>
    <t>القائد يتمتع بقدرة عالية على ضبط الأولويات بكفاءة خاصة عند حدوث أي تغييرات تطرأ على الفريق، فيسهّل سير العمل ويحافظ على وضوح التوجّه. ووجود الاجتماعات الأسبوعية وتواجد القائد الدائم يساهم في تعزيز التواصل بشكل فعّال وداعم للفريق.</t>
  </si>
  <si>
    <t>طريقة العمل الحالية فعّالة جدًا، وأقدر وضوح الأولويات والاستجابة السريعة لأي تغييرات. ومع ذلك، يمكن تحسين تجربة الفريق بشكل أفضل بضبط تقسيم المهام لضمان توزيع أكثر توازنًا، بحيث لا يضطر المصمم للعمل ساعات إضافية بشكل متكرر. 
قد يكون أحد أسباب ذلك هو وصول بعض طلبات المشاريع لفريق التصميم في وقت متأخر وليس من القائد (جميعنا نتفاجئ بعض الأحيان من بعض الطلبات التي تحتاج الى وقت في وقت قصير جدًا). لذلك، إشراك فريق التصميم في المشاريع منذ مرحلة الفكرة الأولى سيسهم في تخطيط أفضل، وتقليل التعارض بين المهام، ورفع جودة المخرجات.</t>
  </si>
  <si>
    <t>قيادة القائد واضحة وفعّالة؛ لينا شخصية قيادية فتدعم التوجيه السليم واتخاذ القرارات المناسبة. توجيهاتها واضحة وصريحة، وتساعد الفريق على التطوّر وتحسين جودة العمل.</t>
  </si>
  <si>
    <t>القائد حريص دائمًا على أن يظهر العمل بأفضل صورة ممكنة، وهذا الحرص ساعدني على ملاحظة تفاصيل ما كنت أدركها سابقًا في التصميم. ودعمها المستمر وتوجيهاتها بمشاركتي في مشاريع ترى أنها تسهم في تطوير مهاراتي كان لها أثر كبير في تقدّمي، وأقدّر هذا الشيء.</t>
  </si>
  <si>
    <t>روح التعاون والإخلاص والتفهم. لينا لها رؤية فنية مميزة ومدروسة فتكون توجيهاتها واضحة ومباشرة، فيسهّل تنفيذ المهام بجودة عالية. أقدّر تفهمها, وأقدّر حرصها على إشراك المصمم في مشاريع متنوعة تسهم في تطوير مهاراته، وتشجيعها المستمر للاجتماعات الأسبوعية التي تتيح مساحة للمشورة والمتابعة وتحسين جودة العمل.</t>
  </si>
  <si>
    <t>كما ذكرت, أتمنى تطوير طريقة تقسيم المهام لدعم إنتاجية أعلى وتوزيع أفضل لوقت الفريق.</t>
  </si>
  <si>
    <t>لا يوجد غير المذكور بالأعلى.</t>
  </si>
  <si>
    <t>J8b7xDr</t>
  </si>
  <si>
    <t>dXKDAz</t>
  </si>
  <si>
    <t>شهد مبارك</t>
  </si>
  <si>
    <t>تحديد الأولويات وإسنادها للمصمم المناسب من الفريق، جعلني أفهم أكثر نوعية التصاميم التي أعمل عليها خلال الفترة</t>
  </si>
  <si>
    <t xml:space="preserve">أتفهم وتيرة الأعمال السريعة في الانتاجات اليومية، فعند ضبطها وإسدال المهام بشكل أوضح 
سيجعلني على بينة أكثر بجدولة اليوم وأوقات عملي، كلما كانت في وقت أبكر وبجميع الاحتياجات يجعل طريقة عملي أسهل وأوضح، حتى وأوثق  </t>
  </si>
  <si>
    <t xml:space="preserve">الشخص المناسب في المكان المناسب </t>
  </si>
  <si>
    <t xml:space="preserve">.. </t>
  </si>
  <si>
    <t xml:space="preserve">في كل تفاعل بالعبارات التحفيزية، والإستقلالية التي تسعى في جعلها في كل مصمم 
كلها أشياء تجعلني على ثقة أكبر بما أقدّم وأصمم.. حتى تجعلني أطمح في تقديم المزيد بإحسان </t>
  </si>
  <si>
    <t xml:space="preserve">-في توقيت اسدال المهام، أن تكون مسدلة في في وقت أبكر 
-تطوير جوانب التصميم المختلفة في التصميم، وتجربة المصمم في أكثر من كان لعدة مرّات
يجعل مهاراتي التصميمية أكثر تطورًا وابداعًا </t>
  </si>
  <si>
    <t>MeQe5V7</t>
  </si>
  <si>
    <t>1A4WvRl</t>
  </si>
  <si>
    <t>مثال رائع لضبط الأولويات والتوجيه. بالأخص بالسؤال المستمر والمتابعة في حال استجدت أولولويات لإيجاد حلول تسهل وتسرع من الإنجاز بكفاءة.</t>
  </si>
  <si>
    <t>اقدر وممتة لطريقة العمل معها، جامع بين الاستقلالية والتعاونية. متاحة للدعم والتوجيه، وعند الضغط تثني المجهود والنتائج. تتميز بالهدوء والقدرة على إدارة الضغط بشكل فعال، سواء من ضبط المهام أو مراعاتها للتحديات اللي تنتج من فترة الضغط وهذا يعطيني ثقة عالية ويحفّزني على تقديم أفضل ما عندي.</t>
  </si>
  <si>
    <t>وجود الاجتماعات الدورية بين الفريق، وقيادتها للاجتماع بوضوح، وأهداف محددة لكل اجتماع يجعل سير المهام منظم. كمان تشجع على مشاركة الآراء والتعاون في التطوير بطريقة لا تقتصر على الاستماع فقط، بل توفر مساحة آمنة للمشاركة. هذا الأسلوب يساعدني على فهم رؤيتها وملاحظاتها، وينعكس بشكل ايجابي على جودة تنفيذ العمل والتصميم.</t>
  </si>
  <si>
    <t>داعمة دومًا للتطوير ومعبرة عنها في رؤية تطوري في نقاط مختلفة من المهارات. أتمنى فقط أن تجمعنا اجتماعات بين الفترة والأخرى تخص مناقشة هذي النقاط.</t>
  </si>
  <si>
    <t xml:space="preserve">اقدر الطريقة اللي تعزز فيها روح الفريق، كيف تعامل كل فرد باعتباره جزء مؤثر في ثمانية. وهذا يعطي الشعور بالانتماء ويحفز على تقديم أفضل ما عندي. كمان الحرص على تطوير الفريق وإعطاء فرص للنمو والتعلم من اسناد مهام متنوعة ومختلفة. </t>
  </si>
  <si>
    <t>ممارسة اجتماع فردي بين الفترة والأخرى بيكون عظيم، صحيح أني احصل على مرئيات على الصعيد الفردي لكنها تكون نصوص وأفضل لو كانت مكالمة سريعة.</t>
  </si>
  <si>
    <t>Gxa5qaZ</t>
  </si>
  <si>
    <t>J8lN0Rz</t>
  </si>
  <si>
    <t>يزيد الجهني</t>
  </si>
  <si>
    <t>لينا واضحة، تواصليا رهيبة، ودايما تضبط الأولويات صح.
لكن مرات تكون واضحة أكثر من اللازم وهذا يخلق شعور إن رأي لينا الفني هو الرأي اللي ما يقبل الجدل. لكنه من تجربة يقبل الجدل. خخ.</t>
  </si>
  <si>
    <t xml:space="preserve">رائعة. ماعندي شيء ثاني.
بس مرات لما تكون بعيدة وأحتاج تعميدها في شيء ما أتعطل.
</t>
  </si>
  <si>
    <t>كل شيء رهيب.</t>
  </si>
  <si>
    <t>كل شيء تمام.</t>
  </si>
  <si>
    <t>المساحة. لينا معطيتني مساحة رهيبة.
ومبسوط منها وقاعدة تنعكس على شغلي بشكل رهيب.</t>
  </si>
  <si>
    <t xml:space="preserve">مرات أحس فيه شوية بيروقراطية تحدني في التعميدات.
مدري هذي ثمانية ولا هذي لينا؟
</t>
  </si>
  <si>
    <t>فريق التصميم قاعد يكبر. ثمانية قاعدة تكبر أكثر.
١- أحس إننا ننضغط بسرعة على مشاريع المفروض إننا ما ننضغط عليها. ولا تستاهل الضغط.
٢- فنيا وإبداعيا أفكارنا قاعدة تتوجه للسهل الواضح المباشر. وهذا شيء أتخيل يقتل اللي وده يجرب شيء جديد.
ليه الشيء هذا يصير؟ أسباب كثير..
بس بختصرها في سببين:
١- توقعات غير منطقية وعدم وضوح من الفرق الأخرى
٢- إعتمادية كبيرة على لينا ومعاذ</t>
  </si>
  <si>
    <t>b5yXZ5o</t>
  </si>
  <si>
    <t>obePjjM</t>
  </si>
  <si>
    <t>أشجان</t>
  </si>
  <si>
    <t>واضحه</t>
  </si>
  <si>
    <t>داعمه</t>
  </si>
  <si>
    <t>الدعم من القائد واضح في متابعة كل ما نقدمه واقتراح التحسينات لوصول أفضل نتائج</t>
  </si>
  <si>
    <t>تشجيع الفريق على تبادل المعرفه</t>
  </si>
  <si>
    <t>EkExW5o</t>
  </si>
  <si>
    <t>Pd1kdRQ</t>
  </si>
  <si>
    <t>احمد عيد</t>
  </si>
  <si>
    <t xml:space="preserve"> الموضوع ماشي بشكل كويس رغم الضغوطات اللي حاصلة</t>
  </si>
  <si>
    <t>انا بعتبر نفسي جوكر مع فريق تصميم ثمانية وبشتغل بتنوع في المهام التصميمية بس اوقات الفكرة دي بتضغطني بشكل زيادة وده بيأدي لشوية كركبة</t>
  </si>
  <si>
    <t>قيادة القائد للفريق بيرفيكت 👌🏽</t>
  </si>
  <si>
    <t>اوقات قليلة جداً بيجيني احساس انه بيتعامل معايا كفرد قليل الخبرة او صغير لا يعتمد عليه ،، احساس بيكون مزعج شوية</t>
  </si>
  <si>
    <t>المساحة المتوفرة لينا كفريق وكيف اننا نقدر نبرز شخصياتنا ووجهة نظرنا في الاعمال الفنية</t>
  </si>
  <si>
    <t>اننا نبدأ بتبادل خبراتنا كفريق سوياً ،، كل شخص بالفريق يعمل زي ورشة يشرع بها طريقة عمله بحيث يفيد بقية الفريق</t>
  </si>
  <si>
    <t>من وقت دخول رياضة ثمانية والضغط اللي حاصل هناك فبقيت حاسس ان لينا اتاخدت مننا عشان تلحق الوضع المتأزم هناك ،، اعرف انه وضع مؤقت بس حاسس انه مطول شوية</t>
  </si>
  <si>
    <t>jaXgeJ8</t>
  </si>
  <si>
    <t>zxMpV6Z</t>
  </si>
  <si>
    <t>فاطمه اشرف</t>
  </si>
  <si>
    <t>القائده ممتاذه و  واضحه في التواصل و ظبط الاولويات 
 احيانا يوجد صعوبه لفهم المتطلبات بسبب اني جديده بالعمل فكنت أفضل ان يكون في اجتماع و دليل  يوضح فيه كل البرامج و انواعها و متطلباتها لكي لا استغرق وقت طويل عند كل مهمه جديده لم اعلم عنها من قبل  و اكون علي علم بكيفيه العمل و المتطلبات كلها من البدايه</t>
  </si>
  <si>
    <t xml:space="preserve">طريقه العمل ممتازه و فعاله جدا و لكن  أُفَضِل ان يكون لي  حريه إبداعيه اكتر  في التصميم إلي حد ما لانه الاذواق تختلف </t>
  </si>
  <si>
    <t xml:space="preserve">قائده ممتاذه </t>
  </si>
  <si>
    <t xml:space="preserve">التطوير اللي ارغب فيه هو ان يكون لي حريه ابداعيه اكتر في اختيار التوجه الفني لان الاذواق تختلف و طالما التوجه مناسب فيجب دعم الإبداع والأفكار  بالازواق المختلفة </t>
  </si>
  <si>
    <t>اسلوبها جميل و محترمه جدا بالتعامل</t>
  </si>
  <si>
    <t>ان تعطيني حريه ابداعيه اكتر</t>
  </si>
  <si>
    <t>eq78yBq</t>
  </si>
  <si>
    <t>rjO6DNp</t>
  </si>
  <si>
    <t>مازن وجدي</t>
  </si>
  <si>
    <t>التفاعل المستمر  والتواجد الدائم</t>
  </si>
  <si>
    <t xml:space="preserve">ترك مساحه اكبر للابداع للفريق و التطوير </t>
  </si>
  <si>
    <t xml:space="preserve">تقديم الدعم والتقدير بشكل اكبر و ترك مساحه اكبر للابداع </t>
  </si>
  <si>
    <t>J8boad4</t>
  </si>
  <si>
    <t>jaodPxE</t>
  </si>
  <si>
    <t>عمر ريان</t>
  </si>
  <si>
    <t>الحقيقة ان القائد لا يتمكن من توصيل فكرته بإيضاح فا يكون الموضوع عشوائي جدا في التواصل، اتمنى ان يكون التعامل اكثر وضوحاً في الفريق و ان هذا الشيء يستمر بالإضافة ان القائد لا يجعل الموظفين ان يشعروا بالأمان الوظيفي.</t>
  </si>
  <si>
    <t>طريقة عمل القائد مره عشوائية ولا يوجد معيار واضح نمشي من خلاله ولا يوجد طريقة عمل واضحة و موحدة يمشي عليها باقي اعضاء الفريق.</t>
  </si>
  <si>
    <t>الحقيقة انه / انها غير ملمة بالرياضة إطلاقا و هذا يخلق حالة من العشوائية بالإضافة الى عدم رغبته من سماع اراء مختلفة في حين اننا كفريق نملك الخبرة اكثر منها بالطبع</t>
  </si>
  <si>
    <t>الحقيقة اني لا اتلقى اي دعم اطلاقا  + اما بالنسبه للتطوير  فانا لم اتطور بتاتاً لأن للأسف لم تساعدني البيئة على هذا</t>
  </si>
  <si>
    <t>الإيجابية الوحيده من وجهة نظري هي قدرته على التواجد بسكل مستمر فا حين احتاجها في اي وقت اجدها</t>
  </si>
  <si>
    <t>ان يسمع لباقي اعضاء الفريق لانهم اكثر خبره منها، عدم جعل الموظفين بالشعور بالخطر الوظيفي، ارساء معايير واضحة نقوم بالعمل من خلالها، وضع خطة تطوير لباقي اعضاء الفريق</t>
  </si>
  <si>
    <t>RGgQDkQ</t>
  </si>
  <si>
    <t>Xxry4j4</t>
  </si>
  <si>
    <t xml:space="preserve">عبدالرحمن باكور </t>
  </si>
  <si>
    <t xml:space="preserve">بما ان القايد محمد الحسن وقدر انه في منطقة أخرى إلا انه على تواصل دايما تقريبا مع ابو عمر ( المزي ) ومتعوونين الاثنين بشكل يومي وفي اي وقت حول اي استفسار بادر من جهتنا </t>
  </si>
  <si>
    <t xml:space="preserve">بحكم ان تواصلنا الأكثر مع المزي فهاذا مساعد لنا بشكل إيجابي جدا ومسهل للوقت بحيث انه في نفس التحديات الي ممكن تواجهنا في مواقع التصوير ويعطينا الخيار انه نختار المعدات ويسمع آرائنا
 ويعين ويعاون ومو مع الكلام ان الحسن مقصر في عمله إبداء </t>
  </si>
  <si>
    <t xml:space="preserve">اتوقع راح تستغربون ان كل التقيم 9 لاكن هاذا الي اشوفه الصراحة زي ماذكرت قبل ان الشباب كلهم متعاونين جميعا في قسم الصوت من حيث المعلومات او اي شي ممكن يساعد في تطوير او نغطي على بعض في المشاريع بشكل مريح جدا </t>
  </si>
  <si>
    <t xml:space="preserve">حريصين الشباب انه من اول يوم عمل على ان احصل على كل احتياجاتي التقنية حتى في مواضيع كانت مع الاتش ار كانو يسألون بشكل أسبوعي مرتاح معانا ايش ممكن يساعد في التطوير او يحسن من عملنا </t>
  </si>
  <si>
    <t xml:space="preserve">ماتحسه قايد تحسه اخ قبل كل شي ويدير الفريق بشكل جيد جدا 
ايضاً المزي عنده توزيع المهام مميز فيها 
بحيث انه لما يوزع يسأل كل واحد في الفريق مناسب معاك المشروع إذا مو مناسب ممكن اسوي تبديل لك مع مشروع آخر </t>
  </si>
  <si>
    <t xml:space="preserve">عدد الفريق ممكن يزيد 
وهو أصلا حاليا قاعد يبحث عن ناس من الممكن </t>
  </si>
  <si>
    <t xml:space="preserve">أشكرك الجميع على مايبذلوه من مجهود ملموس 
ومن نجاح إلا نجاح اكبر باذن الله </t>
  </si>
  <si>
    <t>aQgX2EW</t>
  </si>
  <si>
    <t>Xd17Wg</t>
  </si>
  <si>
    <t>من تجربتي معه بعد ما صرت قائد، تواصل محمد واضح ومباشر، خصوصًا لما أرفع له التحديثات أو التحديات. يسمع، يفهم السياق، ويتخذ قرارات تساعد الفريق يمشي بدون تعطّل، بشكل عام تواصله داعم ويعطي مساحة وثقة للفريق.</t>
  </si>
  <si>
    <t>طريقة عمل محمد مبنية على الثقة وتمكين الفريق، خصوصًا بعد ما صرت قائد. يعطيني مساحة في اتخاذ القرار والمتابعة اليومية، ويتدخل وقت الحاجة بحلول عملية وواضحة. التواصل معه سهل ومباشر، ويقدّر ظروف الفريق وقت الضغط. الشيء اللي ممكن يطوّر أكثر هو مشاركة رؤيته أو توقعاته بشكل دوري، حتى يكون عندنا وضوح أكبر على المدى القريب. بشكل عام أسلوبه داعم ويخلّي الفريق يتحرك بثقة.</t>
  </si>
  <si>
    <t>محمد يساهم في بناء بيئة عمل متعاونة، ويعطي الفريق مساحة للتحرك واتخاذ القرار. فيه وضوح ممتاز في التوقعات والمخرجات، والمحاسبة تتم بشكل مهني. بشكل عام قيادته هادئة، داعمة، وتخلّي الفريق يشتغل بثقة.</t>
  </si>
  <si>
    <t>من تجربتي، دعم محمد واضح خصوصًا لما أواجه عوائق تحتاج صلاحيات أو قرار إداري، يتعامل معها بسرعة ويخفف الضغط على الفريق. يعطيني مساحة أتعلم وأتطور من خلال المسؤوليات اليومية بدون تدخل زائد.</t>
  </si>
  <si>
    <t>أقدّر هدوء محمد، ثقته بالفريق، وطريقته في إزالة العوائق بدون ما يربك الشغل. يعطي مساحة حقيقية للقيادة والعمل المستقل، وهذا يبني مسؤولية وثقة داخل الفريق.</t>
  </si>
  <si>
    <t>أتمنى محمد يتواجد بشكل أقرب مع صناع القرار في الإنتاج والمحتوى، ليكون ملم بكل التحديثات ويقدر يدعم الفريق بطريقة أسرع.</t>
  </si>
  <si>
    <t xml:space="preserve">بشكل عام، أداء الفريق مستقر والتعاون ممتاز، وإدارة محمد داعمة وتخلق بيئة مريحة للعمل. بشكل شخصي، أعتقد لو محمد صار عنده زيارات متعددة لمكتب الرياض، راح يساعد أكثر في حضوره بين المدراء وصناع القرار، ويخلي الفريق أقرب للقرار والتحديثات.
كذلك، أشوف أننا بحاجة لتوسيع الفريق وضمه، خصوصًا ضم فريق محمود أبو الندى، عشان نقدر نغطي المهام بشكل أفضل وندعم نمو الفريق. </t>
  </si>
  <si>
    <t>dWpMpKd</t>
  </si>
  <si>
    <t>QKMp4kX</t>
  </si>
  <si>
    <t xml:space="preserve">مصطفى المحلاوي </t>
  </si>
  <si>
    <t xml:space="preserve"> يوضح المطلوب بشكل واضح وسهل، وهذا يساعد الفريق يفهم المهام بدون تعقيد</t>
  </si>
  <si>
    <t>طريقة العمل واضحة ومنظمة، وكل شخص  في الفريق يعرف المطلوب منه وهذا يساعدنا ننجز المهام بسهولة</t>
  </si>
  <si>
    <t xml:space="preserve">الصراحه يدير الفريق بشكل جدا جيد </t>
  </si>
  <si>
    <t xml:space="preserve">ممتاز </t>
  </si>
  <si>
    <t xml:space="preserve">السرعه و  التعاون في حل المشكلات 
التواصل والرد في اي وقت 
الاهتمام براحه الفريق </t>
  </si>
  <si>
    <t xml:space="preserve">الصراحه الفريق جدا محظوظ بوجود محمد الحسن وعزيز المزي </t>
  </si>
  <si>
    <t>QKpvO8l</t>
  </si>
  <si>
    <t>4465q1d</t>
  </si>
  <si>
    <t>طلال</t>
  </si>
  <si>
    <t>متحاوب مع مقترحاتي وأفكاري
يوجد حلول لحظية فعالة
منفتح للنقاش
يرتب الأولويات حسب أهميتها ووقتها</t>
  </si>
  <si>
    <t>مرن في التعامل
محفز ويعطي اهتمام للأفكار التي قد تساعد على سير العمل بطريقة أفضل</t>
  </si>
  <si>
    <t>مهتم في إشراك الجميع في إنجاح المشروع
أرى كثير من أفكاري تطبق على أرض الواقع
يعطي فرصة وتحديات تساعد في تطوير وصقل شخصية أعضاء الفريق</t>
  </si>
  <si>
    <t>يعطي ملاحظات قيمة تساعدني في رؤية الموضوع بشكل أوضح أو من زاوية مختلفة
يعطي الدعم الكامل لكل ما أحتاجه من متطلبات معرفيك أو تقنية</t>
  </si>
  <si>
    <t>حسن التعامل 
عملي
يهمه التطوير
أفكار ابداعية</t>
  </si>
  <si>
    <t>لايوجد
لكم جزيل الشكر</t>
  </si>
  <si>
    <t>jaXvA1a</t>
  </si>
  <si>
    <t>obR45BN</t>
  </si>
  <si>
    <t>شفافية محمد عالية لكن حتى الآن تواصلنا معه أقل من اللازم، اعتقد نحتاج اجتماعات أسبوعية لضبط الأولويات وتحديدها ونقاشها.</t>
  </si>
  <si>
    <t xml:space="preserve">ثقة محمد فينا واضحة، لكن يحتاج يشاركنا كفريق في اتخاذ القرارات اللي راح ننفذها. وفيه بعض الضبابية في أدوارنا كفريق تواصل وتقسيم عملنا اللي راح نُقيّم بناءً عليه..
و نحتاح ننقل قراراتنا ونقاشاتنا للمهام أكثر </t>
  </si>
  <si>
    <t>نحتاج نتشارك كمدراء منصات وكتاب محتوى في القرارات اللي تنعكس على عملنا اليومي</t>
  </si>
  <si>
    <t>اعتقد فيه قرارات وتغييرات كثيرة ننتظرها من محمد خصوصا في الفترة القادمة بعد تعرفه على آلية العمل واندماجه مع فرق التواصل..</t>
  </si>
  <si>
    <t>تقديره لعمل الفريق وثقته فيهم ودعم استقلاليتهم</t>
  </si>
  <si>
    <t>التواصل المستمر واشراكهم في اتخاذ القرارات وضبط بوصلة القسم وتحديد اهدافه ونقاش أدلّته الاجرائية</t>
  </si>
  <si>
    <t>لدي مجموعة أسئلة مباشرة وشفافة أتمنى تتقبلونها بروح طيبة، لأنها مرتبطة بالهيكلة والتنظيم، وأرى أن الجهة المناسبة للبتّ فيها هي الموارد البشرية بحكم اختصاصها، وليست مرتبطة بإبراهيم أو محمد بعد الآن.
هل مسمّاي الحالي هو مدير محتوى التواصل (حسب آخر إيميل رسمي)،
أم مدير التواصل الاجتماعي في ثمانية الأساسية (حسب آخر تكليف شفهي)؟
أطرح هذا لأنّ العمل اليومي لا يتوافق مع المسمّى الأول، فلو التزمت به حرفيًا لحدثت مشكلات كبيرة. في الواقع، دوري الحالي إدارة وتوزيع مهام ومتابعة وتقييم فريق من سبعة أشخاص، بينما إطار المسمّى الرسمي (مدير محتوى التواصل) يفترض إدارة شخصين فقط. أتساءل هل هذه الصورة واضحة للجميع؟ لأني شعرت بالحاجة لتوضيحها.
الأهم من هذا، سبق أن راسلت الموارد البشرية بخصوص أني منذ نوفمبر 2024 أعمل وفق ترقية في المسؤوليات دون تعديل مماثل في الراتب، ومن الطرائف أنّ آخر موظف في فريقي اعتمدنا توظيفه بنفس راتبي (هو في المستوى الثالث وأنا في الخامس) الله يبارك له ويزيده، لكن لم أجد مبرّرات لعدم التصحيح حتى الآن.
 أتفهم ظروف العمل الحالية ولا أرى نفسي مناسبًا لدور مدير التواصل، لكن أحببت أن أوثّق وأوضح الموضوع من جميع جوانبه رفعًا للحرج وتزكيةً للنفس.
أقدّر وقتكم، وأتمنى أن تساعد هذه الأسئلة في ترتيب الصورة.</t>
  </si>
  <si>
    <t>8qyBXAE</t>
  </si>
  <si>
    <t>7y68kA</t>
  </si>
  <si>
    <t xml:space="preserve">في البداية كان له دور كبير في تطوير الخطط 
ولكن بعدها دخل في عمليات التشغيل وهذا ما أثر على دورة القيادي
</t>
  </si>
  <si>
    <t>يفضل زيادة التواصل ويكون مساند للقادة بشكل أكبر
كذلك زيادة فهم عمليات العمل لمساندة القادة في تطويرها</t>
  </si>
  <si>
    <t>يغيب دوره القيادي مع قادة الفرق ومع الفريق ككل
قليل الظهور والتفاعل</t>
  </si>
  <si>
    <t>يفضل يكون أقرب أكثر من الفريق ويعمل جلسات دورية مع قادة الفريق.
سواء لتحسين الدور القيادي لنا أو متابعة التحديات الشخصية والقيادية.</t>
  </si>
  <si>
    <t>قدرته على تحليل التحديات وتحويلها لحلول عملية سريعة.</t>
  </si>
  <si>
    <t>زيادة التواصل مع الفريق، وحضوره المتفاعل مع الفريق.</t>
  </si>
  <si>
    <t>متخوف جدًا 
في بداية فترة التجربة معنا كان فوق الخيال
ولكن حاليًا شبه مختفي، أو تأثيرة غير  موجود
وكثير الاختفاء، فجأة يكون غير متواجد</t>
  </si>
  <si>
    <t>ODK7OWg</t>
  </si>
  <si>
    <t>obRWB0V</t>
  </si>
  <si>
    <t>عبدالله العييد</t>
  </si>
  <si>
    <t>رائع فالتواصل وضبط الأولويات، ولكن أعاني من ناحية الوضوح، احس انه يتوقع ان الناس يفهمون الي بباله، دائما يوجه مهام بشكل عام ورؤوس اقلام وهي تحتاج الى تفصيل وايضاح جميع الجوانب، ممكن بسبب انه منضغط فا مو قادر يشرح أو بسبب انه فاهم كل شي في ثمانية وانا موظف جديد فا يتوقع وضوح رؤيته مثل رؤيتي ؟</t>
  </si>
  <si>
    <t>يُمكن ويحفز؟ 
كان بالبداية مايكرومانجمنت ومثالي في كل شي، ،كنت مخنوق جدًا واعاني بشدة، بعد اتمامي للمهام بعد اسبوعين شكرني على الاداء،  اعتذر مني على المثالية الزائدة فا لقيتها فرصة اني اجلس معه و اواجهه بكل شي مريت فيه، تقبل الموضوع على طول وتغير للاحسن،  ولكن الى الان احس اني لا املك قرارات مستقّلة، ولازم ارجع له في كل شي.
متاح دومًا عند الحاجة ✅
يُظهر وعي وتفهّم اثناء الضغط،
 ولكن يحتاج ان يُدير عواطفة مع ضغط العمل، لانه شخص عاطفي والاحظه مع الضغط عواطفه تغلب عليه في تعامله مع الناس.</t>
  </si>
  <si>
    <t>يعجبني انه يعمل كقائد وليس مدير، يعمل معي ونتعاون ونساعد بعض كثير، ودومًا يستشر في اتخاذ القرارات.</t>
  </si>
  <si>
    <t>يٌقدر الجهود، يشجع على المبادرة من اول يوم توظفت فيه وكانت عنده توقّعات جدًا عاليه بالمبادة، هي رائعه بعد فترة من فهم البيئة والعمل، لكن سلبية اذا كان يريد المبادرات من اول يوم والتوقعات عاليه،
مشاركة المرئيات بحكم ضغط العمل ما اذكر اعطاني ملاحظات بناء، ،لكن يشكرني على جهودي دومًا.</t>
  </si>
  <si>
    <t>اولًا الاحترام،
 الشكر، 
التقدير،
العمل كقائد وليس مدير فقط، 
الدعم، 
يبي لي الخير دائمًا.
يحب التعّلم مني او من غيري.</t>
  </si>
  <si>
    <t>الوضوووح في المهام ! ،
 إعطاء المهام فجأة وتسليمها بنفس اليوم، 
المثالية الزائدة،
 التوقعات المرتفعة دومًا، 
إدارة عواطفه،
مايكرومنجمنت سابقًآ، ويحتاج للتحسن اكثر،.</t>
  </si>
  <si>
    <t xml:space="preserve">في البداية كان مديري محمد جعفر، بعدين اجتمع معي البراء وقال تغيرت الهيكلة وانا بكون مديرك، وعمليًا رجع مديري محمد جعفر، فا فيه لخبطة إدارية ماني فاهمها.
 أمنيتي اعمل مع البراء عشان أتعلّم منه لاني اشوفه قدوة، ولا قصور في محمد جعفر. </t>
  </si>
  <si>
    <t>2Ez6z6D</t>
  </si>
  <si>
    <t>KYxqP8k</t>
  </si>
  <si>
    <t>زياد عثمان</t>
  </si>
  <si>
    <t>بيوصل المشاركات والافكار اول باول وبوضوح الحقيقة.</t>
  </si>
  <si>
    <t>اه متاح طول الوقت حتى فى الاوقات المتأخرة، ولما بيكون فى حاجة critical او urgent ديمًا بيكون متواجد. وبيقسم الشغل بينا فى حالة الضغط، حتى صراحة فى اوقات الضغط اسلوبه لطيف جدًا ومتفاهم.</t>
  </si>
  <si>
    <t>بيتعامل باحترام جدًا، وبيسمع للمقتراحات والمشاركات. يعنى بيكون فى نقاش للتاسكات وازاى هنطبقها وكدة.</t>
  </si>
  <si>
    <t>اه يعنى فى موضوع التلفزيون مثلًا كان فى فرصة ندور ونشوف افضل حاجة ممكن نستخدمها وكان فى مساحة لمذاكرة الخيارات المتاحة اللى هنستخدمها.</t>
  </si>
  <si>
    <t>تفهمه فى اوقات الضغط والعمل.
وتشجيعه المستمر.</t>
  </si>
  <si>
    <t>محتاجين نزود التواصل مع باقي الزملاء فى الفرق التانية من وقت للتانى، لان اوقات بيبقى اللى شغال على مشروع بعيد عن باقى التيم لفترة طويلة، فمحتاجين نظبط حتة التواصل دى، سواء باجتماعات تجمع الفرق اكتر او كدة.</t>
  </si>
  <si>
    <t>شكرًا</t>
  </si>
  <si>
    <t>vGVEGdQ</t>
  </si>
  <si>
    <t>r0q8Zo</t>
  </si>
  <si>
    <t>- يشرح الأشياء بوضوح وبكامل التفاصيل
- يرتب المهام بما يتناسب مع مصلحة الفريق والمشروع</t>
  </si>
  <si>
    <t>سلسة ويتقبل الآراء بصدر رحب.</t>
  </si>
  <si>
    <t xml:space="preserve">كل شيء ممتاز </t>
  </si>
  <si>
    <t>متاح متى احتجته 🫡</t>
  </si>
  <si>
    <t>الوضوح والشفافية في جميع التفاصيل</t>
  </si>
  <si>
    <t>كل شيء ممتاز</t>
  </si>
  <si>
    <t>VLdOxay</t>
  </si>
  <si>
    <t>تواصله دائما واضح ومباشر، حتى حين تكون المواضيع معقدة أو مزدحمة بالمهام.
يعرف كيف يهدّئ الجو بنرة صوته، وكيف يجعل الأولويات تبدو منطقية بعد أن كانت ضبابية قبل دقائق ..</t>
  </si>
  <si>
    <t>الإيقاع متوازن، يسمح بالتركيز على الجودة أكثر من السرعة ..
وفي الوقت نفسه لا يقطع التواصل اليومي بين الأعضاء، والقرارات تُبنى على نقاش حقيقي، لا على انطباعات لحظية..</t>
  </si>
  <si>
    <t>يعطي الفريق مساحة ليجرب ويقترح، لكنه يظل حاضرا عندما يحتاجه أحد منا.
حس عال في اتخاذ القرارات، يعرف متى يتدخل ومتى يترك النقاش يأخذ مجراه.</t>
  </si>
  <si>
    <t>الدعم الحقيقي الهادئ، والذي يظهر في التفاصيل الصغيرة: هذا النوع من الدعم يصنع أثرا طويل المدى، لأنه يجعل الفريق يشعر بأن نموه أولوية أيضا,,</t>
  </si>
  <si>
    <t>يخلق بيئة عمل مريحة تشجع على النقاش والمبادرة، وعدم الخوف من الخطأ.
أسلوبه يجعل الفريق يعمل بروح واحدة، لا كأفراد متفرّقين، وهذا نادر جدا ..</t>
  </si>
  <si>
    <t xml:space="preserve">أعتقد أن أبو كريم يحتاج للمزيد من الموارد resources ليواصل بناء الفريق بنفس الهدوء والثقة اللذين يميّزانه.. </t>
  </si>
  <si>
    <t>الفريق يعيش مرحلة ناضجة من العمل الجماعي، هناك وعي بالمسؤولية وشعور مشترك بالهدف، وهذا واضح في التفاصيل اليومية أكثر من الاجتماعات، أسلوب القيادة هادئ، داعم، حكيم، يشجع، يفتح المجال للنمو، ويمنح الثقة للفريق.</t>
  </si>
  <si>
    <t>2EzOGaD</t>
  </si>
  <si>
    <t>ابو كريم في التواصل ممتاز، ويعمل دائمًا على ضبط أولويات المهام للبدء بها بشكل منظم وفعّال.</t>
  </si>
  <si>
    <t>ابو كريم دائمًا متاح عند الحاجة. يظهر وعيًا كبيرًا بتحديات الفريق ومشاعره أثناء فترات الضغط، مما يجعل طريقته في العمل داعمة وفعّالة.</t>
  </si>
  <si>
    <t>محمد يُشرك الفريق دائمًا في اتخاذ القرارات</t>
  </si>
  <si>
    <t>محمد يقدّم الدعم والتطوير بشكل جيد جدًا، مع توجيه مناسب عند الحاجة.</t>
  </si>
  <si>
    <t>سهولة توضيح الأفكار وقدرته الدائمة على توجيه الفريق نحو الأفضل.</t>
  </si>
  <si>
    <t>الأسلوب مريح ولا يوجد ما يزعجني، لكن لدي اقتراح: سيكون مفيدًا عقد اجتماعات دورية One-to-One بشكل منتظم لمناقشة التحديات والمشاكل التي نواجهها، وتقديم النصائح لنا لتطوير الذات.</t>
  </si>
  <si>
    <t>لا توجد أي ملاحظات إضافية في الوقت الحالي لمشاركتها.</t>
  </si>
  <si>
    <t>6R5oryR</t>
  </si>
  <si>
    <t>71aoOol</t>
  </si>
  <si>
    <t>محمد مرغني</t>
  </si>
  <si>
    <t>في المجمل ممتاز في هذه الأشياء باستثناء توضيح الأوليات على المدى البعيد</t>
  </si>
  <si>
    <t>لا شئ أضيفه هنا</t>
  </si>
  <si>
    <t xml:space="preserve">لم يتم جدولة اجتماع محطة الآن ولا توجد مرئيات عني </t>
  </si>
  <si>
    <t>الثقة والتعاون</t>
  </si>
  <si>
    <t>وجود تقييم لأعضاء الفريق لمساعدتهم على التطور ومشاركة خارطة طريق الشركة للمستقبل</t>
  </si>
  <si>
    <t>QKp767Y</t>
  </si>
  <si>
    <t>rjO6KbX</t>
  </si>
  <si>
    <t>يوسف خالد محمد سليمان</t>
  </si>
  <si>
    <t>اقدر لدى ناصر وضوحه في التواصل وحرصه على إيصال المعلومات والتوجيهات بشكل مباشر ومختصر، مما يساعدنا ك فريق على فهم المطلوب بدقة والتنفيذ بكفاءة وسرعة خاصة في اوقات الضغط, او في اوقات المهمات التي تحتاج سرعة ك تغطية مباريات او قرعة.
قدرته على ترتيب الأولويات وتحديد ما هو الأكثر أهمية في كل مرحلة، الأمر الذي يسهّل على الفريق التركيز وتقليل التشتت.
كما يُثمَّن حرصه على إتاحة الوقت للرد على الاستفسارات وتوضيح أي نقاط غير واضحة، مما يساهم في خلق بيئة عمل مريحة وداعمة للتواصل في اي وقت في اليوم حتى بعد منتصف اليوم او في خلال ايام اجازته.
ملاحظات أراها تستحق استمرار الانتباه والتطوير:
- يُفضَّل الاستمرار في مشاركة الصورة الأكبر والتوجه طويل المدى، بما يساعد الفريق على فهم خلفية القرارات وربط مهامه بالأهداف العامة.
بشكل عام، تُقدَّر جهوده في الحفاظ على وضوح التواصل وضبط الأولويات، وارغب في الاستمرار على هذا النهج مع تطوير الجانب المذكور اعلاه , مما يخدم الفريق بشكل أكبر و رياضة ثمانية</t>
  </si>
  <si>
    <t xml:space="preserve">اقدر لدى ناصر التزامه بتنظيم العمل وتوزيع المهام بشكل واضح، إضافةً إلى قدرته على متابعة التفاصيل دون أن يؤثر ذلك على تقدّم العمل ككل. كما يُثمَّن حرصه على التعاون وتسهيل التواصل داخل الفريق، مما يخلق بيئة عمل مريحة وسلسة. كذلك يُلاحظ اهتمامه بالحفاظ على جودة العمل والحرص على إنجاز المهام ضمن الوقت المحدد وفي نفس الوقت يركز على كٌل التفاصيل الصغيرة والاخطاء التي تتكرر من جهتنا ك " فريق التصميم " </t>
  </si>
  <si>
    <t>اقدر لديه أسلوبه الهادئ والمتوازن في قيادة الفريق، وقدرته على خلق بيئة عمل تشجّع على التعاون وتبادل الأفكار. كما تُثمَّن طريقته في دعم أعضاء الفريق وتشجيعهم على التطور، بالإضافة إلى مرونته في التعامل مع التحديات اليومية وتوجيه الفريق بأسلوب يحافظ على الاستقرار والإنتاجية.</t>
  </si>
  <si>
    <t>- دعمه المستمر لأفراد الفريق وتشجيعه على التعلّم واكتساب مهارات جديدة. كما يُثمَّن اهتمامه بتوفير الموارد والمعلومات التي تساعد الجميع على أداء مهامهم بشكل أفضل. ويُلاحظ كذلك حرصه على المتابعة البنّاءة التي تساهم في توجيه الفريق وتحسين جودة العمل.
ومن الجوانب التي قد تستحق تعزيزًا، زيادة التركيز على وضع خطط تطوير فردية أكثر وضوحًا، بما يضمن استفادة أكبر لكل عضو في الفريق.</t>
  </si>
  <si>
    <t>في أسلوب قيادته قدرته على خلق جو من الاحترام والثقة داخل الفريق، 
إضافةً إلى تعامله المتوازن في المواقف المختلفة. كما تُثمَّن مرونته وقدرته على دعم الفريق أثناء التحديات، مما يعزّز روح التعاون ويزيد من القدرة على الإنجاز.
أسلوبه في الاستماع وإعطاء مساحة لكل عضو للتعبير عن رأيه يعدّ من النقاط البارزة التي تُحدث فارقًا في بيئة العمل.</t>
  </si>
  <si>
    <t>قد يكون من المفيد تعزيز آليات المتابعة الدورية لقياس التقدم في المهام بشكل أوضح، بالإضافة إلى زيادة إشراك الفريق في بعض القرارات التي تؤثر على سير العمل. كما قد تُحدث خطوات إضافية في تحسين إدارة الوقت وتوزيع المسؤوليات أثرًا إيجابيًا على الإنتاجية العامة في المرحلة القادمة.</t>
  </si>
  <si>
    <t>D4yN1dp</t>
  </si>
  <si>
    <t>rjBxDbv</t>
  </si>
  <si>
    <t>عبدالعزيز الشهراني</t>
  </si>
  <si>
    <t>تعاملي كان مع محمد هاني وريان بيكل 
كلهم متعاونين وفاهمين ويعرفون توزيع المهاهم وتغيير للوقت بينها على حسب الأهمية وهذا كان يفرق معاي جدًا عن عملي السابق</t>
  </si>
  <si>
    <t>طريقة العمل سبق وعلمني محمد أن ترا ممكن نسهر بالمكتب سوا وممكن نجي نلعب فيفا أو نتابع
الموضوع يعتمد على الجدول وأتفق تمامًا معاه
هذا هو مجال التحرير صعب تحدد ساعات العمل
لكن الحمدلله مَرن ومتعود على العمل🥳</t>
  </si>
  <si>
    <t>أتمنى أن يستمر في التفاهم مع الفريق ومعرفة الجدول وتوزيع المهام بشكل رائع لأنه شيء قليل تشوفه في هذا المجال الصعب</t>
  </si>
  <si>
    <t>الدعم فيما يخص الإنتاج ويفيد الفريق، عندك فكرة تساعدنا؟ حيّاك فكرة ممكن تساعد وممكن تعطل العمل هذي صعبة شوي وأتفق معاه للأمانة.</t>
  </si>
  <si>
    <t>أسلوب جاد وفكاهي، جاد في وقت الجد وفكاهي في وقت الجد أيضًا وهذا الشيء يغير من نفسية وأحساس الفريق</t>
  </si>
  <si>
    <t>يكون هناك أثنين منه لأن عدد المحررين كبر جدًا والبرامج أيضًا</t>
  </si>
  <si>
    <t>1AyqLVW</t>
  </si>
  <si>
    <t>rjOyKol</t>
  </si>
  <si>
    <t>يعطي وقت فردي للجميع، يعيد ويكرر الاولويات والتذكير بها، يحدد اهداف واضحة وبدون تضارب.</t>
  </si>
  <si>
    <t>ممتاز صراحةً، الفريق اللي تحته كبير جدًا، لكن كل شي ماشي تمام لانه اما يوكل ويعطي ثقة، او يوقف على الشغلة بنفسه.</t>
  </si>
  <si>
    <t>- قيادته للفريق ممتازة، والكل له صوت ويقدر يشارك الجميع، والكل مرحب بانه يقدم معلومة او فائدة.
- مرات يوصلني قرارات محورية شوي، لكن تم الاتفاق عليها بدون مشاورة، صادف انها مشت تمام وقتها.
- المحاسبة عادلة بالعموم، وفيه مجال للخطأ والتحسين، ولكن مرات كثيرة يثبت اطباع قديم لشخص محدد، ويقيّم كل عمله بناءً عليه.</t>
  </si>
  <si>
    <t>زي الفل 👌🏼</t>
  </si>
  <si>
    <t>- يدير فريق ضخم بشكل سلس واحترافي جدًا.
- الاجتماعات الفردية.
- اعطاء فرصة للجميع.
- سرعة حل المشكلات.</t>
  </si>
  <si>
    <t>- دائمًا اشعر ان ضغط الوقت يقع حمله بشكل اكبر على المحررين، اقسام ثانية ممكن ياخذوا وقتهم، او يصير عندهم اخطاء، لكن الجميع معتاد انه اذا وصلت للمحرر عادي يسهر وينضغط ويلام على التأخير كمان، طبعًا هذي ماهي مشكلة عند ابو هاني، بالعكس هي مشكلة من فوق، لكن اتمنى محمد في منصبه الجديد يقدر يضبط هالموضوع.
- محمد كثير يثبّت انطباعات مسبقة، وشويتين صعب يغيرها، فممكن يوم ما احد افراد الفريق ما يرد على اتصال او يسلم الشغل متأخر، مهما يصير تفاني مستقبلًا يبقى الانطباع القديم ثابت، وبغض النظر عن ظرف وسبب الخطأ الاول أساسًا.</t>
  </si>
  <si>
    <t>Xxy8y8d</t>
  </si>
  <si>
    <t>8q86zq1</t>
  </si>
  <si>
    <t>التجديد واعادة ضبط الفريق مع التغييرات والمهام الجديدة كان ممتاز وعجبني كيف قدرت تسيطر عالأمور في وقت قياسي 👑</t>
  </si>
  <si>
    <t>تجربتي ممتازة وكنت متواجد متى ما احتجتك في شي</t>
  </si>
  <si>
    <t>قيادتك للفريق ممتازة، وشفت فعلًا تمكينك للأعضاء ومشاورتهم في شغلات كثيرة</t>
  </si>
  <si>
    <t>ماتقصر دائمًا</t>
  </si>
  <si>
    <t>قدرتك على ايجاد حلول وخطوات واضحة لمواجة تحديات الفريق تخلي الأمور تمشي بشكل سلس وواضح للكل</t>
  </si>
  <si>
    <t xml:space="preserve">اتمنى يكون بالبال وجود خطة واضحة مستقبلية (بعد ما تهدئ الأمور ونستقر أكثر) بتساعد ان الكل يرتب أموره للقادم </t>
  </si>
  <si>
    <t>KYA7N46</t>
  </si>
  <si>
    <t>P2Ko7b</t>
  </si>
  <si>
    <t>أتمنى أن يواصل حرصه على وضوح التواصل وترتيب الأولويات مثل ما يفعل الآن، 
لأنه يسهل علينا نعرف الاتجاه ونشتغل بشكل أكبر</t>
  </si>
  <si>
    <t>أتمنى ينتبه أحيانًا لتفاصيل طريقة التنفيذ، لأنها تصنع فرق كبير في النتيجة، خصوصًا لما تكون الفكرة قوية من الأساس.</t>
  </si>
  <si>
    <t>أشوف إن القيادة كانت واضحة في التوجيه، ومباشرة وقت الحاجة
يعجبني انه يحاول يفهم خلفية كل رأي قبل ما يتخذ قراره</t>
  </si>
  <si>
    <t>يعطيني ملاحظات مباشرة تساعدني أتطور، وايضا يثق فيني في المهام اللي تستاهل مسؤولية</t>
  </si>
  <si>
    <t>يعطيك الثقة قبل التوجيه، ويحاسبك باحترام مو بتخويف، يعرف متى يتدخل ومتى يتركك تتصرف، وهذا يخلّي الشغل أسهل وأسرع</t>
  </si>
  <si>
    <t>أتمنى يكون فيه وضوح أكبر في الأولويات على المدى المتوسط
عشان نعرف وين نوجّه جهدنا من البداية، وباقي الجوانب ممتازة، لكن هذي النقطة تحديدًا بتحسّن سرعتنا وجودة تنفيذنا</t>
  </si>
  <si>
    <t>yPGpZX6</t>
  </si>
  <si>
    <t>jabgrla</t>
  </si>
  <si>
    <t>مع ضيق الوقت وتسارع الإنتاج لبرامج الرياضة كانت بعض القرارات وخطط العمل غير مدروسة كفاية، مما نتج أننا ارتجلنا وعملنا على قدم وساق إلى حين الانتهاء من تسليم الحلقات.
أتمنى أن تتم دراسة آليات العمل بشكل أفضل، مما يقلل من المفاجآت والوقت. وتتوزّع الجهود على أكثر من شخص في نفس اللحظة حتى لا يكون الحمل كبير والمدة المستغرقة لإنهاء العمل طويلة.</t>
  </si>
  <si>
    <t>أحتاج مرئيات ونصائح أكثر.</t>
  </si>
  <si>
    <t>حمله لمهارات تقنية عدّة نستفيد منها كفريق، وتفهّمه لطرق سير العمل العملية.</t>
  </si>
  <si>
    <t>نحتاج نستوضح آليات الإدارة وما يترتب عليها من مستهدفات، فاليوم ننجز المهام لكن بدون بوصلة واضحة.</t>
  </si>
  <si>
    <t>obpaxRb</t>
  </si>
  <si>
    <t>Ek5gdql</t>
  </si>
  <si>
    <t>عبدالعزيز القحطاني</t>
  </si>
  <si>
    <t xml:space="preserve">واضح في تواصله معي ويحدد الأولويات بشكل مرتب، وهذا يساعدني اشتغل بدون لخبطة للأمانة.ممكن نطور اشياء بسيطة، مثل شرح المشروع بشكل اوضح قليلا. 
</t>
  </si>
  <si>
    <t xml:space="preserve">طريقة العمل سلسة، مع دخول الدوري كان الموضوع ملخبط شوي، لكن بشكل عام النظام حاليًا ناجح وفعال. 
</t>
  </si>
  <si>
    <t>حرص ابو هاني على بيئة العمل رائع، بس نطمح لملاحظات أدق تساعدنا نطور أكثر  و أكثر.</t>
  </si>
  <si>
    <t xml:space="preserve">ابو هاني مو مقصر صراحة، و اي دعم نحتاجه نلقاه موجود. </t>
  </si>
  <si>
    <t>الصراحة اقدّر في ابو هاني اسلوبه الهادئ والواضح حتى في وقت الضغط، وموجود دايم وقت نحتاجه، خصوصًا في السفر، مثلا يكون معنا في روم في الديسكورد طوال الوقت و كأنه معنا حضوريا.</t>
  </si>
  <si>
    <t xml:space="preserve">أتمنى يركز على شرح المهام بشكل أوضح، فقط. </t>
  </si>
  <si>
    <t xml:space="preserve">لايوجد، شكرًا لكم. </t>
  </si>
  <si>
    <t>rj1RyXv</t>
  </si>
  <si>
    <t>BzdyWOK</t>
  </si>
  <si>
    <t>عمر احمد السعدني</t>
  </si>
  <si>
    <t xml:space="preserve">طريقتة السهله تجعله قريب من الجميع </t>
  </si>
  <si>
    <t xml:space="preserve">دائما يبقي الدعم موجود </t>
  </si>
  <si>
    <t xml:space="preserve">عدد الفريق </t>
  </si>
  <si>
    <t>LZBOPrj</t>
  </si>
  <si>
    <t>يتواصل بهدوء ووضوح في الأولويات والإحتياجات.</t>
  </si>
  <si>
    <t>يدرك ظروف الفريق وما يتعرضون له من ضغط ويحاول اعطائهم وقت راحة وتوزيع المهام بين الفريق قدر الإمكان حتى لا يزيد الضغط بشكل غير صحي. ويطلب من الموظفين اخذ اجازات للراحة.</t>
  </si>
  <si>
    <t>يعمل باستمرار لتحسين هيكلة وتوزيع مهام الفريق لما يصب في صالح العمل والفريق. والبحث المستمر عن حلول تقنية لجعل المهام تسير بشكل عملي وأذكى,</t>
  </si>
  <si>
    <t>يشارك الفريق طرق وأدوات تساعد على تحسين وتسريع العمل.</t>
  </si>
  <si>
    <t>واضح عليه المجهود في تطوير وتحسين نفسه كمدير وقائد والرغبة بناء فريق و قسم يعمل بكفاءة.</t>
  </si>
  <si>
    <t>التطورات في التقنية جميلة جداً، لكن بعض التقنيات لم تصل لمرحلة النضوج الكافية للإعتماد عليها كلياً وضرور نكون واخذين نقاط ضعف بعض التقنيات في الحسبان.</t>
  </si>
  <si>
    <t>لا شيء في البال</t>
  </si>
  <si>
    <t>vG1xOJ7</t>
  </si>
  <si>
    <t xml:space="preserve">محمد يتواصل بشكل جيد معي ومع الفريق. 
بعض المهام تكون غير واضحة بشكل كافي أو أن وقت التواصل بخصوصها يكون غير مناسب ومتأخر بعض الشيء. 
</t>
  </si>
  <si>
    <t xml:space="preserve">إعطاءي والفريق حرية في طريقة إدارة المهام وتنفيذها يُعطيني وفريقي ثقة عالية ومساحة للإبداع واختيار طريقة العمل الأنسب. 
</t>
  </si>
  <si>
    <t xml:space="preserve">منذ بداية قيادة محمد للفريق كان يجمعنا بشكل دائم وأنشأ مشروع خاص لقادة فرقه للتواصل السريع فيما يخص التعاون بين الفرق التي يديرها، وكانت خطوة جدًا مهمة وفعالة في سرعة حل المشكلات تحديدًا. </t>
  </si>
  <si>
    <t xml:space="preserve">لم ألمس هذا الجانب بعد في قيادة محمد، وأتفهم قصد المدة وكذلك قيادته للفريق في وقت ضغط كبير. </t>
  </si>
  <si>
    <t xml:space="preserve">إعطاءه الثقة لفريقه وتواصله معهم بشكل مسؤول وفعال، وإطلاعهم على تطورات العمل وما هو قادم أول بأول. </t>
  </si>
  <si>
    <t xml:space="preserve">إعطاء مرئيات تساعد على رفع مستوى الكفاءة والإحسان في أداء المهام. 
تشجيع الفريق على خوض مهام جديدة ومختلفة ليرفع من مستوى تحديهم. </t>
  </si>
  <si>
    <t>WOXKJER</t>
  </si>
  <si>
    <t>5B8WKgE</t>
  </si>
  <si>
    <t>حسن الأهدل</t>
  </si>
  <si>
    <t xml:space="preserve">قديكون هذا التقييم غير دقيق لقصر فترة عملي و لانه في الشهر الاخير حدث تحسن ملحوظ وتوضيح للمهام </t>
  </si>
  <si>
    <t xml:space="preserve">كان المتوقع وجود فريق من المحررين ادربهم على تشغيل التحرير المباشر  وتقسيم المهام 
قد يكون عدم وجود ذلك بسبب عدم اكتمال وحدة الاخراج والبث والمتوقع اكتمالها قريبا </t>
  </si>
  <si>
    <t xml:space="preserve">اقدر حرصه على تطوير وتسهيل آلية العمل والمشاركة في اتخاذ القرارات </t>
  </si>
  <si>
    <t xml:space="preserve">اتمنى ان يشاركني مرئيات تساعدني على التطور </t>
  </si>
  <si>
    <t xml:space="preserve">اقدر له دعمه التقني للفريق </t>
  </si>
  <si>
    <t>مراعاة الجانب الانساني والعاطفي</t>
  </si>
  <si>
    <t>b5GQaeZ</t>
  </si>
  <si>
    <t>zxyeLNk</t>
  </si>
  <si>
    <t xml:space="preserve">في اكثر من موقف طلب مني محمود اجتماع لتنسيق الاولويات وتحديدها </t>
  </si>
  <si>
    <t xml:space="preserve">دائما يكون مساعد ومتعاون في فترات الضغط </t>
  </si>
  <si>
    <t>*</t>
  </si>
  <si>
    <t>في بعض البرامج طلب مني محمود تطوير طريقة عملي عليه ورؤيتي الاخراجية وحاولنا العمل على هذه النقطة لكن اعتقد انه التوجيهات على طريقة التطوير كانت غير كافية، 
بتصور لو يكون في ورشات تدريبية من طرف محمود او من طرف شخص اخر ممكن تساعد في تطوير هذه النقطة</t>
  </si>
  <si>
    <t xml:space="preserve">اقدر ثقته وتعاونه ودعمه السريع عند الحاجة والراحة في العمل معه </t>
  </si>
  <si>
    <t>فقط موضوع التطوير والدعم 🙏</t>
  </si>
  <si>
    <t>1AY1y41</t>
  </si>
  <si>
    <t>yPJa1og</t>
  </si>
  <si>
    <t>كانت الفترة الماضية أكثر فترة ضبابية مليئة بالمفاجئات، وتجاوزها القسم بشكل مرضي، وهذا أعتقد بسبب الوضوح وضبط الأولويات بيننا.</t>
  </si>
  <si>
    <t>معاذ بمثابة رفيق درب أكثر من كونه مدير، متفهم وداعم بشكل كبير، يحفز دائمًا للأفضل، ويلهم في أبسط التفاصيل في طريقة العمل.</t>
  </si>
  <si>
    <t>مهارة معاذ عالية في اختبار الأشخاص تحت الضغط وبالتالي استخراج افضل مافيهم، وهذا يضعنا دائمًا في حالة من التطوير الدائم وتحدي انفسنا قبل أي شخص آخر.</t>
  </si>
  <si>
    <t>عندي تقدير وامتنان للذكاء العاطفي العالي في ادارة الفريق، وحل الأزمات، ورفع المعايير دائمًا في جميع المخرجات مما يجعل الفريق مهتم وشغوف بتقديم أفضل ماعنده،</t>
  </si>
  <si>
    <t>جانب التواصل بين بقية الأقسام تحت قسم التصميم وضبط التقاطعات وهي مسؤؤليتنا جميعًا وانعكاسها علي عملنا قارق</t>
  </si>
  <si>
    <t>yPre6W7</t>
  </si>
  <si>
    <t>lbOQaE5</t>
  </si>
  <si>
    <t>واضح، موجّه ويتخذ قرارات.</t>
  </si>
  <si>
    <t>يعطي مساحة من الثقة ويستشير ويشير. معاون ومتفهم.</t>
  </si>
  <si>
    <t xml:space="preserve">مايستحرضني شيء. </t>
  </si>
  <si>
    <t xml:space="preserve">الوضوح والثقة. والمساحة الآمنة للتواصل دائمًا. </t>
  </si>
  <si>
    <t>ODK7OXA</t>
  </si>
  <si>
    <t>dW0rYrz</t>
  </si>
  <si>
    <t xml:space="preserve">سنا كيالي </t>
  </si>
  <si>
    <t xml:space="preserve">ما عندي مشكلة مع هذا الموضوع </t>
  </si>
  <si>
    <t xml:space="preserve">من الممكن ان يكون في تدخل زايد في ادارة بعض المهام - هذا يجي من الحرص و لكن مزعج للموظف </t>
  </si>
  <si>
    <t xml:space="preserve">تمام </t>
  </si>
  <si>
    <t xml:space="preserve">من الممكن ان يكون اوضح في التوجيه و التحسين للموظف </t>
  </si>
  <si>
    <t xml:space="preserve">ان يتعامل مع الفريق كجزء منه و ليس كمدير فقط </t>
  </si>
  <si>
    <t xml:space="preserve">ان يبدا في تحميل الفريق المسوؤليه حتى تخص عنه </t>
  </si>
  <si>
    <t>RG6KQ8d</t>
  </si>
  <si>
    <t>eqrq1yk</t>
  </si>
  <si>
    <t>أسامة زيد بادبيان</t>
  </si>
  <si>
    <t>مهند باعارمة</t>
  </si>
  <si>
    <t xml:space="preserve">يعطيني المهام ويوضحلي شي اذا مو فاهم فيه.
ومرات لما يكون عندي اكثر من مهمة يقول لي أيهم أولوية في الإنتاج أولا
</t>
  </si>
  <si>
    <t>مصدر الهام اسطوري لما أشوف تصاميمه أو أعماله ويعجبني شي عادي ممكن يشرحلي كيف سواه ويجاوب اسئلتي وطلباتي واذا مافهمني يستفسر أكثر.</t>
  </si>
  <si>
    <t>فريق التحريك ما اظن في تعاون كثير مباشر فيما بيننا بس ممكن يقول لي اتواصل مع شخص عشان يعطيني نظرة عامة عن عمل اذا ماكنت فاهمه.. ولكن اتفقنا ان يكون بيننا اجتماعات دورية بحيث نتعرف على بعض أكثر ونشوف امكانية الشغل التعاوني.
 في برنامج ريو جاي ساعدتني شهد البقمي في الانتاج وفي فلم اسم مستعار كان تعاون بيني وبين مهند باعارمه على أغلب لقطات الجرافيكس.
بس بشكل عام مابيننا تواصل كبير كفريق؛ ولا أشوفه شيء سيء بالضرورة لأن عملنا مايحتاج تعاون كبير..
بنفس الوقت عندما عرضت له فكرة مشاركة البروجكتات والبريستات بيننا كفريق، كان منفتح للفكرة ومتقبلها.
و من ناحية دعمه وأفكاره فهو حاضر في كل مشاريعي
ولما اقترحت له نفك كارد لفريق التحريك لحاله وافق وسواها</t>
  </si>
  <si>
    <t>حجاوب على مستوى شخصي، دائما احسه يدعمني ويعحبه شغلي ويعطيني ملاحظات تضبطه ومنفتح لأفكاري اذا شطحت بس تكون مناسبة.. بشكل عام داعم بنّاء</t>
  </si>
  <si>
    <t>التفاهم والاحترام والاستجابة السريعة</t>
  </si>
  <si>
    <t>ماعندي شي</t>
  </si>
  <si>
    <t>6756PYo</t>
  </si>
  <si>
    <t>pbdlK61</t>
  </si>
  <si>
    <t>شهد البقمي</t>
  </si>
  <si>
    <t>-بما أن مهند أصبح قائدنا مؤخرًا، وعندي تصور لأغلب الأعمال المُكلفة بها منذ فترة، فلا أملك القدرة حقيقةً على الحكم بدقة على هذا الموضوع وأقصد هنا «وضوح المهام» بشكل خاص، أما «تحديد الأولويات واتخاذ القرارات» فأشكره جدًا لأنه حريص على هذا الشيء</t>
  </si>
  <si>
    <t>- خلال اجتماعات سياق للقرافيكس منذ أن أصبح مهند قائدنا كان حاضرًا دائمًا، وعندما يُشكل عليّ شرح شيء للفريق، كان يحاول تقريب وجهات نظرنا بحكم خبرته «ممتنة لهذه اللفتة» 
- كما ألاحظ أنه يعطينا فريق المحركين المساحة الكاملة للاستقلالية ويتفهم التحديات التي نواجهها، ليس أنا فقط.</t>
  </si>
  <si>
    <t xml:space="preserve">هذا المحور أيضًا لا أستطيع الحكم عليه بشكل جيد «خاصة السؤال الأخير »، وذلك بحكم الضغط الذي نواجهه الفترة الحالية، وقصر المدة التي أصبح فيها «مهند» قائدنا، وربما أيَضا أن تقاطع مهامنا في الفريق نادر
</t>
  </si>
  <si>
    <t>- هو دائمًا حاضر عندما يشكل علينا شيء، ومتجاوب، ولكن لأنه يعي تمامًا صعوبة التعديلات في التحريك، أشعر أنه أحيانًا يتكفل بتعديلها بنفسه -لو الملف المفتوح موجود- «الله يعطيه العافية» أو يشارك بعضها، وشخصيًا بالعكس أتمنى لو يشاركها جميعها حتى لو حملت جهدًا إضافيًا أحيانًا، فهذه المرئيات-خاصةً لو صاحبها توضيح- ستكون عاملًا مهمًا للتحسين وتطوير مهاراتنا
- مرات عدة كان يعطي فكرة أو اقتراح، وعندما أقوم بتجربة شيء أخر، يشجعني «لم يكن متعصبًا لاقتراحه أو رأيه أبدًا»</t>
  </si>
  <si>
    <t>أقدر جدًا تفهمه للضغوط التي نمر بها، فهو متعاون وداعم لأبعد حد، وبما أن ثمانية فيها العديد من المشاريع أقدر كثيرًا أنه أعطاني الثقة بأن يجعلني أجرب عددًا منها، ولا أن أنغلق في مشروع واحد فقط
ممتنة أنه أصبح قائدنا 🙏</t>
  </si>
  <si>
    <t xml:space="preserve">- صحيح أن أعمالنا عادةً منفصلة ونادرًا ما تتداخل، وهذا يقلل للأسف فعالية التعاون بيننا كفريق، فبودي تتسع قليلًا هذه الدائرة، كإنشاء اجتماع شهري وتقديم الآراء لتحسين أعمالنا، أو لو كان أحد يعاني من مشكلة يطرحها هناك وشخص أخر من أعضاء الفريق يمكنه المساعدة فيها وهكذا
- أيضًا من الممكن أن يكون هناك مُحرك أساسي للأعمال وأخر يساعد في طرح الأفكار أو الأراء لنفس العمل 
- أتمنى أن يشاركنا بشكل أكبر مرئياته فلا نستغني عن خبرته ومعرفته
</t>
  </si>
  <si>
    <t>xX1EYWy</t>
  </si>
  <si>
    <t>2EaWQ8L</t>
  </si>
  <si>
    <t>جيد في التفاهم حول مواعيد التسليم ومرن</t>
  </si>
  <si>
    <t>مبسوط أنه يتفهم أن بعض المشاريع تأخذ وقت أطول لأننا من نفس الخلفية الفنية (موشن جرافيكس)</t>
  </si>
  <si>
    <t xml:space="preserve">لم نتعرض لمواقف يظهر فيها ذلك بوضوح مثلاً </t>
  </si>
  <si>
    <t>لم نتعرض لمواقف مشابهة كثيرًا، لكنني على علم بثقته العالية فيني</t>
  </si>
  <si>
    <t>أنه قريب لنا أكثر كونه يعرف طريقة سير عملنا تمامًا وليس مدير من خلفية مختلفة</t>
  </si>
  <si>
    <t xml:space="preserve">حضوره بشكل أكبر </t>
  </si>
  <si>
    <t>44dOVxO</t>
  </si>
  <si>
    <t>WOER46j</t>
  </si>
  <si>
    <t>نائل عمار</t>
  </si>
  <si>
    <t>من ناحية إيصال الأفكار وشرح المهام، مهند واضح وفعّال، والدعم منه حاضر دائمًا في كل مهمة أعمل عليها.
في نفس الوقت، أشوف أن وجود آلية موحّدة لاستقبال وترتيب المهام بين الأفرقة المختلفة راح يساعد كثير في رفع الكفاءة وتنظيم الأولويات.
هيكلية واضحة تُظهر المهام القادمة، مثل جدول شهري للبرامج والمشاريع، راح تضمن وضوح أكبر عند توزيع العمل، وتُسهل المتابعة على باقي الأفرقة، مع احتساب المهام الطارئة اكيد.
حاليًا آلية الاستقبال موجودة لكنها تحتاج تنظيم إضافي لتسهيل وصول الجميع لصورة شاملة ومركزية للمهام عن طريق هيكلية واضحة وهذا الشيء راح ينعكس إيجابيًا على الفريق ككل.</t>
  </si>
  <si>
    <t>العمل مع مهند يتم بطريقة مباشرة وسلسة، ويُسهّل عليّ دائمًا الوصول للمعلومة وقت الحاجة.
يظهر مرونة عالية وتجاوب سريع، وهذا يخلق بيئة تساعدني على تنفيذ المهام بكفاءة أكبر.
بالإضافة إلى تعامله الهادئ في فترات الضغط، مما يخفف التوتر ويجعل تركيز الفريق أوضح أثناء الإنجاز.</t>
  </si>
  <si>
    <t>التواصل عنصر أساسي في أي فريق، وأشوف أن تعزيز هذا الجانب عندنا راح يرفع كثير من جودة العمل وروح التعاون.
وجود اجتماع دوري أسبوعي أو نصف شهري بيكون مساحة ممتازة للنقاش حول:
- الاقتراحات التطويرية
- التحديات في المشاريع
- مشاركة القائد للقرارات التي تحتاج مشورة الفريق
- تبادل الخبرات بين أعضاء الفريق، خصوصًا مع وجود مواهب متنوعة
أشوف أن تفعيل هذه المساحة بشكل مستمر راح يساعد على تعزيز روح الفريق الواحد ويدعم الاتصال بين الجميع، خصوصًا مع تنوع المشاريع وتعدد الأولويات.</t>
  </si>
  <si>
    <t>الدعم والمرئيات من مهند موجودة دائمًا، وبشكل فعّال، وهذا من أكثر الجوانب اللي أقدّرها فيه.
وبالنسبة للمبادرات، أشوف إن الفريق قادر يقدم قيم إضافية في هذا الجانب لو توفرت مساحة أكبر لمشاركة الأفكار ومناقشتها، خصوصًا مع ضغط المشاريع وتعددها.
وجود وقت مخصص للمبادرات حتى لو بسيط راح يساعد على إبراز جهود الفريق بشكل أوضح ويدعم التطوير بشكل مستمر.</t>
  </si>
  <si>
    <t>مهند متميز في طريقة إيصال المعلومة التقنية، ويقدر يوجهني بسرعة نحو الشخص أو المسار الصحيح عند الحاجة.
يعرف جوانب قوة أعضاء فريقه ويستثمرها بشكل فعّال، وهذا كان واضح في نجاح عدد من المشاريع.
كذلك يتعامل بتفهم، ولديه قابلية للاستماع للنقد البنّاء وتبادل الملاحظات، مما يجعل العمل معه تجربة احترافية ومريحة.</t>
  </si>
  <si>
    <t>تعزيز التواصل الدوري داخل الفريق يساعد بشكل كبير على تطوير المهارات ووضوح التوجهات، خصوصًا في بيئة متعددة المهام.
وجود أهداف واضحة لكل عضو بناءً على المسار الذي يرغب في تطويره راح يرفع من مستوى المبادرة عند الفريق ويزيد من الاستفادة من المهارات المتنوعة.
كما أن وجود نظام منظم لتتبع المهام يسهل الوصول للمعلومات لجميع الأعضاء، ويمنح مساحة أكبر لمشاركة الملاحظات وتوضيح التحديات خلال العمل مع الأفرقة الأخرى.</t>
  </si>
  <si>
    <t>اعتقد أن أكبر فرصة تطوير للفريق تكمن في بناء هيكل أوضح للتواصل الداخلي. خلال الفترة الماضية لاحظت أن غياب نقطة اتصال ثابتة أو اجتماعات دورية يحدّ من مشاركة الأفكار أو تبادل المعرفة بين الأعضاء،
خصوصًا مع تعدد المشاريع وتنوع المهام.
وجود مساحة منتظمة للحوار يساعد على إبراز التحديات مسبقًا، ومشاركة الحلول، ويقوّي روح الفريق.
كذلك وجود توثيق أو نظام واضح لتنظيم المهام وتوزيعها مهم لجعل عملية المتابعة والإنجاز أسهل بكثير لجميع الأعضاء.
الفريق يملك مواهب قوية، ومع قليل من البناء على هذا الجانب من التواصل والتنظيم، من الممكن تحقيق مستوى أعلى من الإنتاجية والوضوح،
وهذا راح ينعكس بشكل مباشر على جودة العمل وعلى شعور الأعضاء بالدعم والاستقرار داخل الفريق.</t>
  </si>
  <si>
    <t>D4Y8Xvb</t>
  </si>
  <si>
    <t>J8dgZ8r</t>
  </si>
  <si>
    <t xml:space="preserve">يجيد جداً التواصل بشكل فعّال، وقادر على ضبط الأولويات. 
لذلك هذه النقطة مافيها اي خلاف ويعطيه الف عافية. </t>
  </si>
  <si>
    <t>أيضًا هذه النقاط على حسب تجربتي معه خلال الفترة الماضية، كان دائمًا متجاوب وحاضر معي في اغلب التفاصيل.</t>
  </si>
  <si>
    <t xml:space="preserve">احنا فريقنا صغير جداً كلنا على بعضنا 5، لذلك ما عندنا الوقت انا نتناقش مع بعضنا البعض بسبب انشغالنا الدائم في مشاريع مختلفة. </t>
  </si>
  <si>
    <t xml:space="preserve">دائما داعم ومحفز وفنااااان ولديه نظره جديدة تضيف لي ولعملي ومشروعي. </t>
  </si>
  <si>
    <t>هادئ - رايق -وقادر على التعامل مع اي تحديات جديدة.</t>
  </si>
  <si>
    <t xml:space="preserve">ولا شيء. </t>
  </si>
  <si>
    <t>LZyk2NG</t>
  </si>
  <si>
    <t>zxyMQ6q</t>
  </si>
  <si>
    <t xml:space="preserve">محي الدين المهايني </t>
  </si>
  <si>
    <t>فيه وضوح جيد جدًا ، تجيه المهمة كجبل و يسلمها لي ببساطة 
يقدر يتخذ قرار أسرع من الصاروخ و دائمًا تكون واضحة و تصب في مصلحة العمل و مصلحتي.</t>
  </si>
  <si>
    <t xml:space="preserve">شعور الثقة وصلني و أنا ما كملت فترة طويلة و هذا شي حفز الإبداع عندي و خلاني أشتغل بطريقة أريح. 
متاح حتى لو فوقه جبل ، أحيانًا أحس بالجبل يلي فوقه و أغير الموضوع بس يحس أني غيرته و يقولي ، أيش فيه قول؟  </t>
  </si>
  <si>
    <t xml:space="preserve">
غالبًا أي مشروع نشتغله سوا يشاركني و يسألني عن رأيي فيه إخراجيًا و فنيًا قبل تنفيذه. </t>
  </si>
  <si>
    <t xml:space="preserve">أنا كملت تقريبًا أربع أشهر في ثمانية ما أجتمعت مع كامل فريق المخرجين ولا مرة هذا الشي مو مأثر على العمل بالعكس الإبداع واصل للعلالي و لكن ممكن يصير.
التقدير حسيت فيه لما أعطاني الثقة بالعمل.
المرئيات نادر ما اسمعها منه يمكن لأنه متفقين لدرجه رهيبة أو لأنه مافي أو لأنه ما يشاركها.
</t>
  </si>
  <si>
    <t xml:space="preserve">الدعم ، الثقة ، مشاركة إتخاذ القرار ، وعيه لفترات الضغط و يحاول يخففها ، تبسيط كل شي ، المساندة </t>
  </si>
  <si>
    <t xml:space="preserve">المتابعة مع المُنتجين لكل مهمة تسند لي ، 
لأنه دائمًا تجيني مهام كثيرة منها الكبير و منها البسيط بس أكتشف أنه ما عنده علم فيها لأنه ما أحد عطاه خبر فيها. 
موقف : كنا نتكلم وقالي كيف الدنيا هاليومين خفيفة ، و أنا كنت غرقان في تنفيذ المهام  
تحديد الأولويات ، 
مثلًا يُسند لي من المُنتجين مهام لرياضة ثمانية و مخرج ٨ و معيشة ثمانية كلها في نفس الوقت و نفس مدة التنفيذ ، سألته قبل لمين الأولوية ؟ يقولي لرياضة ثمانية دائمًا 
لكن كل مُنتج مستعجل على تنفيذ مهمته معي ، و هنا أرى أنه موفق ممكن يتفق مع كل مُنتج على تحديد الأولوية بناءً على أهميتها </t>
  </si>
  <si>
    <t>J8Y6pYR</t>
  </si>
  <si>
    <t>GxK725L</t>
  </si>
  <si>
    <t>ودي يصير أكثر صراحةً في بعض الأحيان، لكن ماقد حسيت انه قلة الوضوح أثّرت بشكل سلبي عليّ.</t>
  </si>
  <si>
    <t>حتى الآن أشوفها عملية، ومواكبة لضغط الإنتاجات.</t>
  </si>
  <si>
    <t>يعجبني أنه يترك لنا مساحة في اختيار المشروع اللي ودنا نشتغل عليه، ويعطينا محددات ويرشّح لنا أفكار يمكن أن تناسب كل مشروع.</t>
  </si>
  <si>
    <t xml:space="preserve">يعطيني توجيهات دقيقة في تطوير الرؤية، وبأسلوب تشاركي، يجعلني أحب أن آخذ رأيه الفني دائما. </t>
  </si>
  <si>
    <t>الثقة العالية في أفراد الفريق.
توكيله التام لكل المهام الكبرى، الذي ينبع من ثقة صادقة.</t>
  </si>
  <si>
    <t>لا يحضرني شيء.</t>
  </si>
  <si>
    <t>Eke7GRr</t>
  </si>
  <si>
    <t>قراراته واضحة وسريعة، وترتيبه للأولويات جيد. فقط يحتاج يكون التواصل أوضح من البداية عشان نتحرك بشكل أسرع</t>
  </si>
  <si>
    <t>أسلوب عمله مريح وواضح. يعطي ثقة حقيقية، ويتعامل بوعي عالي مع ضغط الفريق، هالطريقة تخلّي الشغل يمشي بسلاسة وتخلق بيئة صحية للإنتاج "سلسلة مالك الروقي"</t>
  </si>
  <si>
    <t>الجانب اللي يحتاج تعزيز هو رفع مستوى التعاون وتبادل المعرفة داخل الفريق، لأنه بيساعدنا نتحرك كمنظومة أقوى</t>
  </si>
  <si>
    <t>دعمه واضح ويقدّر جهود الفريق، ويشجع على الإبداع بشكل كبير</t>
  </si>
  <si>
    <t>الدعم واضح، ويقدّر الجهد بشكل كبير، ويمكن فقط زيادة مساحة النقاش حول التطوير الفردي على المدى الطويل</t>
  </si>
  <si>
    <t>EkevKYr</t>
  </si>
  <si>
    <t>NpXkY1B</t>
  </si>
  <si>
    <t xml:space="preserve">عاصم الدخيل </t>
  </si>
  <si>
    <t xml:space="preserve">- عدم التردد في اتخاذ القرارات 
- التحدث مع الفريق بشكل كافي </t>
  </si>
  <si>
    <t xml:space="preserve">يبدون كل شي جيد ، لكن رحلة مهام المشروع ، تكون غير واضحة بعض الشيء مما يجعلك خارج الصورة بعض الاحيان </t>
  </si>
  <si>
    <t xml:space="preserve">- الهدوء - عدم التسرع - التأني
</t>
  </si>
  <si>
    <t xml:space="preserve">- يكون أكثر جرأة بإتخاذ القرارات 
- يفوض الفريق وبعتمد عليهم 
</t>
  </si>
  <si>
    <t xml:space="preserve">- يعطيكم العافية على هذا الجهد الرائع والمميز 
وبحكم إني انضميت مؤخرًا اشوف كل شي متقن ماشاءالله ، لكن اشعر في غالب الأحيان تكون المهام عائمة 
واتوقع حلها إضافة فريق إدارة المشاريع يحرك عجلة كل مشروع يضمن سريان رحلة كل مشروع </t>
  </si>
  <si>
    <t>Gx46Eeo</t>
  </si>
  <si>
    <t>vGe7Edd</t>
  </si>
  <si>
    <t>أعتقد الأوليات تتغير بشكل دوري وقد تضيع مع كثرة العمل فممكن تتحدد بشكل دوري حتى لا نفقدها</t>
  </si>
  <si>
    <t>دايم يحفز على الاستقلالية بدون التدخل بشكل كبير على العمل اللي اشتغل عليه. هذا يعطي حرية في الرأي والتعبير الابداعي.</t>
  </si>
  <si>
    <t>أعتقد الفريق مجملا يعتبر مستقل وغالبا لا توجد قيادة للفريق أكثر من انه كل شخص يعطي مسؤوليته بالكامل لكل عمل يعمل عليه. فاعتقد الاجتماعات الدورية بين الفريق راح تضيف كثير للفريق</t>
  </si>
  <si>
    <t>دائم يساهم في التشجيع على المبادرة ووجود علاقة جيدة بين فريق العمل على جانب شخصي. لا زال في مساحة من ناحية مرئيات تساعد على التطور للمدى البعيد أو انتقال بين موظف يعمل على نوع معين من المشاريع الى نوع مختلف تماما</t>
  </si>
  <si>
    <t>دائما يدافع عن الفريق. فهذي سمة ممتازة</t>
  </si>
  <si>
    <t>الربط للفريق وكثرة التواصل</t>
  </si>
  <si>
    <t xml:space="preserve">أعتقد اننا كفريق للمخرجين مفقود حس الفريق وتعتبر القيادة عبارة عن اسناد مهام فلا أعتقد انها تفيد القائد بانه يدير الفريق ولا تفيد أعضاء الفريق انهم يعملون مع قائد يضيف لهم.
فالقائد مهمته هو الهام وتشجيع الفريق بانهم ينتجون افضل ما لديهم ويتم تطوريهم بشكل مستمر.  </t>
  </si>
  <si>
    <t>5BoEgQE</t>
  </si>
  <si>
    <t>Pd8K1P5</t>
  </si>
  <si>
    <t>مهاب ابوبكر</t>
  </si>
  <si>
    <t>المامها بالتفاصيل التقنية يكسبها وضوح عالي في ايصال افكارها ويسهل تبادل الافكار والخطط. لكن التغييرات المفاجئة احيانا تسبب بعض الضبابية</t>
  </si>
  <si>
    <t>ثقة عالية بدون ادارة شدبدة مع الحرص على جودة المخرجات</t>
  </si>
  <si>
    <t>تخلق بيئة صحية للنقاشات</t>
  </si>
  <si>
    <t>مهتمة جدا بعلاقة الاعضاء ببعضهم البعض</t>
  </si>
  <si>
    <t>الوضوح في ايصال الفكرة. الحرص على اثراء النقاش. التأكيد على الجودة بدون شدة</t>
  </si>
  <si>
    <t>محاولة تخفيف الحدة في بعض الانتقادات قد يساعد في تقبلها اكثر</t>
  </si>
  <si>
    <t>0QzZ6W6</t>
  </si>
  <si>
    <t>6RK6Kx2</t>
  </si>
  <si>
    <t>سعود المهنا</t>
  </si>
  <si>
    <t>نايف رائع ومباشر في التواصل، مريح في كثير مواقف. ممكن لو فيه ملاحظة هو في الوضوح خصوصا في البداية أشعر بإني واجهت بعض الضبابية في طريقة القيام بالعمل.</t>
  </si>
  <si>
    <t>هذا أروع ما يميز نايف، ممكِّن، حاضر، متفهم.</t>
  </si>
  <si>
    <t>تقييمي هنا مجرد إحساس لا يؤخذ به، عملي مع نايف كان فردي طوال فترتي. وما جربت أعمل مع فريق تحت قيادته.</t>
  </si>
  <si>
    <t xml:space="preserve">نايف مميز في التقدير ويشعرني بأن عملي ممتاز.. ممكن أتمنى منه مرئيات وملاحظات أكثر سواء إيجابية أو سلبية. </t>
  </si>
  <si>
    <t>أكثر ما أعجبني في نايف هو الثقة. من اليوم الأول شعرت بالمسؤولية الكبيرة، وشعرت بالثقة والتمكين كذلك، ما كان شخص يلاحقني في الصغيرة والكبيرة أو يطلب موافقته في كل شيء، كان واثق ومسلمني الموضوع ويتابع من بعيد.. وزنية تسمح لي أتطور وأتعلم من أخطائي بسرعة.</t>
  </si>
  <si>
    <t>نايف ممتاز ولا فيه ذيك الملاحظات الي تذكر، دائما موجود وداعم ومتجاوب.. ممكن نقطة الملاحظات بس لو تزيد تكة بيصير مثالي.</t>
  </si>
  <si>
    <t>PdyPqg5</t>
  </si>
  <si>
    <t>واضح في التواصل وسريع في التجاوب واتخاذ القرارات</t>
  </si>
  <si>
    <t>لا توجد لدي مرئيات إضافية</t>
  </si>
  <si>
    <t xml:space="preserve">- سريع التجاوب في اعتماد المحتوى 
- يقدّم ملاحظات بنّاءة تسهم في تحسين جودة المحتوى
- متاح دائمًا لتقديم التوجيه عند أي استشارة
- واضح في شرح الأفكار وإيصال المعلومات، ويقدّم حلول عملية عند وجود أي إشكال </t>
  </si>
  <si>
    <t>ما فيه قصور</t>
  </si>
  <si>
    <t>VLylM6l</t>
  </si>
  <si>
    <t>RGdXZZp</t>
  </si>
  <si>
    <t>أريج</t>
  </si>
  <si>
    <t>مهام كل فرد في الفريق واضحة له، نعرف ما يمكن تأجيله وما يجب تعجيله، ومتى ما طرأ طارئ يطلعنا عليه ويضعنا في الصورة بوضوح.</t>
  </si>
  <si>
    <t>حريص ألا نعمل لمجرد العمل وبالتالي ما يضغطنا بالمهام من أجل الإنجاز فحسب، يهمّه أن ينتج كل فرد في الفريق أفضل ما يمكن إنتاجه.</t>
  </si>
  <si>
    <t>بشكل عام يفهم طبيعة انسجام بعض أفراد الفريق ببعضهم وبالتالي يشرك كل شخص مع من يناسبه من الفريق -لو استدعى الأمر يعني-</t>
  </si>
  <si>
    <t>يقدر جهودنا بطريقة تحفزنا على العمل أكثر، وينتقد نقد بنّاء يساعدنا على التطور.</t>
  </si>
  <si>
    <t>يعاملنا بإنسانية، يحترم أوقاتنا وجهودنا وطاقاتنا، ما يكلمنا من برج عاجي :).</t>
  </si>
  <si>
    <t>صدقًا ما عندي شيء.</t>
  </si>
  <si>
    <t>Y5XV2GJ</t>
  </si>
  <si>
    <t>Ekl8XeN</t>
  </si>
  <si>
    <t>سارة بن حميد</t>
  </si>
  <si>
    <t xml:space="preserve">أول ما شدّني فيه هو وضوحه: وضوح المهام، والمسؤوليات، وحدود كل فرد في الفريق؛ ما الذي يدخل ضمن مسؤولياته، وما الذي لا يُطلب منه. كذلك كان دقيقًا في ترتيب الأولويات؛ فعندما طرحتُ فكرة قوالب جديدة للتواصل، رحّب بها ودعمها، لكن بما أن فريق التصميم كان منشغلًا بأولويات مرتبطة بالإطلاقات، أجّل تنفيذها إلى وقت يناسب جدولهم. وعلى هذا فقيسوا. </t>
  </si>
  <si>
    <t xml:space="preserve">برغم توجيهاته ومرئياته البسيطة، إلا إنه يُشعرني بثقته العالية في اتخاذي للقرارات ورؤية ما الأنسب، ويترك لي حرية الاختيار. بما لا يتعارض مع توجهات ثمانية ونبرتها. ويحتوي أسئلتي واستفساراتي ويتعامل مع أرائي بوعي واتساع صدر. ويدرك التحديات التي أمرّ بها، ويسعى معي بصبر ووضوح إلى إيجاد الحلول. </t>
  </si>
  <si>
    <t xml:space="preserve">دايما يردد إن الشخص هو يحاسب نفسه بنفس قبل لا يحاسبه مديره، الموظف هو مدير نفسه قبل كل شيء، وفعلًا. وأي فكرة جديدة تطرح أو توجه جديد يُطرح يشاورنا فيه ويأخذ رأينا حتى نشوف أيش الأنسب. ومرحب بالتجارب الجديدة وما يشوف مانع نجرب ونقيس ونرصد. </t>
  </si>
  <si>
    <t>ودي دائمًا يستمر بالتشجيع والدعم للأفكار والتجارب الرائعة، وطرح الملاحظات اللي تساعدنا نتطور.</t>
  </si>
  <si>
    <t xml:space="preserve">ثقته في فريقه، وترك حرية الخيار لهم بما لا يتعارض مع ثمانية وتوجهها، حرصه على وقتهم وصحتهم، ومشاركة المرئيات اللي تساعدنا دايما نتطور ونحسن من عملنا. </t>
  </si>
  <si>
    <t>أرى أن وجود اجتماع دوري ثابت للفريق سيكون خطوة مهمة في تحسين التنسيق، وتوضيح الأولويات، ومشاركة المستجدات بشكل فعّال مع الفريق، كذلك ودي يكون فيه متابعة مباشرة منه للنشر مع الفريق، بحيث نضمن ما يصير فيه تأخير أو تعطيل. على أن كل فرد من الفريق متحمّل للمسؤولية بصراحة 🙏</t>
  </si>
  <si>
    <t xml:space="preserve">كلها شاركتها في الأعلى، لم يتبق سوى شكركم على جهدكم وإحسانكم ومتابعتكم الله يرضى عنكم ويبارك فيكم وفي عملكم. </t>
  </si>
  <si>
    <t>ja2QKb6</t>
  </si>
  <si>
    <t>ما فيه ملاحظات في هذا الجانب، أظنه من أكثر الأشخاص اللي قابلتهم وضوحًا وترتيبًا. أظن هذا يجي أحيانًا على حساب المرونة والارتجال المطلوب في بعض المواقف والقرارات اللي تجي، لكني ما أذكر موقف خسرنا فيه شيء بسبب الترتيب والوضوح.</t>
  </si>
  <si>
    <t>ما فيه ملاحظات من هذا الجانب.</t>
  </si>
  <si>
    <t>أعتقد بس أن المحاسبة ما هي جانب حاضر بحضور التفهم، أحيانًا أتقاعس وأبي أشوف وش يسوي- للفضول أحيانًا، وللطبيعة البشرية أحيانًا. بس ما يسوي.
أحيانًا أحس أن فيه مواقف وعمليات بس تحتاج زنة وتكرار للملاحظات، على الفريق كاملًا أتكلم، بس هذا ما يصير، وهذا أحيانًا يقلني، لأني أسوي كذا شخصيًا إذا شفت أن ما فيه طب في الشخص أو في الموقف، وأعتقد أن فيني طب، وفي كل الفريق طب، وأن أكثر المواقف فيها طب. أدري أن لفقدان الأمل -اللي يظهر لي وأصفه بذلك- ظروف ومسببات، بس أنه متعب لي.</t>
  </si>
  <si>
    <t>المرئيات ناقصة لأني ما أشبع، أو هكذا أظن، يمكن ما يكثّرها عليّ لردة فعلي اللي ما أدري إذا هي جيدة إذا أحد أعطاني مرئيات.
بس أعتقد أن عنده أشياء أكثر يقولها لي وعلى طريقة عملي بس أنه يحتفظ فيها لنفسه، وهذا محبط أمانةً.
إذا ما جاءتني ملاحظات معناته في نظري أن كل شيء أسويه صح، أو أني قاعد لأن ما فيه بديل أفضل، ويقينًا موب كل شيء أسويه صح، فيه أشياء أسويها وأنا أدري أنها موب صح حتى لو عاندت.</t>
  </si>
  <si>
    <t>التفهم والذكاء العطافي الاجتماعي.</t>
  </si>
  <si>
    <t>تكثير المرئيات، والزن أكثر.
يمكن أيضًا أن يكون فيه حدة أكثر لتحقيق رؤية خاصة في المنتج النهائي.</t>
  </si>
  <si>
    <t>EkeaK82</t>
  </si>
  <si>
    <t>rjONldX</t>
  </si>
  <si>
    <t>ياسر فهد</t>
  </si>
  <si>
    <t>مهام التواصل عندنا دايم ما يكون فيها تحديات، بسبب توقف بعض الانتاجات وعودة بعضها او وجود انتاجات جديدة.. فالاولويات هنا تتغير باستمرار.. ولكن الجميل ان القائد يجرب مره ومرتين وثلاث إلى أن يضبط ترتيب الأولويات لدى الفريق بشكل ملائم.</t>
  </si>
  <si>
    <t>أقدّر كونه يتفهم فترات الضغط، يتجاوب معها ويتعامل معها.</t>
  </si>
  <si>
    <t>لا اشعر بالضياع، واشعر اني وسط فريق واضحه اولوياته وخططه.</t>
  </si>
  <si>
    <t>مستواي باليوم اللي دخلت فيه ثمانية ومستواي اليوم فيه فرق كبير، وهذا إن دل على شيء إنما يدل على التطوير المتبوع بالدعم.</t>
  </si>
  <si>
    <t>الوضوح بشكل عام، التعاون اللي يبديه.</t>
  </si>
  <si>
    <t>ما يخطر في ذهني شيء الآن.</t>
  </si>
  <si>
    <t>VLdBoXJ</t>
  </si>
  <si>
    <t>jabpaWR</t>
  </si>
  <si>
    <t>أقدر الشفافية والوضوح في التواصل</t>
  </si>
  <si>
    <t>يقدر الضغط ويبرع في توزيع المهام وتحديد الأولويات</t>
  </si>
  <si>
    <t xml:space="preserve">أشعر أني ضمن الفريق ومطلعة على تفاصيل القرارات المهمة </t>
  </si>
  <si>
    <t>يقدر المجهود ويقدم ملاحظات تفصيلية مهمة وفارقة على المهام.</t>
  </si>
  <si>
    <t xml:space="preserve">الإنسانية والتفهم، الحزم عند والشفافية والوضوح والواقعية. </t>
  </si>
  <si>
    <t xml:space="preserve">ما في ببالي شي </t>
  </si>
  <si>
    <t xml:space="preserve">ما في ببالي شي صدقًا </t>
  </si>
  <si>
    <t>XxkA0Dg</t>
  </si>
  <si>
    <t>dWa6l6r</t>
  </si>
  <si>
    <t xml:space="preserve">سريعة دائمًا في ضبط الأولويات وتعرف توزنها قبل ما أحس بأي ضغط هههه. </t>
  </si>
  <si>
    <t xml:space="preserve">موجودة ومتفهمة للتحديات، ما عمري واجهت صعوبة معها، وأحيانًا تبادر بتفهمها ونصائحها إذا حصل أي موقف يتطلَّب. </t>
  </si>
  <si>
    <t xml:space="preserve">ممتازة </t>
  </si>
  <si>
    <t xml:space="preserve">حريصة على أن الجميع يتوالف مع بعض ويكوّن علاقات. </t>
  </si>
  <si>
    <t xml:space="preserve">تعرف توازن بين الجدية والعفوية، صارمة في الأمور اللي تتطلب، ومريحة في السوالف والحديث معها. </t>
  </si>
  <si>
    <t xml:space="preserve">حاليًا لا يوجد. </t>
  </si>
  <si>
    <t xml:space="preserve">لا يوجد، يعطيكم ألف عافية. </t>
  </si>
  <si>
    <t>MeqlzAA</t>
  </si>
  <si>
    <t>VLQekjj</t>
  </si>
  <si>
    <t>عمار عوض</t>
  </si>
  <si>
    <t>افضل قائد اشتغلت معاه</t>
  </si>
  <si>
    <t>متواجد ٢٤/٧ + متفتح للافكار و التطوير</t>
  </si>
  <si>
    <t>وهاب فنان جداً ك مصور و قائد، اتوقع ضغط القيادة ممكن يأثر على ابداعه في التصوير
اتخيل لو معاه مساعد ينفذ المهام القيادة بتوجيه وهاب، عشان وهاب يركز على القيادة و الابداع اكثر</t>
  </si>
  <si>
    <t>5B5dWMv</t>
  </si>
  <si>
    <t>b58Bjg6</t>
  </si>
  <si>
    <t>محمد الويسي</t>
  </si>
  <si>
    <t>يحاول يشوف نقاط قوة كل واحد ويعطيه مساحته في أدائها بأفضل طريقة ، يتابع ولا يتدخل إلا عند اللزوم ، ممكن لو يخف الحمل شوي عليه بيكون معه مساحة تواصل أكبر مع الفريق لكن مقدر جداً المهام الي عليه</t>
  </si>
  <si>
    <t>كما أسلفت طريقته رائعة في الإسناد والمتابعة والإعتماد على قدرات الفريق الكاملة .</t>
  </si>
  <si>
    <t>يدعم الجميع للتطور ، يوكل المهام التي يراها في الشخص وربما تظهر فيه جوانب ما يعرفها عن نفسه ، تظهر ثقته حتى في التوجيهات حيث يطلعنا على أنه متابع لكل شيء وأن التوجيهات للتذكير وليست لعدم القيام بالمهام .
هذا يدل على المتابعة ووضع الثقة يعزز في الفريق روح المبادرة والوصول للتوقعات</t>
  </si>
  <si>
    <t>تحقيق المرئيات والمتطلبات لتطوير الفريق من زيادة العدد توزيع البرامج المهام وغيرها مما يمنع الاحتراق الوظيفي ويجعل العمل أكثر سلاسة وأفضل في الأداء</t>
  </si>
  <si>
    <t>متفهم جداً يولي الثقة التي في محلها يوجه بشكل ذكي مستمع جيد متجاوب ومتعاون بشكل كبير</t>
  </si>
  <si>
    <t>ربما قليلاً من التواجد المباشر رغم التواجد الإلكتروني موجود لكن من الجيد يكون فيه اجتماعات دوريه للفريق ( رغم أني أتفهم انشغاله مع كمية انتاجنا الضخم وشاركنا رابط لحجز اجتماعات في حال الحاجة ) ربما مع استقرار الفترة تعود هذه الاجتماعات 👍🏼</t>
  </si>
  <si>
    <t>شكراً لكم 😁</t>
  </si>
  <si>
    <t>J8YRV1X</t>
  </si>
  <si>
    <t>vGr6qAg</t>
  </si>
  <si>
    <t>وضوح التواصل وضبط الأولويات كانت ممتازة خلال الفترة الماضية.</t>
  </si>
  <si>
    <t>بالفترة الماضية أظهر لي ثقة واستقلالية عالية خصوصاً مع الضغط والتغير الكبير قبل وخلال وبعد اخذ حقوق بث الدوري، ولكن هذا الضغط ولّد صعوبة احيانا في الوصول للقائد.</t>
  </si>
  <si>
    <t>ذكاؤه العاطفي اللي ينعكس في تقديره لوقتنا وجهدنا وان الفرد في الفريق يحس ان فعلا في احد قاعد يشوف شغله وجهده.
ثقته في الفريق واعطاء كل فرد أهميه بحيث يحس انه قد المسؤولية وانه هو المسؤول الاول عن كل الاعمال الموكله له، فيحسن في عمله.</t>
  </si>
  <si>
    <t>طريقة الوصول والتواصل.</t>
  </si>
  <si>
    <t>التخفيف من النبرة الحادة "احياناً" مع الفريق.
مرات كثيرة اشوف استياء من الفريق بخصوص ان اسلوب التعامل صار حاد بدون ان يعرفوا السبب!</t>
  </si>
  <si>
    <t>ODKbVOM</t>
  </si>
  <si>
    <t>rjOzLBM</t>
  </si>
  <si>
    <t xml:space="preserve">عبدالعزيز اللحيدان </t>
  </si>
  <si>
    <t xml:space="preserve">صدقًا اشوف اول شي تعلمته في بدايتي مع ثمانية هي اهمية الوضوح وترتيب الأوليات لانها هي اللي بتخليك تحقق الاهداف بشكل مرتب وسلسل بدون عشوائية ، زي ما حصل في اعلان الدوري وكان دوري وقتها اكون مغطي المخرج وتم بفضل الله ثم تنسيق وهاب ان كل العروض وثقناها صور وفيديو 🔥. </t>
  </si>
  <si>
    <t xml:space="preserve">اقدّر جدًا مراعاة الظروف ، زي ما حصل بعد اعلان الاستحواذ مباشرة كان عندي اختبارات نهائية وكنت منحرج شوي من مسألة اني اخلي الشغل واحنا عندنا تجهيز المسرح من اضاءات وتوزيع كاميرات ولكن نصًا قالها لي وهاب 
« روح لا تشيل همها وبالتوفيق باختباراتك » وفعلاً اخذت الاجازه والحمدلله اجتزت الاختبارات النهائية بتفوق . </t>
  </si>
  <si>
    <t>ملاحظات صدقًا ودي اطورها بنفسي وهي ان اختلط اكثر من التيم واكون متواجد دائمًا في حال احد احتاج مساعدة واشكر وهاب من باب قول الحق لانه قالي نصًا «عادي انشب لنا كلنا واذا بغيت اي استفسار انا موجود»</t>
  </si>
  <si>
    <t>اشوف ان فيه تمكين ودعم حقيقي وواقعي واكبر دليل هو تحولي من كوني مستقل الى موظف يعمل عمل رسمي واتمنى اني اكون قد هذي الثقة .</t>
  </si>
  <si>
    <t>اقدّر جدًا تحمله لضغوطات وكيف يتعامل معها بكل هدوء وحكمه</t>
  </si>
  <si>
    <t>انا مؤمن جدًا بمقولة : لكي تتعلم يجب أن تُعلم ، واشوف نفسي اتعلم من وهاب اشياء جدًا كثيرة سواء كانت بشكل مباشر او غير مباشر ، واتمنى أن يكون وهاب مستشعر اني اتعلم منه ، ويستمر في هذا التعلم والعطاء اللي اشوف نتيجته علي شخصيًا وتنعكس علي امام مديري .</t>
  </si>
  <si>
    <t>للأمانة صار لي شهر واحد فقط من بديت عملي مع ثمانية بفل تايم او حتى قبلها ما حاسيت بشي يحتاج الى توضيح  بخصوص اداء الفريق او حتى اسلوب القيادة ولكن لابد يكون فيه تطوير دائم
 وهذا عهدي بثمانية «التطوير المستمر »</t>
  </si>
  <si>
    <t>dWXQ4My</t>
  </si>
  <si>
    <t>eqr4Q7E</t>
  </si>
  <si>
    <t>عبدالرحمن عبود</t>
  </si>
  <si>
    <t>يضع كل شخص في مهامه الصحيحة</t>
  </si>
  <si>
    <t>متابعة الفريق</t>
  </si>
  <si>
    <t xml:space="preserve">مساعدة الفريق في احتياجات تقنية </t>
  </si>
  <si>
    <t xml:space="preserve">التحفيز </t>
  </si>
  <si>
    <t>EkE4lLA</t>
  </si>
  <si>
    <t>2EA7Ove</t>
  </si>
  <si>
    <t xml:space="preserve">حيد في ضبط التوقعات وعنده مرونه لفهم الإحتياجات </t>
  </si>
  <si>
    <t xml:space="preserve">طريقة اعطاءي الحرية في اتخاذ بعض القرارات كان محفز ليا في انجاز العمل اسرع </t>
  </si>
  <si>
    <t>مستمع جيد ويسعى للتطوير دائما</t>
  </si>
  <si>
    <t xml:space="preserve">متفهم </t>
  </si>
  <si>
    <t xml:space="preserve">عند الإنفعال السريع </t>
  </si>
  <si>
    <t>eqlGREQ</t>
  </si>
  <si>
    <t>71aXWzl</t>
  </si>
  <si>
    <t xml:space="preserve">-رهيب في التواصل . لكن احيانا ماتفهم وش يبغى بالضبط ، او ان يكون يعامل شخص بطريقة وشخص بطريقة مختلفة مب تفاضل بينهم لا في توزيع المشاريع، احيانا في ناس تاخذ مشاريع غير وناس تاخذ مشاريع مختلفة ومتدري ليش اخذت هذا المشروع ، </t>
  </si>
  <si>
    <t xml:space="preserve">-رهيب جدا في فترة الضغط وياسل عنا كثير وايضا يشارك وينصح ان نعمل بهذا الطريقة، ويكون يتطمن كل فترة </t>
  </si>
  <si>
    <t>جيدة لكن الافضل تكون اكثر وضوع ويقدر اكثر الظروف الي يمر فيها الشخص في العمل، وان دايم لكل شخص قدرة في التعامل مع الظروف .واشعر مافيه هذا التشجيع الكبير  او التحفيز الكبير لنا</t>
  </si>
  <si>
    <t>جيد ، لكن نقطة تطوير علاقات الفريق مب افضل شي احيانا يبان عليه المفاضلة بين الاشخاص بالفريق</t>
  </si>
  <si>
    <t>انه قائد ممتاز لكن لابد يكون اكثر صبر وحلم وتعاون</t>
  </si>
  <si>
    <t>ان يكون دايم حاضر معنا نفس كل مره وان يفهم اكثر الظروف الي نمر فيها.
نحتاج جلسة حوارية مفتوح للكل.</t>
  </si>
  <si>
    <t>eql757E</t>
  </si>
  <si>
    <t>8q8kkOG</t>
  </si>
  <si>
    <t>ياسين الدهش</t>
  </si>
  <si>
    <t>القائد واضح في تواصله وتحديده للأولويات، مع فرصة لتعزيز الاتساق في المتابعة</t>
  </si>
  <si>
    <t>أرى أن طريقة العمل الحالية منظمة وتدعم إنجاز المهام، مع وجود فرصة لتحسين بعض الإجراءات لتكون أكثر سلاسة وكفاءة</t>
  </si>
  <si>
    <t>يدير الفريق بوضوح وكفاءة، مع وجود فرصة لتقوية إشراك الفريق وتحسين آليات التواصل</t>
  </si>
  <si>
    <t>يوفر دعماً واضحاً ويسهم في تسهيل تنفيذ الأولويات. ومع ذلك، أرى أن هناك فرصة لتعزيز المتابعة المستمرة ووضع خطط تطوير فردية أكثر وضوحاً واستدامة</t>
  </si>
  <si>
    <t xml:space="preserve">•وضوح التوجيه وتحديد الأولويات. 
•تعزيز بيئة تواصل بنّاء والاستماع الفعّال.
•تمكين الفريق ومنح الثقة في أداء المهام. </t>
  </si>
  <si>
    <t>.مواءمة توزيع المهام مع خبرات واهتمامات الأفراد بما يضمن الاستفادة القصوى من طاقات الفريق وتقليل الضغط غير المبرر.
•زيادة وضوح معايير النجاح ومؤشرات الأداء لتسهيل التقييم الموضوعي ودعم تحسين جودة المخرجات.</t>
  </si>
  <si>
    <t>RG17ARP</t>
  </si>
  <si>
    <t>D4pQNz5</t>
  </si>
  <si>
    <t>صالح سالم</t>
  </si>
  <si>
    <t xml:space="preserve">بالنسبة لي مو واضح بقدر ماهو عندنا ضغط شغل </t>
  </si>
  <si>
    <t xml:space="preserve">احتاج منه يعطي ثقه اكبر فيني كصالح وثقه بالي قاعد اسويه </t>
  </si>
  <si>
    <t xml:space="preserve">بصراحه مابغى اظلمه ممكن لانها فترة ضغط ولكن اتمنى اشوف الشي دا بيننا وندعم بعض </t>
  </si>
  <si>
    <t>التطوير والدعم اشوفه مهم جدا واحتاج يقعد معنا اكتر لو كل شهر مره</t>
  </si>
  <si>
    <t>الثقة والمسؤلية</t>
  </si>
  <si>
    <t xml:space="preserve">تفهم كل شخص </t>
  </si>
  <si>
    <t xml:space="preserve">الملاحظة فقط هي في اوقات الفراغ حاب نطور مهاراتنا كفريق التصوير بدورات او ورشات او نعمل افلام قصيرة داخليه ونتطور اكثر كفريق ثمانية </t>
  </si>
  <si>
    <t>XxdQR0O</t>
  </si>
  <si>
    <t>aQ47MVq</t>
  </si>
  <si>
    <t>عمر باعبدالله</t>
  </si>
  <si>
    <t>يمان عدنان</t>
  </si>
  <si>
    <t>القائد واضح وسريع التحديث في حال تغيّر الأولويات ودائمًا منفتح للأسئلة.</t>
  </si>
  <si>
    <t xml:space="preserve">أكثر من مرة يسألني إذا قاعد اواجه تحديات أو إذا عندي آراء اتجاه طريقة العمل، لذلك ما أعتقد عندي مرئيات مكبوته كونه دايم مرحب ومستمع لي. </t>
  </si>
  <si>
    <t xml:space="preserve">يحرص اننا نتقاطع ونسمع تحديثات مهامنا حتى لو ما تجمعنا نفس المسؤوليات، لذا أجد أن قيادته ممتازة. </t>
  </si>
  <si>
    <t xml:space="preserve">أكثر من مرة تكلمنا أنا والقائد إتجاه خطة تطويري الشخصية، يقترح لي كتب، دورات. </t>
  </si>
  <si>
    <t>أقدر التمكين التدريجي، يخليك تتطور مع الوقت.</t>
  </si>
  <si>
    <t xml:space="preserve">ضبط آلية عمل فريق المنتج مع الفرق الأخرى وتوضيح مسؤوليات الفرق. </t>
  </si>
  <si>
    <t>PdLgYPV</t>
  </si>
  <si>
    <t>RGDK1q8</t>
  </si>
  <si>
    <t>فيصل بن حسن</t>
  </si>
  <si>
    <t>يمان واضح جدًا في كلامه، ويعرف يشرح المهام ويضبطها بشكل يساعد الفريق يبدأ بسرعة. طريقته في التنظيم والتوثيق مريحة وتعطي اتجاه أولي مضبوط.
الجانب اللي أحتاجه أكثر هو وضوح “الصورة النهائية” لأي مهمة. بعد ما نبدأ، أحيانًا أحس الهدف الأخير غير واضح، وهذا يخلي الأولويات تتغير بدون ما يكون الاتجاه محدد بشكل كامل. إضافة هذا الوضوح بتساعد الفريق يمشي بثبات أكبر.</t>
  </si>
  <si>
    <t>يمان يمكّن الفريق بشكل جميل ويعطي ثقة ومساحة كبيرة لاتخاذ القرار. ولما نطلب رأيه أو استشارة، غالبًا يكون حاضر ويوجه بشكل مباشر.
في اللحظات اللي يكون فيها ضغط أو تغيّر سريع، يقل ظهوره في التفاصيل. أعرف إنه يقصد يعطي الفريق مساحة، لكن أحيانًا نحتاج توجيه واضح منه حتى ما نضيع. وجوده أكثر في اللحظات الحسّاسة بيساعدنا كثير.</t>
  </si>
  <si>
    <t>يمان يبني بيئة تعاون ممتازة، ويشجع مشاركة المعرفة، ويخلق روح إيجابية داخل الفريق. ثقافة الملكية اللي يعتمدها واضحة ومفيدة.
لكن في بعض المواقف نحتاج منه حضور قيادي أكبر في صنع القرار. أحيانًا ننتظر رأي حاسم، وما يكون واضح إذا نكمّل أو نغيّر الاتجاه. دوره القيادي في الحسم مهم وبيعطي الفريق ثقة أكبر في التحرك.</t>
  </si>
  <si>
    <t>يمان يقدّر الجهد ويبني علاقة طيبة مع الفريق، ويشجع على المبادرة والاختبار. ثقته فينا لحالها عنصر تطوير مهم.
المساحة اللي أتمنى زيادتها هي مشاركة ملاحظات التطوير بشكل مستمر. أحيانًا نحتاج توجيه مباشر يساعدنا نعرف وين نتطور وكيف نتقدم. وجود Feedback دوري بيكون له أثر كبير.</t>
  </si>
  <si>
    <t>أقدّر تنظيمه العالي، ثقته الكبيرة في الفريق، وطريقته في خلق روح إيجابية داخل الفريق. أسلوبه يعطينا إحساس بالمسؤولية..</t>
  </si>
  <si>
    <t>اقدر عمل ابو فارس كثيرا.. ارغب فضلا ان يكون دور صاحب قرار اكب، اشعر كثير من الاحيان بعبئ في معرفة متخذ القرار و البيروقراطية ببطئ العمل. و ايضا بزيادة وضوح الهدف النهائي في المهام، ووجوده بشكل أكبر في الأوقات اللي نحتاج فيها قرار أو توجيه واضح. هذا بيكمل أسلوبه في التمكين ويعطي الفريق توازن أفضل.</t>
  </si>
  <si>
    <t>الفريق يعمل بروح ممتازة، لكن تحسين وضوح الرؤية وتدفق التواصل من القيادة (خصوصًا عند تغيّر الأولويات) بيساعد كثير في رفع جودة العمل وتقليل التشتت. ايضا احس، ولو اني منضم للتو، ان لا يوجد صاحب اتخاذ قرار بفريق المنتج.. مما يجعل كثير من اجتماعتنا و اعمالنا متعطلة و متاخرة.
شكرا ٨!</t>
  </si>
  <si>
    <t>المتوسط</t>
  </si>
  <si>
    <t>ديسمبر 2025</t>
  </si>
  <si>
    <t>التغيير</t>
  </si>
  <si>
    <t>لدرب كل فقرة</t>
  </si>
  <si>
    <t>فخر</t>
  </si>
  <si>
    <t>خضر</t>
  </si>
  <si>
    <t>صفر</t>
  </si>
  <si>
    <t>حمر</t>
  </si>
  <si>
    <t>خطر</t>
  </si>
  <si>
    <t>8.81+</t>
  </si>
  <si>
    <t>8.4-8.8</t>
  </si>
  <si>
    <t>7.75-8.4</t>
  </si>
  <si>
    <t>7.21-7.74</t>
  </si>
  <si>
    <t>6.6-7.2</t>
  </si>
  <si>
    <t>للدرب العام</t>
  </si>
  <si>
    <t>8.5+</t>
  </si>
  <si>
    <t>7.71-8.49</t>
  </si>
  <si>
    <t>7.1-7.7</t>
  </si>
  <si>
    <t>6.6-7.09</t>
  </si>
  <si>
    <t>6.55 -</t>
  </si>
  <si>
    <t>إسم القائد</t>
  </si>
  <si>
    <t>تقييمه ممتاز لكن نطاقه محدود. يُوصى باختبار قدرته على قيادة فريق أكبر بشكل تدريجي.</t>
  </si>
  <si>
    <t>قيادتها واضحة. يُوصى بدعمها وتمكينها في قرارات أوسع على مستوى القسم.</t>
  </si>
  <si>
    <t>أداؤه جيد ضمن نطاقه. يُوصى بتوسيعه بحذر مع دعم إداري.</t>
  </si>
  <si>
    <t>يحتاج تطوير أدواته الإدارية. يُوصى بإشراكه في قيادة مبادرات أكبر تحت إشراف.</t>
  </si>
  <si>
    <t>أداؤه إيجابي. يُوصى بتوسيعه تدريجيًا في إدارة مشاريع أكبر مع الحفاظ على جودة المتابعة.</t>
  </si>
  <si>
    <t>يعاني من تشتت تشغيلي. يُوصى بالتركيز على التخطيط وضبط الأولويات.</t>
  </si>
  <si>
    <t>حضوره الإداري محدود. يُوصى بتعزيز التواصل والمتابعة مع الفريق.</t>
  </si>
  <si>
    <t>قيادتها جيدة لكن الضغط واضح. يُوصى بتخفيف الحمل التشغيلي والتركيز على الدور الإداري وصناعة القرار.</t>
  </si>
  <si>
    <t>حجم الفريق كبير مقارنة بقدرة المتابعة الحالية. يُوصى بإعادة هيكلة الفريق وتعيين قادة وسطيين، مع تحويل تركيزه من المتابعة التشغيلية إلى ضبط الجودة والإيقاع العام.</t>
  </si>
  <si>
    <t>هناك فجوة في الثقة والتمكين داخل الفريق. يُوصى بإعادة بناء العلاقة مع الفريق، أو دعم القيادة بمسؤول إداري مساند.</t>
  </si>
  <si>
    <t>الضغط التشغيلي مرتفع. يُوصى بتفويض أوسع، وتخفيف التدخل اليومي، والتركيز على بناء قادة داخل الفريق.</t>
  </si>
  <si>
    <t>يحتاج تقييمًا صريحًا لملاءمته كقائد. المسار الفردي خيار محتمل.</t>
  </si>
  <si>
    <t>قائد منظم لكنه مشتت. يُوصى بتقليص نطاق إشرافه وتحديد فرق ومسؤوليات ثابتة مع مؤشرات أداء واضحة.</t>
  </si>
  <si>
    <t>يمثل عنصرًا محوريًا في الفريق. يُوصى بتوسيعه في اتخاذ القرار وتحميله مسؤوليات قيادية تدريجية.</t>
  </si>
  <si>
    <t>يحتاج دعمًا وتوجيهًا مباشرًا لتطوير أسلوب القيادة والتواصل.</t>
  </si>
  <si>
    <t>يحتاج تطوير أسلوب القيادة من المتابعة الفردية إلى قيادة قائمة على التوقعات الواضحة والمساءلة، مع مراجعة جادة لأداء الأفراد.</t>
  </si>
  <si>
    <t>تحتاج الانتقال من إدارة متعددة المسارات إلى قيادة مركّزة على أولويات واضحة، مع تمكين قادة تحتها وتقليل التداخل بين المشاريع.</t>
  </si>
  <si>
    <t>أداؤه مستقر. يُوصى برفع التوقعات وتكليفه بمسؤوليات إضافية.</t>
  </si>
  <si>
    <t>يحتاج وضوحًا أكبر في الدور والمتابعة اليومية.</t>
  </si>
  <si>
    <t>يعتمد على رد الفعل أكثر من التخطيط. يُوصى بتطوير أدوات التخطيط المسبق وإدارة الوقت.</t>
  </si>
  <si>
    <t>قائدة واعدة. يُوصى بتوسيع مسؤولياتها ومنحها مساحة أكبر للقيادة.</t>
  </si>
  <si>
    <t>أداؤه متوسط. يُوصى بالتركيز على الالتزام والجودة وبناء علاقة أوضح مع الفريق.</t>
  </si>
  <si>
    <t>يميل للتنفيذ أكثر من القيادة. يُوصى بإعادة تعريف دوره كقائد، مع رفع سقف المساءلة وتوضيح الصلاحيات.</t>
  </si>
  <si>
    <t>الدور الحالي مرهق. يُوصى بإعادة هيكلة الفريق وتعيين نائب يسمح لها بالتركيز على القيادة.</t>
  </si>
  <si>
    <t>أداؤه مستقر. يُوصى بإشراكه أكثر في التخطيط واتخاذ القرار لتعزيز دوره القيادي.</t>
  </si>
  <si>
    <t>دوره غير محسوم. يُوصى بحسم مساره الوظيفي (قيادي أو فردي) وبناء التوقعات بناءً عليه.</t>
  </si>
  <si>
    <t>تحتاج تنظيمًا داخليًا أوضح وتقليل الضغط التشغيلي.</t>
  </si>
  <si>
    <t>أداؤه مستقر لكنه محافظ. يُوصى بالتركيز على تطوير الفريق وتحفيزه بدل الاعتماد على الجهد الشخصي.</t>
  </si>
  <si>
    <t>أثره واضح لكنه غير منتظم في الحضور الإداري. يُوصى بتثبيت إيقاع تواصل دوري وتوضيح موقعه القيادي وحدود صلاحياته.</t>
  </si>
  <si>
    <t>يحتاج حزمًا أوضح وثباتًا في التوقعات. يُوصى برفع مستوى المتابعة والمساءلة.</t>
  </si>
  <si>
    <t>قائد محوري لكن مثقل. يُوصى بإعادة توزيع الصلاحيات والانسحاب من التفاصيل اليومية.</t>
  </si>
  <si>
    <t>أسلوبه القيادي صارم وأثره واضح. يُوصى بإيقاف أي توسع حتى تتحسن بيئة الفريق وأسلوب القيادة.</t>
  </si>
  <si>
    <t>قائد ناشئ. يُوصى بإبقائه تحت المراقبة مع برنامج تطوير قيادي محدد.</t>
  </si>
  <si>
    <t>تحتاج حزمًا أوضح في القيادة. يُوصى بتقوية جانب التوجيه والمساءلة داخل الفريق.</t>
  </si>
  <si>
    <t>التحديات</t>
  </si>
  <si>
    <t>التوصيات والحلول</t>
  </si>
  <si>
    <t xml:space="preserve"> • التغذية الراجعة المقدّمة للفريق غالبًا عامة أو غير واضحة، ولا تساعد فعليًا على التطوير.
 • وجود تردد في دعم المبادرات الجديدة خوفًا من الخطأ أو الفشل.
 • غياب مسار تطوير واضح للأفراد، مما يجعل النمو يعتمد على الاجتهاد الشخصي لا التوجيه القيادي.</t>
  </si>
  <si>
    <t xml:space="preserve"> • تدريب القادة على تغذية راجعة بنّاءه واضحة «ماذا تحسّن؟ كيف؟ متى؟».
 • حماية المبادرات حتى عند فشلها، وإعلان ذلك بوضوح من القائد.
 • إدراج مسار تطوير فردي لكل عضو فريق، حتى لو كان بسيطًا.</t>
  </si>
  <si>
    <t xml:space="preserve"> • عند تغيّر التوجّه أو الأولويات، لا يتم توضيح ما الذي توقّف أو تغيّر بشكل كافٍ للفريق.
 • التواصل القيادي يضعف في فترات التحوّل مقارنة بفترات الاستقرار.
 • القرارات تُتخذ بسرعة أحيانًا، لكن دون شرح كافٍ لمنطقها وتأثيرها على العمل.</t>
  </si>
  <si>
    <t xml:space="preserve"> • إلزام القادة بممارسة إعادة ضبط الأولويات علنًا عند أي تغيير «ما الذي توقّف؟ ما الذي تأجّل؟ ما الذي أصبح أولوية؟».
 • تدريب القادة على التواصل وقت التحوّل وليس فقط وقت الاستقرار.
 • ربط جودة القرار بـ وضوح شرحه للفريق، وليس بسرعة اتخاذه فقط.</t>
  </si>
  <si>
    <t xml:space="preserve"> • اعتماد الفريق الزائد على القائد في اتخاذ القرارات اليومية.
 • عدم وضوح الصلاحيات وحدود اتخاذ القرار داخل الفريق.
 • تراجع التمكين في أوقات الضغط، وعودة القائد للتدخل المباشر بدل دعم الاستقلالية.</t>
  </si>
  <si>
    <t xml:space="preserve"> • نقل القادة من نموذج «أنا متاح دائمًا» إلى نموذج «أنت مخوّل بالقرار».
 • تحديد قرارات لا يجب أن تعود للقائد أصلًا «حقوق إتخاذ القرار».
 • تدريب القادة على تمكين الفريق وقت الضغط لا وقت الراحة فقط.</t>
  </si>
  <si>
    <t xml:space="preserve"> • عدم وجود نموذج موحّد وواضح للمساءلة داخل الفرق.
 • إشراك الفريق في القرارات يتم بشكل غير منتظم أو غير موثّق.
 • خلط بعض القادة بين الحزم المطلوب والسيطرة الزائدة، مما يؤثر على بيئة الفريق.</t>
  </si>
  <si>
    <t xml:space="preserve"> • بناء نموذج موحّد للمساءلة «ما يُحاسَب عليه الجميع، وما يُقدَّر».
 • إلزام القادة بمشاركة الفريق في القرارات التي تؤثر عليهم مباشرة، مع توثيق ذلك.
 • التدخل مع القادة الذين يظهر لديهم خلط بين الحزم والسيطرة.</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</si>
</sst>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
  </numFmts>
  <fonts count="36">
    <font>
      <sz val="10.0"/>
      <color rgb="FF000000"/>
      <name val="Arial"/>
      <scheme val="minor"/>
    </font>
    <font>
      <b/>
      <color theme="1"/>
      <name val="IBM Plex Sans Arabic"/>
    </font>
    <font>
      <color theme="1"/>
      <name val="IBM Plex Sans Arabic"/>
    </font>
    <font>
      <b/>
      <color rgb="FF6AA84F"/>
      <name val="IBM Plex Sans Arabic"/>
    </font>
    <font>
      <sz val="8.0"/>
      <color rgb="FF000000"/>
      <name val="&quot;Helvetica Neue&quot;"/>
    </font>
    <font>
      <b/>
      <color theme="1"/>
      <name val="Arial"/>
      <scheme val="minor"/>
    </font>
    <font>
      <b/>
      <sz val="8.0"/>
      <color rgb="FF000000"/>
      <name val="&quot;Helvetica Neue&quot;"/>
    </font>
    <font>
      <b/>
      <sz val="9.0"/>
      <color theme="1"/>
      <name val="IBM Plex Sans Arabic"/>
    </font>
    <font>
      <sz val="9.0"/>
      <color theme="1"/>
      <name val="IBM Plex Sans Arabic"/>
    </font>
    <font>
      <color theme="1"/>
      <name val="Arial"/>
      <scheme val="minor"/>
    </font>
    <font>
      <b/>
      <sz val="12.0"/>
      <color theme="1"/>
      <name val="IBM Plex Sans Arabic"/>
    </font>
    <font/>
    <font>
      <b/>
      <color rgb="FF999999"/>
      <name val="IBM Plex Sans Arabic"/>
    </font>
    <font>
      <color rgb="FF0000FF"/>
      <name val="IBM Plex Sans Arabic"/>
    </font>
    <font>
      <color rgb="FF000000"/>
      <name val="IBM Plex Sans Arabic"/>
    </font>
    <font>
      <color rgb="FF999999"/>
      <name val="IBM Plex Sans Arabic"/>
    </font>
    <font>
      <color rgb="FF666666"/>
      <name val="IBM Plex Sans Arabic"/>
    </font>
    <font>
      <b/>
      <color rgb="FFFF9900"/>
      <name val="IBM Plex Sans Arabic"/>
    </font>
    <font>
      <sz val="8.0"/>
      <color rgb="FF666666"/>
      <name val="IBM Plex Sans Arabic"/>
    </font>
    <font>
      <color rgb="FF990000"/>
      <name val="IBM Plex Sans Arabic"/>
    </font>
    <font>
      <color rgb="FFBF9000"/>
      <name val="IBM Plex Sans Arabic"/>
    </font>
    <font>
      <color rgb="FF38761D"/>
      <name val="IBM Plex Sans Arabic"/>
    </font>
    <font>
      <color rgb="FFEFEFEF"/>
      <name val="IBM Plex Sans Arabic"/>
    </font>
    <font>
      <color rgb="FF674EA7"/>
      <name val="IBM Plex Sans Arabic"/>
    </font>
    <font>
      <color rgb="FFFF0000"/>
      <name val="IBM Plex Sans Arabic"/>
    </font>
    <font>
      <color rgb="FF9900FF"/>
      <name val="IBM Plex Sans Arabic"/>
    </font>
    <font>
      <color rgb="FF6AA84F"/>
      <name val="IBM Plex Sans Arabic"/>
    </font>
    <font>
      <color rgb="FF4A86E8"/>
      <name val="IBM Plex Sans Arabic"/>
    </font>
    <font>
      <color rgb="FFFF9900"/>
      <name val="IBM Plex Sans Arabic"/>
    </font>
    <font>
      <b/>
      <color rgb="FF4A86E8"/>
      <name val="IBM Plex Sans Arabic"/>
    </font>
    <font>
      <b/>
      <color rgb="FF674EA7"/>
      <name val="IBM Plex Sans Arabic"/>
    </font>
    <font>
      <color rgb="FF6AA84F"/>
      <name val="Arial"/>
      <scheme val="minor"/>
    </font>
    <font>
      <b/>
      <color rgb="FF6AA84F"/>
      <name val="Arial"/>
      <scheme val="minor"/>
    </font>
    <font>
      <color rgb="FF93C47D"/>
      <name val="IBM Plex Sans Arabic"/>
    </font>
    <font>
      <b/>
      <color rgb="FF000000"/>
      <name val="IBM Plex Sans Arabic"/>
    </font>
    <font>
      <b/>
      <sz val="10.0"/>
      <color theme="1"/>
      <name val="IBM Plex Sans Arabic"/>
    </font>
  </fonts>
  <fills count="18">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D4D4D4"/>
        <bgColor rgb="FFD4D4D4"/>
      </patternFill>
    </fill>
    <fill>
      <patternFill patternType="solid">
        <fgColor rgb="FFF2EEE4"/>
        <bgColor rgb="FFF2EEE4"/>
      </patternFill>
    </fill>
    <fill>
      <patternFill patternType="solid">
        <fgColor rgb="FF40AA78"/>
        <bgColor rgb="FF40AA78"/>
      </patternFill>
    </fill>
    <fill>
      <patternFill patternType="solid">
        <fgColor rgb="FFD9EAD3"/>
        <bgColor rgb="FFD9EAD3"/>
      </patternFill>
    </fill>
    <fill>
      <patternFill patternType="solid">
        <fgColor rgb="FFB7E1CD"/>
        <bgColor rgb="FFB7E1CD"/>
      </patternFill>
    </fill>
    <fill>
      <patternFill patternType="solid">
        <fgColor rgb="FFE06666"/>
        <bgColor rgb="FFE06666"/>
      </patternFill>
    </fill>
    <fill>
      <patternFill patternType="solid">
        <fgColor rgb="FFEA9999"/>
        <bgColor rgb="FFEA9999"/>
      </patternFill>
    </fill>
    <fill>
      <patternFill patternType="solid">
        <fgColor rgb="FFF9CB9C"/>
        <bgColor rgb="FFF9CB9C"/>
      </patternFill>
    </fill>
    <fill>
      <patternFill patternType="solid">
        <fgColor rgb="FFFCE5CD"/>
        <bgColor rgb="FFFCE5CD"/>
      </patternFill>
    </fill>
    <fill>
      <patternFill patternType="solid">
        <fgColor rgb="FF93C47D"/>
        <bgColor rgb="FF93C47D"/>
      </patternFill>
    </fill>
    <fill>
      <patternFill patternType="solid">
        <fgColor rgb="FFB6D7A8"/>
        <bgColor rgb="FFB6D7A8"/>
      </patternFill>
    </fill>
    <fill>
      <patternFill patternType="solid">
        <fgColor rgb="FF6AA84F"/>
        <bgColor rgb="FF6AA84F"/>
      </patternFill>
    </fill>
    <fill>
      <patternFill patternType="solid">
        <fgColor rgb="FF999999"/>
        <bgColor rgb="FF999999"/>
      </patternFill>
    </fill>
    <fill>
      <patternFill patternType="solid">
        <fgColor rgb="FFCCCCCC"/>
        <bgColor rgb="FFCCCCCC"/>
      </patternFill>
    </fill>
  </fills>
  <borders count="166">
    <border/>
    <border>
      <left style="thin">
        <color rgb="FF000000"/>
      </left>
      <right style="thin">
        <color rgb="FF000000"/>
      </right>
      <top style="thin">
        <color rgb="FF000000"/>
      </top>
      <bottom style="thin">
        <color rgb="FF000000"/>
      </bottom>
    </border>
    <border>
      <left style="thin">
        <color rgb="FFF2EEE4"/>
      </left>
      <right style="thin">
        <color rgb="FFF2EEE4"/>
      </right>
      <top style="thin">
        <color rgb="FFF2EEE4"/>
      </top>
      <bottom style="thin">
        <color rgb="FFF2EEE4"/>
      </bottom>
    </border>
    <border>
      <right style="thin">
        <color rgb="FFF2EEE4"/>
      </right>
      <bottom style="thin">
        <color rgb="FFF2EEE4"/>
      </bottom>
    </border>
    <border>
      <left style="thin">
        <color rgb="FFF2EEE4"/>
      </left>
    </border>
    <border>
      <right style="thin">
        <color rgb="FFF2EEE4"/>
      </right>
    </border>
    <border>
      <left style="thin">
        <color rgb="FFF2EEE4"/>
      </left>
      <right style="thin">
        <color rgb="FFF2EEE4"/>
      </right>
    </border>
    <border>
      <top style="thin">
        <color rgb="FFF2EEE4"/>
      </top>
      <bottom style="thin">
        <color rgb="FFF2EEE4"/>
      </bottom>
    </border>
    <border>
      <left style="thick">
        <color rgb="FFFFFFFF"/>
      </left>
      <right style="thin">
        <color rgb="FFF2EEE4"/>
      </right>
      <top style="thick">
        <color rgb="FFFFFFFF"/>
      </top>
      <bottom style="thin">
        <color rgb="FFF2EEE4"/>
      </bottom>
    </border>
    <border>
      <left style="thin">
        <color rgb="FFF2EEE4"/>
      </left>
      <right style="thin">
        <color rgb="FFF2EEE4"/>
      </right>
      <top style="thick">
        <color rgb="FFFFFFFF"/>
      </top>
      <bottom style="thin">
        <color rgb="FFF2EEE4"/>
      </bottom>
    </border>
    <border>
      <left style="thin">
        <color rgb="FFF2EEE4"/>
      </left>
      <right style="thick">
        <color rgb="FFFFFFFF"/>
      </right>
      <top style="thick">
        <color rgb="FFFFFFFF"/>
      </top>
      <bottom style="thin">
        <color rgb="FFF2EEE4"/>
      </bottom>
    </border>
    <border>
      <right style="thin">
        <color rgb="FFF2EEE4"/>
      </right>
      <top style="thin">
        <color rgb="FFF2EEE4"/>
      </top>
      <bottom style="thin">
        <color rgb="FFF2EEE4"/>
      </bottom>
    </border>
    <border>
      <left style="thick">
        <color rgb="FFFFFFFF"/>
      </left>
      <right style="thin">
        <color rgb="FFF2EEE4"/>
      </right>
      <top style="thin">
        <color rgb="FFF2EEE4"/>
      </top>
      <bottom style="thin">
        <color rgb="FFF2EEE4"/>
      </bottom>
    </border>
    <border>
      <left style="thin">
        <color rgb="FFF2EEE4"/>
      </left>
      <right style="thick">
        <color rgb="FFFFFFFF"/>
      </right>
      <top style="thin">
        <color rgb="FFF2EEE4"/>
      </top>
      <bottom style="thin">
        <color rgb="FFF2EEE4"/>
      </bottom>
    </border>
    <border>
      <left style="thick">
        <color rgb="FFFFFFFF"/>
      </left>
      <right style="thin">
        <color rgb="FFF2EEE4"/>
      </right>
      <top style="thin">
        <color rgb="FFF2EEE4"/>
      </top>
      <bottom style="thick">
        <color rgb="FFFFFFFF"/>
      </bottom>
    </border>
    <border>
      <left style="thin">
        <color rgb="FFF2EEE4"/>
      </left>
      <right style="thin">
        <color rgb="FFF2EEE4"/>
      </right>
      <top style="thin">
        <color rgb="FFF2EEE4"/>
      </top>
      <bottom style="thick">
        <color rgb="FFFFFFFF"/>
      </bottom>
    </border>
    <border>
      <left style="thin">
        <color rgb="FFF2EEE4"/>
      </left>
      <right style="thick">
        <color rgb="FFFFFFFF"/>
      </right>
      <top style="thin">
        <color rgb="FFF2EEE4"/>
      </top>
      <bottom style="thick">
        <color rgb="FFFFFFFF"/>
      </bottom>
    </border>
    <border>
      <left style="thin">
        <color rgb="FFF2EEE4"/>
      </left>
      <right style="thin">
        <color rgb="FFF2EEE4"/>
      </right>
      <bottom style="thin">
        <color rgb="FFF2EEE4"/>
      </bottom>
    </border>
    <border>
      <bottom style="thin">
        <color rgb="FFF2EEE4"/>
      </bottom>
    </border>
    <border>
      <left style="thin">
        <color rgb="FFF2EEE4"/>
      </left>
      <right style="thin">
        <color rgb="FFF2EEE4"/>
      </right>
      <top style="thin">
        <color rgb="FFF2EEE4"/>
      </top>
    </border>
    <border>
      <left style="thick">
        <color rgb="FFFFFFFF"/>
      </left>
      <top style="thick">
        <color rgb="FFFFFFFF"/>
      </top>
    </border>
    <border>
      <right style="thin">
        <color rgb="FFFFFFFF"/>
      </right>
      <top style="thick">
        <color rgb="FFFFFFFF"/>
      </top>
    </border>
    <border>
      <top style="thick">
        <color rgb="FFFFFFFF"/>
      </top>
    </border>
    <border>
      <right style="thick">
        <color rgb="FFFFFFFF"/>
      </right>
      <top style="thick">
        <color rgb="FFFFFFFF"/>
      </top>
    </border>
    <border>
      <left style="thick">
        <color rgb="FFFFFFFF"/>
      </left>
      <right style="thin">
        <color rgb="FFF2EEE4"/>
      </right>
      <top style="thick">
        <color rgb="FFFFFFFF"/>
      </top>
    </border>
    <border>
      <left style="thin">
        <color rgb="FFF2EEE4"/>
      </left>
      <top style="thick">
        <color rgb="FFFFFFFF"/>
      </top>
    </border>
    <border>
      <right style="thin">
        <color rgb="FFF2EEE4"/>
      </right>
      <top style="thick">
        <color rgb="FFFFFFFF"/>
      </top>
    </border>
    <border>
      <left style="thick">
        <color rgb="FFFFFFFF"/>
      </left>
      <top style="thick">
        <color rgb="FFFFFFFF"/>
      </top>
      <bottom style="thin">
        <color rgb="FFFFFFFF"/>
      </bottom>
    </border>
    <border>
      <left style="thin">
        <color rgb="FFFFFFFF"/>
      </left>
      <right style="thin">
        <color rgb="FFF2EEE4"/>
      </right>
      <top style="thick">
        <color rgb="FFFFFFFF"/>
      </top>
      <bottom style="thin">
        <color rgb="FFFFFFFF"/>
      </bottom>
    </border>
    <border>
      <left style="thin">
        <color rgb="FFF2EEE4"/>
      </left>
      <right style="thin">
        <color rgb="FFFFFFFF"/>
      </right>
      <top style="thick">
        <color rgb="FFFFFFFF"/>
      </top>
      <bottom style="thin">
        <color rgb="FFFFFFFF"/>
      </bottom>
    </border>
    <border>
      <right style="thin">
        <color rgb="FFF2EEE4"/>
      </right>
      <top style="thick">
        <color rgb="FFFFFFFF"/>
      </top>
      <bottom style="thin">
        <color rgb="FFFFFFFF"/>
      </bottom>
    </border>
    <border>
      <right style="thick">
        <color rgb="FFFFFFFF"/>
      </right>
      <bottom style="thin">
        <color rgb="FFFFFFFF"/>
      </bottom>
    </border>
    <border>
      <right style="thick">
        <color rgb="FFFFFFFF"/>
      </right>
    </border>
    <border>
      <left style="thick">
        <color rgb="FFFFFFFF"/>
      </left>
      <bottom style="thin">
        <color rgb="FFF2EEE4"/>
      </bottom>
    </border>
    <border>
      <left style="thin">
        <color rgb="FFFFFFFF"/>
      </left>
      <right style="thin">
        <color rgb="FFF2EEE4"/>
      </right>
      <bottom style="thin">
        <color rgb="FFF2EEE4"/>
      </bottom>
    </border>
    <border>
      <left style="thin">
        <color rgb="FFF2EEE4"/>
      </left>
      <right style="thin">
        <color rgb="FFFFFFFF"/>
      </right>
      <bottom style="thin">
        <color rgb="FFF2EEE4"/>
      </bottom>
    </border>
    <border>
      <right style="thick">
        <color rgb="FFFFFFFF"/>
      </right>
      <bottom style="thin">
        <color rgb="FFF2EEE4"/>
      </bottom>
    </border>
    <border>
      <right style="thick">
        <color rgb="FFFFFFFF"/>
      </right>
      <top style="thick">
        <color rgb="FFF2EEE4"/>
      </top>
      <bottom style="medium">
        <color rgb="FFFFFFFF"/>
      </bottom>
    </border>
    <border>
      <left style="thick">
        <color rgb="FFFFFFFF"/>
      </left>
      <top style="thin">
        <color rgb="FFF2EEE4"/>
      </top>
      <bottom style="thin">
        <color rgb="FFF2EEE4"/>
      </bottom>
    </border>
    <border>
      <left style="thin">
        <color rgb="FFFFFFFF"/>
      </left>
      <right style="thin">
        <color rgb="FFF2EEE4"/>
      </right>
      <top style="thin">
        <color rgb="FFF2EEE4"/>
      </top>
      <bottom style="thin">
        <color rgb="FFF2EEE4"/>
      </bottom>
    </border>
    <border>
      <left style="thin">
        <color rgb="FFF2EEE4"/>
      </left>
      <right style="thin">
        <color rgb="FFFFFFFF"/>
      </right>
      <top style="thin">
        <color rgb="FFF2EEE4"/>
      </top>
      <bottom style="thin">
        <color rgb="FFF2EEE4"/>
      </bottom>
    </border>
    <border>
      <right style="thick">
        <color rgb="FFFFFFFF"/>
      </right>
      <top style="thin">
        <color rgb="FFF2EEE4"/>
      </top>
      <bottom style="thin">
        <color rgb="FFF2EEE4"/>
      </bottom>
    </border>
    <border>
      <right style="thick">
        <color rgb="FFFFFFFF"/>
      </right>
      <top style="medium">
        <color rgb="FFFFFFFF"/>
      </top>
      <bottom style="medium">
        <color rgb="FFFFFFFF"/>
      </bottom>
    </border>
    <border>
      <left style="thin">
        <color rgb="FFF2EEE4"/>
      </left>
      <top style="thin">
        <color rgb="FFF2EEE4"/>
      </top>
      <bottom style="thin">
        <color rgb="FFF2EEE4"/>
      </bottom>
    </border>
    <border>
      <left style="thick">
        <color rgb="FFFFFFFF"/>
      </left>
      <top style="thin">
        <color rgb="FFF2EEE4"/>
      </top>
      <bottom style="thick">
        <color rgb="FFFFFFFF"/>
      </bottom>
    </border>
    <border>
      <left style="thin">
        <color rgb="FFFFFFFF"/>
      </left>
      <right style="thin">
        <color rgb="FFF2EEE4"/>
      </right>
      <top style="thin">
        <color rgb="FFF2EEE4"/>
      </top>
      <bottom style="thick">
        <color rgb="FFFFFFFF"/>
      </bottom>
    </border>
    <border>
      <left style="thin">
        <color rgb="FFF2EEE4"/>
      </left>
      <right style="thin">
        <color rgb="FFFFFFFF"/>
      </right>
      <top style="thin">
        <color rgb="FFF2EEE4"/>
      </top>
      <bottom style="thick">
        <color rgb="FFFFFFFF"/>
      </bottom>
    </border>
    <border>
      <right style="thin">
        <color rgb="FFF2EEE4"/>
      </right>
      <top style="thin">
        <color rgb="FFF2EEE4"/>
      </top>
      <bottom style="thick">
        <color rgb="FFFFFFFF"/>
      </bottom>
    </border>
    <border>
      <right style="thick">
        <color rgb="FFFFFFFF"/>
      </right>
      <top style="thin">
        <color rgb="FFF2EEE4"/>
      </top>
      <bottom style="thick">
        <color rgb="FFFFFFFF"/>
      </bottom>
    </border>
    <border>
      <right style="thick">
        <color rgb="FFFFFFFF"/>
      </right>
      <top style="medium">
        <color rgb="FFFFFFFF"/>
      </top>
      <bottom style="thick">
        <color rgb="FFFFFFFF"/>
      </bottom>
    </border>
    <border>
      <top style="thin">
        <color rgb="FFF2EEE4"/>
      </top>
    </border>
    <border>
      <left style="thin">
        <color rgb="FFF2EEE4"/>
      </left>
      <right style="thick">
        <color rgb="FFF2EEE4"/>
      </right>
      <bottom style="thick">
        <color rgb="FFF2EEE4"/>
      </bottom>
    </border>
    <border>
      <left style="thick">
        <color rgb="FFF2EEE4"/>
      </left>
      <bottom style="thick">
        <color rgb="FFF2EEE4"/>
      </bottom>
    </border>
    <border>
      <left style="thin">
        <color rgb="FFF2EEE4"/>
      </left>
      <right style="thick">
        <color rgb="FFF2EEE4"/>
      </right>
      <top style="thick">
        <color rgb="FFF2EEE4"/>
      </top>
      <bottom style="thick">
        <color rgb="FFF2EEE4"/>
      </bottom>
    </border>
    <border>
      <left style="thick">
        <color rgb="FFF2EEE4"/>
      </left>
      <top style="thick">
        <color rgb="FFF2EEE4"/>
      </top>
      <bottom style="thick">
        <color rgb="FFF2EEE4"/>
      </bottom>
    </border>
    <border>
      <right style="thick">
        <color rgb="FFF2EEE4"/>
      </right>
      <top style="thick">
        <color rgb="FFF2EEE4"/>
      </top>
      <bottom style="thick">
        <color rgb="FFF2EEE4"/>
      </bottom>
    </border>
    <border>
      <right style="thick">
        <color rgb="FFF2EEE4"/>
      </right>
      <top style="thick">
        <color rgb="FFF2EEE4"/>
      </top>
    </border>
    <border>
      <left style="thick">
        <color rgb="FFF2EEE4"/>
      </left>
      <top style="thick">
        <color rgb="FFF2EEE4"/>
      </top>
    </border>
    <border>
      <top style="thick">
        <color rgb="FFFFFFFF"/>
      </top>
      <bottom style="thin">
        <color rgb="FFFFFFFF"/>
      </bottom>
    </border>
    <border>
      <left style="thin">
        <color rgb="FFF2EEE4"/>
      </left>
      <right style="thin">
        <color rgb="FFF2EEE4"/>
      </right>
      <top style="thick">
        <color rgb="FFFFFFFF"/>
      </top>
      <bottom style="thin">
        <color rgb="FFFFFFFF"/>
      </bottom>
    </border>
    <border>
      <right style="thick">
        <color rgb="FFFFFFFF"/>
      </right>
      <top style="thick">
        <color rgb="FFFFFFFF"/>
      </top>
      <bottom style="thin">
        <color rgb="FFFFFFFF"/>
      </bottom>
    </border>
    <border>
      <top style="thick">
        <color rgb="FFF2EEE4"/>
      </top>
      <bottom style="thick">
        <color rgb="FFF2EEE4"/>
      </bottom>
    </border>
    <border>
      <left style="thick">
        <color rgb="FFFFFFFF"/>
      </left>
      <top style="thick">
        <color rgb="FFFFFFFF"/>
      </top>
      <bottom style="thin">
        <color rgb="FFF2EEE4"/>
      </bottom>
    </border>
    <border>
      <top style="thick">
        <color rgb="FFFFFFFF"/>
      </top>
      <bottom style="thin">
        <color rgb="FFF2EEE4"/>
      </bottom>
    </border>
    <border>
      <right style="thin">
        <color rgb="FFF2EEE4"/>
      </right>
      <top style="thick">
        <color rgb="FFFFFFFF"/>
      </top>
      <bottom style="thin">
        <color rgb="FFF2EEE4"/>
      </bottom>
    </border>
    <border>
      <top style="thin">
        <color rgb="FFF2EEE4"/>
      </top>
      <bottom style="thick">
        <color rgb="FFFFFFFF"/>
      </bottom>
    </border>
    <border>
      <top style="thin">
        <color rgb="FFF2EEE4"/>
      </top>
      <bottom style="thick">
        <color rgb="FFF2EEE4"/>
      </bottom>
    </border>
    <border>
      <left style="thick">
        <color rgb="FFF2EEE4"/>
      </left>
      <right style="thick">
        <color rgb="FFF2EEE4"/>
      </right>
    </border>
    <border>
      <left style="thin">
        <color rgb="FFF2EEE4"/>
      </left>
      <right style="thin">
        <color rgb="FFFFFFFF"/>
      </right>
      <top style="thick">
        <color rgb="FFFFFFFF"/>
      </top>
      <bottom style="thin">
        <color rgb="FFF2EEE4"/>
      </bottom>
    </border>
    <border>
      <right style="thick">
        <color rgb="FFFFFFFF"/>
      </right>
      <top style="thick">
        <color rgb="FFFFFFFF"/>
      </top>
      <bottom style="thin">
        <color rgb="FFF2EEE4"/>
      </bottom>
    </border>
    <border>
      <top style="thick">
        <color rgb="FFF2EEE4"/>
      </top>
      <bottom style="thin">
        <color rgb="FFF2EEE4"/>
      </bottom>
    </border>
    <border>
      <right style="medium">
        <color rgb="FFFFFFFF"/>
      </right>
      <bottom style="medium">
        <color rgb="FFFFFFFF"/>
      </bottom>
    </border>
    <border>
      <left style="medium">
        <color rgb="FFFFFFFF"/>
      </left>
      <right style="medium">
        <color rgb="FFFFFFFF"/>
      </right>
      <bottom style="medium">
        <color rgb="FFFFFFFF"/>
      </bottom>
    </border>
    <border>
      <left style="medium">
        <color rgb="FFFFFFFF"/>
      </left>
      <bottom style="medium">
        <color rgb="FFFFFFFF"/>
      </bottom>
    </border>
    <border>
      <right style="thin">
        <color rgb="FFF2EEE4"/>
      </right>
      <top style="medium">
        <color rgb="FFFFFFFF"/>
      </top>
      <bottom style="thin">
        <color rgb="FFF2EEE4"/>
      </bottom>
    </border>
    <border>
      <left style="thin">
        <color rgb="FFF2EEE4"/>
      </left>
      <right style="thin">
        <color rgb="FFF2EEE4"/>
      </right>
      <top style="medium">
        <color rgb="FFFFFFFF"/>
      </top>
      <bottom style="thin">
        <color rgb="FFF2EEE4"/>
      </bottom>
    </border>
    <border>
      <left style="thin">
        <color rgb="FFF2EEE4"/>
      </left>
      <top style="medium">
        <color rgb="FFFFFFFF"/>
      </top>
      <bottom style="thin">
        <color rgb="FFF2EEE4"/>
      </bottom>
    </border>
    <border>
      <right style="thin">
        <color rgb="FFF2EEE4"/>
      </right>
      <top style="thin">
        <color rgb="FFF2EEE4"/>
      </top>
    </border>
    <border>
      <left style="thick">
        <color rgb="FFFFFFFF"/>
      </left>
      <right style="thin">
        <color rgb="FFF2EEE4"/>
      </right>
      <top style="medium">
        <color rgb="FF000000"/>
      </top>
      <bottom style="thin">
        <color rgb="FFF2EEE4"/>
      </bottom>
    </border>
    <border>
      <left style="thin">
        <color rgb="FFF2EEE4"/>
      </left>
      <right style="thin">
        <color rgb="FFF2EEE4"/>
      </right>
      <top style="medium">
        <color rgb="FF000000"/>
      </top>
      <bottom style="thin">
        <color rgb="FFF2EEE4"/>
      </bottom>
    </border>
    <border>
      <left style="thin">
        <color rgb="FFF2EEE4"/>
      </left>
      <right style="thick">
        <color rgb="FFFFFFFF"/>
      </right>
      <top style="medium">
        <color rgb="FF000000"/>
      </top>
      <bottom style="thin">
        <color rgb="FFF2EEE4"/>
      </bottom>
    </border>
    <border>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right style="medium">
        <color rgb="FFFFFFFF"/>
      </right>
      <top style="medium">
        <color rgb="FFFFFFFF"/>
      </top>
      <bottom style="thin">
        <color rgb="FFFFFFFF"/>
      </bottom>
    </border>
    <border>
      <right style="medium">
        <color rgb="FFFFFFFF"/>
      </right>
      <top style="thin">
        <color rgb="FFFFFFFF"/>
      </top>
      <bottom style="medium">
        <color rgb="FFFFFFFF"/>
      </bottom>
    </border>
    <border>
      <left style="medium">
        <color rgb="FFFFFFFF"/>
      </left>
      <top style="medium">
        <color rgb="FFFFFFFF"/>
      </top>
      <bottom style="thin">
        <color rgb="FFFFFFFF"/>
      </bottom>
    </border>
    <border>
      <left style="medium">
        <color rgb="FFFFFFFF"/>
      </left>
      <right style="medium">
        <color rgb="FFFFFFFF"/>
      </right>
      <top style="medium">
        <color rgb="FFFFFFFF"/>
      </top>
    </border>
    <border>
      <top style="thin">
        <color rgb="FFFFFFFF"/>
      </top>
      <bottom style="thin">
        <color rgb="FFFFFFFF"/>
      </bottom>
    </border>
    <border>
      <left style="medium">
        <color rgb="FFFFFFFF"/>
      </left>
      <right style="thin">
        <color rgb="FFF2EEE4"/>
      </right>
      <top style="medium">
        <color rgb="FFFFFFFF"/>
      </top>
      <bottom style="thin">
        <color rgb="FFF2EEE4"/>
      </bottom>
    </border>
    <border>
      <left style="thin">
        <color rgb="FFF2EEE4"/>
      </left>
      <right style="medium">
        <color rgb="FFFFFFFF"/>
      </right>
      <top style="medium">
        <color rgb="FFFFFFFF"/>
      </top>
      <bottom style="thin">
        <color rgb="FFF2EEE4"/>
      </bottom>
    </border>
    <border>
      <top style="medium">
        <color rgb="FFFFFFFF"/>
      </top>
    </border>
    <border>
      <right style="medium">
        <color rgb="FFFFFFFF"/>
      </right>
      <top style="medium">
        <color rgb="FFFFFFFF"/>
      </top>
    </border>
    <border>
      <left style="medium">
        <color rgb="FFFFFFFF"/>
      </left>
      <right style="thin">
        <color rgb="FFF2EEE4"/>
      </right>
      <top style="thin">
        <color rgb="FFF2EEE4"/>
      </top>
      <bottom style="thin">
        <color rgb="FFF2EEE4"/>
      </bottom>
    </border>
    <border>
      <left style="thin">
        <color rgb="FFF2EEE4"/>
      </left>
      <right style="medium">
        <color rgb="FFFFFFFF"/>
      </right>
      <top style="thin">
        <color rgb="FFF2EEE4"/>
      </top>
      <bottom style="thin">
        <color rgb="FFF2EEE4"/>
      </bottom>
    </border>
    <border>
      <right style="medium">
        <color rgb="FFFFFFFF"/>
      </right>
      <top style="medium">
        <color rgb="FF000000"/>
      </top>
      <bottom style="medium">
        <color rgb="FFFFFFFF"/>
      </bottom>
    </border>
    <border>
      <left style="medium">
        <color rgb="FFFFFFFF"/>
      </left>
      <right style="medium">
        <color rgb="FFFFFFFF"/>
      </right>
      <top style="medium">
        <color rgb="FF000000"/>
      </top>
      <bottom style="medium">
        <color rgb="FFFFFFFF"/>
      </bottom>
    </border>
    <border>
      <left style="medium">
        <color rgb="FFFFFFFF"/>
      </left>
      <right style="medium">
        <color rgb="FF000000"/>
      </right>
      <top style="medium">
        <color rgb="FF000000"/>
      </top>
      <bottom style="medium">
        <color rgb="FFFFFFFF"/>
      </bottom>
    </border>
    <border>
      <left style="medium">
        <color rgb="FFFFFFFF"/>
      </left>
      <right style="medium">
        <color rgb="FF000000"/>
      </right>
      <top style="medium">
        <color rgb="FFFFFFFF"/>
      </top>
      <bottom style="medium">
        <color rgb="FFFFFFFF"/>
      </bottom>
    </border>
    <border>
      <left style="medium">
        <color rgb="FFFFFFFF"/>
      </left>
      <right style="thin">
        <color rgb="FFF2EEE4"/>
      </right>
      <top style="thin">
        <color rgb="FFF2EEE4"/>
      </top>
      <bottom style="medium">
        <color rgb="FFFFFFFF"/>
      </bottom>
    </border>
    <border>
      <left style="thin">
        <color rgb="FFF2EEE4"/>
      </left>
      <right style="medium">
        <color rgb="FFFFFFFF"/>
      </right>
      <top style="thin">
        <color rgb="FFF2EEE4"/>
      </top>
      <bottom style="medium">
        <color rgb="FFFFFFFF"/>
      </bottom>
    </border>
    <border>
      <right style="medium">
        <color rgb="FFFFFFFF"/>
      </right>
      <top style="medium">
        <color rgb="FFFFFFFF"/>
      </top>
      <bottom style="medium">
        <color rgb="FF000000"/>
      </bottom>
    </border>
    <border>
      <left style="medium">
        <color rgb="FFFFFFFF"/>
      </left>
      <right style="medium">
        <color rgb="FFFFFFFF"/>
      </right>
      <top style="medium">
        <color rgb="FFFFFFFF"/>
      </top>
      <bottom style="medium">
        <color rgb="FF000000"/>
      </bottom>
    </border>
    <border>
      <left style="medium">
        <color rgb="FFFFFFFF"/>
      </left>
      <right style="medium">
        <color rgb="FF000000"/>
      </right>
      <top style="medium">
        <color rgb="FFFFFFFF"/>
      </top>
      <bottom style="medium">
        <color rgb="FF000000"/>
      </bottom>
    </border>
    <border>
      <left style="medium">
        <color rgb="FFFFFFFF"/>
      </left>
      <right style="thin">
        <color rgb="FFFFFFFF"/>
      </right>
      <top style="medium">
        <color rgb="FFFFFFFF"/>
      </top>
      <bottom style="thin">
        <color rgb="FFFFFFFF"/>
      </bottom>
    </border>
    <border>
      <left style="thin">
        <color rgb="FFFFFFFF"/>
      </left>
      <right style="thin">
        <color rgb="FFFFFFFF"/>
      </right>
      <top style="medium">
        <color rgb="FFFFFFFF"/>
      </top>
      <bottom style="thin">
        <color rgb="FFFFFFFF"/>
      </bottom>
    </border>
    <border>
      <left style="thin">
        <color rgb="FFFFFFFF"/>
      </left>
      <top style="thin">
        <color rgb="FFFFFFFF"/>
      </top>
      <bottom style="thin">
        <color rgb="FFFFFFFF"/>
      </bottom>
    </border>
    <border>
      <right style="medium">
        <color rgb="FFFFFFFF"/>
      </right>
      <bottom style="thin">
        <color rgb="FFFFFFFF"/>
      </bottom>
    </border>
    <border>
      <left style="medium">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2EEE4"/>
      </left>
      <right style="thin">
        <color rgb="FFF2EEE4"/>
      </right>
      <top style="thin">
        <color rgb="FFF2EEE4"/>
      </top>
      <bottom style="medium">
        <color rgb="FFFFFFFF"/>
      </bottom>
    </border>
    <border>
      <right style="medium">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medium">
        <color rgb="FFFFFFFF"/>
      </bottom>
    </border>
    <border>
      <left style="medium">
        <color rgb="FFFFFFFF"/>
      </left>
      <right style="medium">
        <color rgb="FFFFFFFF"/>
      </right>
      <top style="thin">
        <color rgb="FFFFFFFF"/>
      </top>
      <bottom style="medium">
        <color rgb="FFFFFFFF"/>
      </bottom>
    </border>
    <border>
      <left style="medium">
        <color rgb="FFFFFFFF"/>
      </left>
      <top style="thin">
        <color rgb="FFFFFFFF"/>
      </top>
      <bottom style="medium">
        <color rgb="FFFFFFFF"/>
      </bottom>
    </border>
    <border>
      <left style="medium">
        <color rgb="FFFFFFFF"/>
      </left>
      <top style="medium">
        <color rgb="FFFFFFFF"/>
      </top>
    </border>
    <border>
      <top style="medium">
        <color rgb="FFFFFFFF"/>
      </top>
      <bottom style="medium">
        <color rgb="FFFFFFFF"/>
      </bottom>
    </border>
    <border>
      <left style="thin">
        <color rgb="FFF2EEE4"/>
      </left>
      <top style="thin">
        <color rgb="FFF2EEE4"/>
      </top>
    </border>
    <border>
      <left style="thin">
        <color rgb="FFF2EEE4"/>
      </left>
      <bottom style="thin">
        <color rgb="FFF2EEE4"/>
      </bottom>
    </border>
    <border>
      <bottom style="medium">
        <color rgb="FFFFFFFF"/>
      </bottom>
    </border>
    <border>
      <left style="medium">
        <color rgb="FF000000"/>
      </left>
      <right style="medium">
        <color rgb="FFFFFFFF"/>
      </right>
      <top style="medium">
        <color rgb="FF000000"/>
      </top>
      <bottom style="medium">
        <color rgb="FFFFFFFF"/>
      </bottom>
    </border>
    <border>
      <left style="medium">
        <color rgb="FF000000"/>
      </left>
      <right style="medium">
        <color rgb="FFFFFFFF"/>
      </right>
      <top style="medium">
        <color rgb="FFFFFFFF"/>
      </top>
      <bottom style="medium">
        <color rgb="FFFFFFFF"/>
      </bottom>
    </border>
    <border>
      <left style="medium">
        <color rgb="FF000000"/>
      </left>
      <right style="medium">
        <color rgb="FFFFFFFF"/>
      </right>
      <top style="medium">
        <color rgb="FFFFFFFF"/>
      </top>
      <bottom style="medium">
        <color rgb="FF000000"/>
      </bottom>
    </border>
    <border>
      <left style="thin">
        <color rgb="FFF2EEE4"/>
      </left>
      <right style="thin">
        <color rgb="FFF2EEE4"/>
      </right>
      <top style="thick">
        <color rgb="FFFFFFFF"/>
      </top>
      <bottom style="medium">
        <color rgb="FFFFFFFF"/>
      </bottom>
    </border>
    <border>
      <left style="thin">
        <color rgb="FFF2EEE4"/>
      </left>
      <right style="medium">
        <color rgb="FFFFFFFF"/>
      </right>
      <top style="thick">
        <color rgb="FFFFFFFF"/>
      </top>
      <bottom style="medium">
        <color rgb="FFFFFFFF"/>
      </bottom>
    </border>
    <border>
      <right style="thick">
        <color rgb="FFFFFFFF"/>
      </right>
      <top style="thick">
        <color rgb="FFFFFFFF"/>
      </top>
      <bottom style="medium">
        <color rgb="FFFFFFFF"/>
      </bottom>
    </border>
    <border>
      <left style="thick">
        <color rgb="FFFFFFFF"/>
      </left>
      <right style="medium">
        <color rgb="FFFFFFFF"/>
      </right>
      <top style="thin">
        <color rgb="FFF2EEE4"/>
      </top>
      <bottom style="thin">
        <color rgb="FFF2EEE4"/>
      </bottom>
    </border>
    <border>
      <left style="thin">
        <color rgb="FFF2EEE4"/>
      </left>
      <right style="medium">
        <color rgb="FFFFFFFF"/>
      </right>
      <bottom style="thin">
        <color rgb="FFF2EEE4"/>
      </bottom>
    </border>
    <border>
      <left style="thick">
        <color rgb="FFFFFFFF"/>
      </left>
      <right style="medium">
        <color rgb="FFFFFFFF"/>
      </right>
      <top style="thin">
        <color rgb="FFF2EEE4"/>
      </top>
      <bottom style="thick">
        <color rgb="FFFFFFFF"/>
      </bottom>
    </border>
    <border>
      <left style="thin">
        <color rgb="FFF2EEE4"/>
      </left>
      <right style="medium">
        <color rgb="FFFFFFFF"/>
      </right>
      <top style="thin">
        <color rgb="FFF2EEE4"/>
      </top>
      <bottom style="thick">
        <color rgb="FFFFFFFF"/>
      </bottom>
    </border>
    <border>
      <right style="thick">
        <color rgb="FFFFFFFF"/>
      </right>
      <bottom style="thick">
        <color rgb="FFFFFFFF"/>
      </bottom>
    </border>
    <border>
      <bottom style="thick">
        <color rgb="FFF2EEE4"/>
      </bottom>
    </border>
    <border>
      <right style="thick">
        <color rgb="FFFFFFFF"/>
      </right>
      <bottom style="medium">
        <color rgb="FFFFFFFF"/>
      </bottom>
    </border>
    <border>
      <left style="thin">
        <color rgb="FFF2EEE4"/>
      </left>
      <right style="thick">
        <color rgb="FFF2EEE4"/>
      </right>
      <top style="thick">
        <color rgb="FFF2EEE4"/>
      </top>
      <bottom style="thin">
        <color rgb="FFF2EEE4"/>
      </bottom>
    </border>
    <border>
      <left style="thin">
        <color rgb="FFF2EEE4"/>
      </left>
      <right style="thick">
        <color rgb="FFF2EEE4"/>
      </right>
      <top style="thin">
        <color rgb="FFF2EEE4"/>
      </top>
      <bottom style="thin">
        <color rgb="FFF2EEE4"/>
      </bottom>
    </border>
    <border>
      <right style="medium">
        <color rgb="FFF2EEE4"/>
      </right>
      <top style="thick">
        <color rgb="FFF2EEE4"/>
      </top>
      <bottom style="medium">
        <color rgb="FFF2EEE4"/>
      </bottom>
    </border>
    <border>
      <left style="medium">
        <color rgb="FFF2EEE4"/>
      </left>
      <top style="thick">
        <color rgb="FFF2EEE4"/>
      </top>
      <bottom style="medium">
        <color rgb="FFF2EEE4"/>
      </bottom>
    </border>
    <border>
      <left style="thin">
        <color rgb="FFF2EEE4"/>
      </left>
      <right style="thick">
        <color rgb="FFF2EEE4"/>
      </right>
      <top style="thin">
        <color rgb="FFF2EEE4"/>
      </top>
    </border>
    <border>
      <right style="medium">
        <color rgb="FFF2EEE4"/>
      </right>
      <top style="medium">
        <color rgb="FFF2EEE4"/>
      </top>
      <bottom style="medium">
        <color rgb="FFF2EEE4"/>
      </bottom>
    </border>
    <border>
      <left style="medium">
        <color rgb="FFF2EEE4"/>
      </left>
      <top style="medium">
        <color rgb="FFF2EEE4"/>
      </top>
      <bottom style="medium">
        <color rgb="FFF2EEE4"/>
      </bottom>
    </border>
    <border>
      <left style="thick">
        <color rgb="FFFFFFFF"/>
      </left>
      <top style="thick">
        <color rgb="FFFFFFFF"/>
      </top>
      <bottom style="medium">
        <color rgb="FFFFFFFF"/>
      </bottom>
    </border>
    <border>
      <top style="thick">
        <color rgb="FFFFFFFF"/>
      </top>
      <bottom style="medium">
        <color rgb="FFFFFFFF"/>
      </bottom>
    </border>
    <border>
      <right style="thin">
        <color rgb="FFF2EEE4"/>
      </right>
      <top style="thick">
        <color rgb="FFFFFFFF"/>
      </top>
      <bottom style="medium">
        <color rgb="FFFFFFFF"/>
      </bottom>
    </border>
    <border>
      <left style="thin">
        <color rgb="FFF2EEE4"/>
      </left>
      <right style="thick">
        <color rgb="FFFFFFFF"/>
      </right>
      <top style="thick">
        <color rgb="FFFFFFFF"/>
      </top>
      <bottom style="medium">
        <color rgb="FFFFFFFF"/>
      </bottom>
    </border>
    <border>
      <right style="medium">
        <color rgb="FFFFFFFF"/>
      </right>
      <bottom style="thin">
        <color rgb="FFF2EEE4"/>
      </bottom>
    </border>
    <border>
      <right style="medium">
        <color rgb="FFFFFFFF"/>
      </right>
      <top style="thin">
        <color rgb="FFF2EEE4"/>
      </top>
      <bottom style="thin">
        <color rgb="FFF2EEE4"/>
      </bottom>
    </border>
    <border>
      <right style="medium">
        <color rgb="FFF2EEE4"/>
      </right>
      <top style="medium">
        <color rgb="FFF2EEE4"/>
      </top>
      <bottom style="thin">
        <color rgb="FFF2EEE4"/>
      </bottom>
    </border>
    <border>
      <left style="medium">
        <color rgb="FFF2EEE4"/>
      </left>
      <right style="thin">
        <color rgb="FFF2EEE4"/>
      </right>
      <top style="medium">
        <color rgb="FFF2EEE4"/>
      </top>
      <bottom style="thin">
        <color rgb="FFF2EEE4"/>
      </bottom>
    </border>
    <border>
      <right style="medium">
        <color rgb="FFFFFFFF"/>
      </right>
      <top style="thin">
        <color rgb="FFF2EEE4"/>
      </top>
      <bottom style="thick">
        <color rgb="FFFFFFFF"/>
      </bottom>
    </border>
    <border>
      <left style="thin">
        <color rgb="FFF2EEE4"/>
      </left>
      <right style="thin">
        <color rgb="FFF2EEE4"/>
      </right>
      <top style="thick">
        <color rgb="FFFFFFFF"/>
      </top>
    </border>
    <border>
      <left style="thin">
        <color rgb="FFF2EEE4"/>
      </left>
      <right style="thin">
        <color rgb="FFFFFFFF"/>
      </right>
      <top style="thick">
        <color rgb="FFFFFFFF"/>
      </top>
    </border>
    <border>
      <left style="thin">
        <color rgb="FFF2EEE4"/>
      </left>
      <right style="thick">
        <color rgb="FFFFFFFF"/>
      </right>
      <top style="thick">
        <color rgb="FFFFFFFF"/>
      </top>
    </border>
    <border>
      <left style="thin">
        <color rgb="FFF2EEE4"/>
      </left>
      <right style="thin">
        <color rgb="FFF2EEE4"/>
      </right>
      <top style="thin">
        <color rgb="FFFFFFFF"/>
      </top>
      <bottom style="thin">
        <color rgb="FFFFFFFF"/>
      </bottom>
    </border>
    <border>
      <left style="thin">
        <color rgb="FFF2EEE4"/>
      </left>
      <right style="thick">
        <color rgb="FFFFFFFF"/>
      </right>
      <top style="thin">
        <color rgb="FFFFFFFF"/>
      </top>
      <bottom style="thin">
        <color rgb="FFFFFFFF"/>
      </bottom>
    </border>
    <border>
      <left style="thin">
        <color rgb="FFF2EEE4"/>
      </left>
      <right style="thin">
        <color rgb="FFF2EEE4"/>
      </right>
      <bottom style="thin">
        <color rgb="FFFFFFFF"/>
      </bottom>
    </border>
    <border>
      <left style="thin">
        <color rgb="FFF2EEE4"/>
      </left>
      <right style="thick">
        <color rgb="FFFFFFFF"/>
      </right>
      <bottom style="thin">
        <color rgb="FFFFFFFF"/>
      </bottom>
    </border>
    <border>
      <left style="thin">
        <color rgb="FFF2EEE4"/>
      </left>
      <right style="thin">
        <color rgb="FFF2EEE4"/>
      </right>
      <bottom style="thick">
        <color rgb="FFFFFFFF"/>
      </bottom>
    </border>
    <border>
      <left style="thin">
        <color rgb="FFF2EEE4"/>
      </left>
      <right style="thick">
        <color rgb="FFFFFFFF"/>
      </right>
      <bottom style="thick">
        <color rgb="FFFFFFFF"/>
      </bottom>
    </border>
    <border>
      <right style="medium">
        <color rgb="FFF2EEE4"/>
      </right>
      <top style="thin">
        <color rgb="FFF2EEE4"/>
      </top>
      <bottom style="medium">
        <color rgb="FFF2EEE4"/>
      </bottom>
    </border>
    <border>
      <left style="medium">
        <color rgb="FFF2EEE4"/>
      </left>
      <right style="medium">
        <color rgb="FFF2EEE4"/>
      </right>
      <bottom style="medium">
        <color rgb="FFF2EEE4"/>
      </bottom>
    </border>
    <border>
      <left style="medium">
        <color rgb="FFF2EEE4"/>
      </left>
      <top style="thin">
        <color rgb="FFF2EEE4"/>
      </top>
      <bottom style="medium">
        <color rgb="FFF2EEE4"/>
      </bottom>
    </border>
    <border>
      <left style="medium">
        <color rgb="FFF2EEE4"/>
      </left>
      <right style="medium">
        <color rgb="FFF2EEE4"/>
      </right>
      <top style="medium">
        <color rgb="FFF2EEE4"/>
      </top>
      <bottom style="medium">
        <color rgb="FFF2EEE4"/>
      </bottom>
    </border>
    <border>
      <right style="medium">
        <color rgb="FFF2EEE4"/>
      </right>
      <top style="medium">
        <color rgb="FFF2EEE4"/>
      </top>
    </border>
    <border>
      <left style="medium">
        <color rgb="FFF2EEE4"/>
      </left>
      <right style="medium">
        <color rgb="FFF2EEE4"/>
      </right>
      <top style="medium">
        <color rgb="FFF2EEE4"/>
      </top>
    </border>
    <border>
      <left style="medium">
        <color rgb="FFF2EEE4"/>
      </left>
      <top style="medium">
        <color rgb="FFF2EEE4"/>
      </top>
    </border>
  </borders>
  <cellStyleXfs count="1">
    <xf borderId="0" fillId="0" fontId="0" numFmtId="0" applyAlignment="1" applyFont="1"/>
  </cellStyleXfs>
  <cellXfs count="700">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2" xfId="0" applyAlignment="1" applyFont="1" applyNumberFormat="1">
      <alignment horizontal="center" readingOrder="0" shrinkToFit="0" vertical="center" wrapText="1"/>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0"/>
    </xf>
    <xf borderId="0" fillId="0" fontId="3" numFmtId="2" xfId="0" applyAlignment="1" applyFont="1" applyNumberFormat="1">
      <alignment horizontal="center"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4" numFmtId="2" xfId="0" applyAlignment="1" applyFont="1" applyNumberFormat="1">
      <alignment readingOrder="0" vertical="top"/>
    </xf>
    <xf borderId="0" fillId="0" fontId="4" numFmtId="164" xfId="0" applyAlignment="1" applyFont="1" applyNumberFormat="1">
      <alignment readingOrder="0" vertical="top"/>
    </xf>
    <xf borderId="0" fillId="0" fontId="2"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0" fontId="1" numFmtId="1" xfId="0" applyAlignment="1" applyFont="1" applyNumberFormat="1">
      <alignment horizontal="center" readingOrder="0" shrinkToFit="0" vertical="center" wrapText="0"/>
    </xf>
    <xf borderId="0" fillId="0" fontId="2" numFmtId="1" xfId="0" applyAlignment="1" applyFont="1" applyNumberFormat="1">
      <alignment horizontal="center" readingOrder="0" shrinkToFit="0" vertical="center" wrapText="0"/>
    </xf>
    <xf borderId="0" fillId="3" fontId="1" numFmtId="0" xfId="0" applyAlignment="1" applyFill="1" applyFont="1">
      <alignment horizontal="center" readingOrder="0" shrinkToFit="0" vertical="center" wrapText="1"/>
    </xf>
    <xf borderId="0" fillId="0" fontId="3" numFmtId="2" xfId="0" applyAlignment="1" applyFont="1" applyNumberFormat="1">
      <alignment horizontal="center" shrinkToFit="0" vertical="center" wrapText="1"/>
    </xf>
    <xf borderId="0" fillId="3" fontId="1" numFmtId="0" xfId="0" applyAlignment="1" applyFont="1">
      <alignment horizontal="center" readingOrder="0" shrinkToFit="0" vertical="center" wrapText="0"/>
    </xf>
    <xf borderId="0" fillId="0" fontId="1" numFmtId="165" xfId="0" applyAlignment="1" applyFont="1" applyNumberFormat="1">
      <alignment horizontal="center" readingOrder="0" shrinkToFit="0" vertical="center" wrapText="0"/>
    </xf>
    <xf borderId="0" fillId="0" fontId="5" numFmtId="2" xfId="0" applyFont="1" applyNumberFormat="1"/>
    <xf borderId="0" fillId="0" fontId="2" numFmtId="2" xfId="0" applyAlignment="1" applyFont="1" applyNumberFormat="1">
      <alignment readingOrder="0" shrinkToFit="0" vertical="center" wrapText="0"/>
    </xf>
    <xf borderId="1" fillId="4" fontId="6" numFmtId="0" xfId="0" applyAlignment="1" applyBorder="1" applyFill="1" applyFont="1">
      <alignment readingOrder="0" vertical="top"/>
    </xf>
    <xf borderId="1" fillId="0" fontId="2" numFmtId="0" xfId="0" applyAlignment="1" applyBorder="1" applyFont="1">
      <alignment readingOrder="0" shrinkToFit="0" vertical="center" wrapText="0"/>
    </xf>
    <xf borderId="1" fillId="0" fontId="2" numFmtId="164" xfId="0" applyAlignment="1" applyBorder="1" applyFont="1" applyNumberFormat="1">
      <alignment readingOrder="0" shrinkToFit="0" vertical="center" wrapText="0"/>
    </xf>
    <xf borderId="0" fillId="0" fontId="1" numFmtId="2" xfId="0" applyAlignment="1" applyFont="1" applyNumberFormat="1">
      <alignment horizontal="center" readingOrder="0" shrinkToFit="0" vertical="center" wrapText="0"/>
    </xf>
    <xf borderId="0" fillId="0" fontId="1" numFmtId="0" xfId="0" applyAlignment="1" applyFont="1">
      <alignment readingOrder="0" shrinkToFit="0" vertical="center" wrapText="0"/>
    </xf>
    <xf borderId="0" fillId="0" fontId="1" numFmtId="2" xfId="0" applyAlignment="1" applyFont="1" applyNumberFormat="1">
      <alignment horizontal="center" readingOrder="0" shrinkToFit="0" vertical="center" wrapText="0"/>
    </xf>
    <xf borderId="0" fillId="0" fontId="1" numFmtId="2" xfId="0" applyAlignment="1" applyFont="1" applyNumberFormat="1">
      <alignment horizontal="center" readingOrder="0" shrinkToFit="0" vertical="center" wrapText="1"/>
    </xf>
    <xf borderId="2" fillId="5" fontId="7" numFmtId="0" xfId="0" applyAlignment="1" applyBorder="1" applyFill="1" applyFont="1">
      <alignment horizontal="center" readingOrder="2" vertical="center"/>
    </xf>
    <xf borderId="2" fillId="5" fontId="2" numFmtId="0" xfId="0" applyAlignment="1" applyBorder="1" applyFont="1">
      <alignment horizontal="right" readingOrder="2" vertical="center"/>
    </xf>
    <xf borderId="2" fillId="5" fontId="8" numFmtId="0" xfId="0" applyAlignment="1" applyBorder="1" applyFont="1">
      <alignment horizontal="right" readingOrder="2" vertical="center"/>
    </xf>
    <xf borderId="2" fillId="5" fontId="8" numFmtId="0" xfId="0" applyAlignment="1" applyBorder="1" applyFont="1">
      <alignment horizontal="center" readingOrder="2" shrinkToFit="0" vertical="center" wrapText="1"/>
    </xf>
    <xf borderId="2" fillId="5" fontId="2" numFmtId="0" xfId="0" applyAlignment="1" applyBorder="1" applyFont="1">
      <alignment horizontal="right" readingOrder="2" vertical="center"/>
    </xf>
    <xf borderId="3" fillId="5" fontId="9" numFmtId="0" xfId="0" applyBorder="1" applyFont="1"/>
    <xf borderId="4" fillId="5" fontId="10" numFmtId="0" xfId="0" applyAlignment="1" applyBorder="1" applyFont="1">
      <alignment horizontal="center" readingOrder="0"/>
    </xf>
    <xf borderId="5" fillId="0" fontId="11" numFmtId="0" xfId="0" applyBorder="1" applyFont="1"/>
    <xf borderId="6" fillId="5" fontId="10" numFmtId="0" xfId="0" applyAlignment="1" applyBorder="1" applyFont="1">
      <alignment horizontal="right" readingOrder="2"/>
    </xf>
    <xf borderId="6" fillId="5" fontId="10" numFmtId="0" xfId="0" applyAlignment="1" applyBorder="1" applyFont="1">
      <alignment horizontal="center" readingOrder="0"/>
    </xf>
    <xf borderId="7" fillId="5" fontId="9" numFmtId="0" xfId="0" applyBorder="1" applyFont="1"/>
    <xf borderId="8" fillId="5" fontId="1" numFmtId="0" xfId="0" applyAlignment="1" applyBorder="1" applyFont="1">
      <alignment horizontal="right" readingOrder="2" vertical="center"/>
    </xf>
    <xf borderId="9" fillId="5" fontId="1" numFmtId="165" xfId="0" applyAlignment="1" applyBorder="1" applyFont="1" applyNumberFormat="1">
      <alignment horizontal="right" readingOrder="2" vertical="center"/>
    </xf>
    <xf borderId="9" fillId="5" fontId="1" numFmtId="165" xfId="0" applyAlignment="1" applyBorder="1" applyFont="1" applyNumberFormat="1">
      <alignment horizontal="center" readingOrder="2" vertical="center"/>
    </xf>
    <xf borderId="9" fillId="5" fontId="1" numFmtId="0" xfId="0" applyAlignment="1" applyBorder="1" applyFont="1">
      <alignment horizontal="center" readingOrder="2" vertical="center"/>
    </xf>
    <xf borderId="10" fillId="5" fontId="1" numFmtId="165" xfId="0" applyAlignment="1" applyBorder="1" applyFont="1" applyNumberFormat="1">
      <alignment horizontal="center" readingOrder="2" vertical="center"/>
    </xf>
    <xf borderId="11" fillId="5" fontId="12" numFmtId="165" xfId="0" applyAlignment="1" applyBorder="1" applyFont="1" applyNumberFormat="1">
      <alignment horizontal="right" readingOrder="2" vertical="center"/>
    </xf>
    <xf borderId="11" fillId="5" fontId="12" numFmtId="165" xfId="0" applyAlignment="1" applyBorder="1" applyFont="1" applyNumberFormat="1">
      <alignment horizontal="right" readingOrder="2" vertical="center"/>
    </xf>
    <xf borderId="2" fillId="5" fontId="12" numFmtId="165" xfId="0" applyAlignment="1" applyBorder="1" applyFont="1" applyNumberFormat="1">
      <alignment horizontal="right" readingOrder="2" vertical="center"/>
    </xf>
    <xf borderId="2" fillId="5" fontId="1" numFmtId="0" xfId="0" applyAlignment="1" applyBorder="1" applyFont="1">
      <alignment horizontal="right" readingOrder="2" vertical="center"/>
    </xf>
    <xf borderId="2" fillId="5" fontId="1" numFmtId="165" xfId="0" applyAlignment="1" applyBorder="1" applyFont="1" applyNumberFormat="1">
      <alignment horizontal="right" readingOrder="2" vertical="center"/>
    </xf>
    <xf borderId="0" fillId="5" fontId="1" numFmtId="165" xfId="0" applyAlignment="1" applyFont="1" applyNumberFormat="1">
      <alignment horizontal="right" readingOrder="2" vertical="center"/>
    </xf>
    <xf borderId="12" fillId="5" fontId="1" numFmtId="0" xfId="0" applyAlignment="1" applyBorder="1" applyFont="1">
      <alignment horizontal="right" readingOrder="2" vertical="center"/>
    </xf>
    <xf borderId="2" fillId="5" fontId="1" numFmtId="1" xfId="0" applyAlignment="1" applyBorder="1" applyFont="1" applyNumberFormat="1">
      <alignment horizontal="right" readingOrder="2" vertical="center"/>
    </xf>
    <xf borderId="2" fillId="5" fontId="1" numFmtId="1" xfId="0" applyAlignment="1" applyBorder="1" applyFont="1" applyNumberFormat="1">
      <alignment horizontal="center" readingOrder="2" vertical="center"/>
    </xf>
    <xf borderId="2" fillId="5" fontId="1" numFmtId="0" xfId="0" applyAlignment="1" applyBorder="1" applyFont="1">
      <alignment horizontal="center" readingOrder="2" vertical="center"/>
    </xf>
    <xf borderId="13" fillId="5" fontId="1" numFmtId="1" xfId="0" applyAlignment="1" applyBorder="1" applyFont="1" applyNumberFormat="1">
      <alignment horizontal="center" readingOrder="2" vertical="center"/>
    </xf>
    <xf borderId="11" fillId="5" fontId="12" numFmtId="1" xfId="0" applyAlignment="1" applyBorder="1" applyFont="1" applyNumberFormat="1">
      <alignment horizontal="right" readingOrder="2" vertical="center"/>
    </xf>
    <xf borderId="11" fillId="5" fontId="12" numFmtId="1" xfId="0" applyAlignment="1" applyBorder="1" applyFont="1" applyNumberFormat="1">
      <alignment horizontal="right" readingOrder="2" vertical="center"/>
    </xf>
    <xf borderId="2" fillId="5" fontId="12" numFmtId="1" xfId="0" applyAlignment="1" applyBorder="1" applyFont="1" applyNumberFormat="1">
      <alignment horizontal="right" readingOrder="2" vertical="center"/>
    </xf>
    <xf borderId="0" fillId="5" fontId="1" numFmtId="1" xfId="0" applyAlignment="1" applyFont="1" applyNumberFormat="1">
      <alignment horizontal="right" readingOrder="2" vertical="center"/>
    </xf>
    <xf borderId="12" fillId="5" fontId="12" numFmtId="0" xfId="0" applyAlignment="1" applyBorder="1" applyFont="1">
      <alignment horizontal="right" readingOrder="2" vertical="center"/>
    </xf>
    <xf borderId="2" fillId="5" fontId="12" numFmtId="1" xfId="0" applyAlignment="1" applyBorder="1" applyFont="1" applyNumberFormat="1">
      <alignment horizontal="center" readingOrder="2" vertical="center"/>
    </xf>
    <xf borderId="2" fillId="5" fontId="12" numFmtId="0" xfId="0" applyAlignment="1" applyBorder="1" applyFont="1">
      <alignment horizontal="center" readingOrder="2" vertical="center"/>
    </xf>
    <xf borderId="13" fillId="5" fontId="12" numFmtId="1" xfId="0" applyAlignment="1" applyBorder="1" applyFont="1" applyNumberFormat="1">
      <alignment horizontal="center" readingOrder="2" vertical="center"/>
    </xf>
    <xf borderId="11" fillId="5" fontId="2" numFmtId="0" xfId="0" applyAlignment="1" applyBorder="1" applyFont="1">
      <alignment horizontal="right" readingOrder="2" vertical="center"/>
    </xf>
    <xf borderId="11" fillId="5" fontId="2" numFmtId="0" xfId="0" applyAlignment="1" applyBorder="1" applyFont="1">
      <alignment horizontal="right" readingOrder="2" vertical="center"/>
    </xf>
    <xf borderId="2" fillId="5" fontId="12" numFmtId="0" xfId="0" applyAlignment="1" applyBorder="1" applyFont="1">
      <alignment horizontal="right" readingOrder="2" vertical="center"/>
    </xf>
    <xf borderId="0" fillId="5" fontId="12" numFmtId="1" xfId="0" applyAlignment="1" applyFont="1" applyNumberFormat="1">
      <alignment horizontal="right" readingOrder="2" vertical="center"/>
    </xf>
    <xf borderId="14" fillId="5" fontId="1" numFmtId="0" xfId="0" applyAlignment="1" applyBorder="1" applyFont="1">
      <alignment horizontal="right" readingOrder="2" vertical="center"/>
    </xf>
    <xf borderId="15" fillId="5" fontId="1" numFmtId="0" xfId="0" applyAlignment="1" applyBorder="1" applyFont="1">
      <alignment horizontal="right" readingOrder="2" vertical="center"/>
    </xf>
    <xf borderId="15" fillId="5" fontId="1" numFmtId="0" xfId="0" applyAlignment="1" applyBorder="1" applyFont="1">
      <alignment horizontal="center" readingOrder="2" vertical="center"/>
    </xf>
    <xf borderId="16" fillId="5" fontId="1" numFmtId="0" xfId="0" applyAlignment="1" applyBorder="1" applyFont="1">
      <alignment horizontal="center" readingOrder="2" vertical="center"/>
    </xf>
    <xf borderId="0" fillId="5" fontId="1" numFmtId="0" xfId="0" applyAlignment="1" applyFont="1">
      <alignment horizontal="right" readingOrder="2" vertical="center"/>
    </xf>
    <xf borderId="17" fillId="5" fontId="1" numFmtId="0" xfId="0" applyAlignment="1" applyBorder="1" applyFont="1">
      <alignment horizontal="right" readingOrder="2" vertical="center"/>
    </xf>
    <xf borderId="17" fillId="5" fontId="2" numFmtId="0" xfId="0" applyAlignment="1" applyBorder="1" applyFont="1">
      <alignment horizontal="right" readingOrder="2" vertical="center"/>
    </xf>
    <xf borderId="2" fillId="5" fontId="2" numFmtId="0" xfId="0" applyAlignment="1" applyBorder="1" applyFont="1">
      <alignment horizontal="right" readingOrder="2" vertical="center"/>
    </xf>
    <xf borderId="0" fillId="5" fontId="2" numFmtId="0" xfId="0" applyAlignment="1" applyFont="1">
      <alignment horizontal="right" readingOrder="2" vertical="center"/>
    </xf>
    <xf borderId="2" fillId="5" fontId="9" numFmtId="0" xfId="0" applyAlignment="1" applyBorder="1" applyFont="1">
      <alignment horizontal="right" readingOrder="2" vertical="center"/>
    </xf>
    <xf borderId="18" fillId="5" fontId="2" numFmtId="0" xfId="0" applyAlignment="1" applyBorder="1" applyFont="1">
      <alignment horizontal="right" readingOrder="2" vertical="center"/>
    </xf>
    <xf borderId="19" fillId="5" fontId="2" numFmtId="0" xfId="0" applyAlignment="1" applyBorder="1" applyFont="1">
      <alignment horizontal="right" readingOrder="2" vertical="center"/>
    </xf>
    <xf borderId="19" fillId="5" fontId="2" numFmtId="0" xfId="0" applyAlignment="1" applyBorder="1" applyFont="1">
      <alignment horizontal="center" readingOrder="2" vertical="center"/>
    </xf>
    <xf borderId="19" fillId="5" fontId="2" numFmtId="0" xfId="0" applyAlignment="1" applyBorder="1" applyFont="1">
      <alignment horizontal="right" readingOrder="2" vertical="center"/>
    </xf>
    <xf borderId="19" fillId="5" fontId="2" numFmtId="0" xfId="0" applyAlignment="1" applyBorder="1" applyFont="1">
      <alignment horizontal="right" readingOrder="2" vertical="center"/>
    </xf>
    <xf borderId="7" fillId="5" fontId="2" numFmtId="0" xfId="0" applyAlignment="1" applyBorder="1" applyFont="1">
      <alignment horizontal="right" readingOrder="2" vertical="center"/>
    </xf>
    <xf borderId="20" fillId="5" fontId="2" numFmtId="0" xfId="0" applyAlignment="1" applyBorder="1" applyFont="1">
      <alignment horizontal="right" readingOrder="2" vertical="center"/>
    </xf>
    <xf borderId="20" fillId="5" fontId="1" numFmtId="0" xfId="0" applyAlignment="1" applyBorder="1" applyFont="1">
      <alignment horizontal="center" readingOrder="2" vertical="center"/>
    </xf>
    <xf borderId="21" fillId="0" fontId="11" numFmtId="0" xfId="0" applyBorder="1" applyFont="1"/>
    <xf borderId="22" fillId="5" fontId="1" numFmtId="0" xfId="0" applyAlignment="1" applyBorder="1" applyFont="1">
      <alignment horizontal="center" readingOrder="2" vertical="center"/>
    </xf>
    <xf borderId="23" fillId="0" fontId="11" numFmtId="0" xfId="0" applyBorder="1" applyFont="1"/>
    <xf borderId="23" fillId="5" fontId="1" numFmtId="0" xfId="0" applyAlignment="1" applyBorder="1" applyFont="1">
      <alignment horizontal="center" readingOrder="2" vertical="center"/>
    </xf>
    <xf borderId="24" fillId="5" fontId="2" numFmtId="0" xfId="0" applyAlignment="1" applyBorder="1" applyFont="1">
      <alignment horizontal="right" readingOrder="2" vertical="center"/>
    </xf>
    <xf borderId="25" fillId="5" fontId="1" numFmtId="0" xfId="0" applyAlignment="1" applyBorder="1" applyFont="1">
      <alignment horizontal="center" readingOrder="2" vertical="center"/>
    </xf>
    <xf borderId="26" fillId="0" fontId="11" numFmtId="0" xfId="0" applyBorder="1" applyFont="1"/>
    <xf borderId="7" fillId="5" fontId="1" numFmtId="0" xfId="0" applyAlignment="1" applyBorder="1" applyFont="1">
      <alignment horizontal="center" readingOrder="2" vertical="center"/>
    </xf>
    <xf borderId="27" fillId="5" fontId="1" numFmtId="0" xfId="0" applyAlignment="1" applyBorder="1" applyFont="1">
      <alignment horizontal="center" readingOrder="2" vertical="center"/>
    </xf>
    <xf borderId="28" fillId="5" fontId="1" numFmtId="0" xfId="0" applyAlignment="1" applyBorder="1" applyFont="1">
      <alignment horizontal="center" readingOrder="2" vertical="center"/>
    </xf>
    <xf borderId="29" fillId="5" fontId="1" numFmtId="0" xfId="0" applyAlignment="1" applyBorder="1" applyFont="1">
      <alignment horizontal="center" readingOrder="2" vertical="center"/>
    </xf>
    <xf borderId="30" fillId="5" fontId="1" numFmtId="0" xfId="0" applyAlignment="1" applyBorder="1" applyFont="1">
      <alignment horizontal="center" readingOrder="2" vertical="center"/>
    </xf>
    <xf borderId="31" fillId="0" fontId="11" numFmtId="0" xfId="0" applyBorder="1" applyFont="1"/>
    <xf borderId="32" fillId="0" fontId="11" numFmtId="0" xfId="0" applyBorder="1" applyFont="1"/>
    <xf borderId="8" fillId="5" fontId="1" numFmtId="0" xfId="0" applyAlignment="1" applyBorder="1" applyFont="1">
      <alignment horizontal="center" readingOrder="2" vertical="center"/>
    </xf>
    <xf borderId="10" fillId="5" fontId="1" numFmtId="0" xfId="0" applyAlignment="1" applyBorder="1" applyFont="1">
      <alignment horizontal="center" readingOrder="2" vertical="center"/>
    </xf>
    <xf borderId="33" fillId="5" fontId="2" numFmtId="0" xfId="0" applyAlignment="1" applyBorder="1" applyFont="1">
      <alignment horizontal="right" readingOrder="2" vertical="center"/>
    </xf>
    <xf borderId="34" fillId="5" fontId="2" numFmtId="2" xfId="0" applyAlignment="1" applyBorder="1" applyFont="1" applyNumberFormat="1">
      <alignment horizontal="center" readingOrder="2" vertical="center"/>
    </xf>
    <xf borderId="35" fillId="5" fontId="2" numFmtId="0" xfId="0" applyAlignment="1" applyBorder="1" applyFont="1">
      <alignment horizontal="center" readingOrder="2" vertical="center"/>
    </xf>
    <xf borderId="3" fillId="5" fontId="1" numFmtId="0" xfId="0" applyAlignment="1" applyBorder="1" applyFont="1">
      <alignment horizontal="center" readingOrder="2" vertical="center"/>
    </xf>
    <xf borderId="36" fillId="5" fontId="2" numFmtId="0" xfId="0" applyAlignment="1" applyBorder="1" applyFont="1">
      <alignment horizontal="right" readingOrder="2" vertical="center"/>
    </xf>
    <xf borderId="37" fillId="3" fontId="2" numFmtId="0" xfId="0" applyAlignment="1" applyBorder="1" applyFont="1">
      <alignment horizontal="right" readingOrder="2" shrinkToFit="0" vertical="center" wrapText="1"/>
    </xf>
    <xf borderId="12" fillId="5" fontId="2" numFmtId="0" xfId="0" applyAlignment="1" applyBorder="1" applyFont="1">
      <alignment horizontal="right" readingOrder="2" vertical="center"/>
    </xf>
    <xf borderId="2" fillId="5" fontId="2" numFmtId="2" xfId="0" applyAlignment="1" applyBorder="1" applyFont="1" applyNumberFormat="1">
      <alignment horizontal="center" readingOrder="2" vertical="center"/>
    </xf>
    <xf borderId="13" fillId="5" fontId="2" numFmtId="0" xfId="0" applyAlignment="1" applyBorder="1" applyFont="1">
      <alignment horizontal="center" readingOrder="2" vertical="center"/>
    </xf>
    <xf borderId="7" fillId="5" fontId="2" numFmtId="0" xfId="0" applyAlignment="1" applyBorder="1" applyFont="1">
      <alignment horizontal="center" readingOrder="2" vertical="center"/>
    </xf>
    <xf borderId="38" fillId="5" fontId="2" numFmtId="0" xfId="0" applyAlignment="1" applyBorder="1" applyFont="1">
      <alignment horizontal="right" readingOrder="2" vertical="center"/>
    </xf>
    <xf borderId="39" fillId="5" fontId="2" numFmtId="2" xfId="0" applyAlignment="1" applyBorder="1" applyFont="1" applyNumberFormat="1">
      <alignment horizontal="center" readingOrder="2" vertical="center"/>
    </xf>
    <xf borderId="40" fillId="5" fontId="2" numFmtId="0" xfId="0" applyAlignment="1" applyBorder="1" applyFont="1">
      <alignment horizontal="center" readingOrder="2" vertical="center"/>
    </xf>
    <xf borderId="11" fillId="5" fontId="1" numFmtId="0" xfId="0" applyAlignment="1" applyBorder="1" applyFont="1">
      <alignment horizontal="center" readingOrder="2" vertical="center"/>
    </xf>
    <xf borderId="41" fillId="5" fontId="2" numFmtId="0" xfId="0" applyAlignment="1" applyBorder="1" applyFont="1">
      <alignment horizontal="right" readingOrder="2" vertical="center"/>
    </xf>
    <xf borderId="42" fillId="3" fontId="2" numFmtId="0" xfId="0" applyAlignment="1" applyBorder="1" applyFont="1">
      <alignment horizontal="right" readingOrder="2" shrinkToFit="0" vertical="center" wrapText="1"/>
    </xf>
    <xf borderId="7" fillId="6" fontId="2" numFmtId="2" xfId="0" applyAlignment="1" applyBorder="1" applyFill="1" applyFont="1" applyNumberFormat="1">
      <alignment horizontal="center" readingOrder="2" vertical="center"/>
    </xf>
    <xf borderId="41" fillId="6" fontId="2" numFmtId="0" xfId="0" applyAlignment="1" applyBorder="1" applyFont="1">
      <alignment horizontal="center" readingOrder="2" vertical="center"/>
    </xf>
    <xf borderId="42" fillId="7" fontId="2" numFmtId="0" xfId="0" applyAlignment="1" applyBorder="1" applyFill="1" applyFont="1">
      <alignment horizontal="right" readingOrder="2" shrinkToFit="0" vertical="center" wrapText="1"/>
    </xf>
    <xf borderId="43" fillId="5" fontId="2" numFmtId="2" xfId="0" applyAlignment="1" applyBorder="1" applyFont="1" applyNumberFormat="1">
      <alignment horizontal="center" readingOrder="2" vertical="center"/>
    </xf>
    <xf borderId="7" fillId="8" fontId="2" numFmtId="2" xfId="0" applyAlignment="1" applyBorder="1" applyFill="1" applyFont="1" applyNumberFormat="1">
      <alignment horizontal="center" readingOrder="2" vertical="center"/>
    </xf>
    <xf borderId="42" fillId="3" fontId="2" numFmtId="0" xfId="0" applyAlignment="1" applyBorder="1" applyFont="1">
      <alignment horizontal="right" readingOrder="2" shrinkToFit="0" vertical="center" wrapText="1"/>
    </xf>
    <xf borderId="7" fillId="5" fontId="2" numFmtId="2" xfId="0" applyAlignment="1" applyBorder="1" applyFont="1" applyNumberFormat="1">
      <alignment horizontal="center" readingOrder="2" vertical="center"/>
    </xf>
    <xf borderId="11" fillId="5" fontId="2" numFmtId="2" xfId="0" applyAlignment="1" applyBorder="1" applyFont="1" applyNumberFormat="1">
      <alignment horizontal="center" readingOrder="2" vertical="center"/>
    </xf>
    <xf borderId="41" fillId="7" fontId="2" numFmtId="0" xfId="0" applyAlignment="1" applyBorder="1" applyFont="1">
      <alignment horizontal="center" readingOrder="2" vertical="center"/>
    </xf>
    <xf borderId="41" fillId="2" fontId="2" numFmtId="0" xfId="0" applyAlignment="1" applyBorder="1" applyFont="1">
      <alignment horizontal="center" readingOrder="2" vertical="center"/>
    </xf>
    <xf borderId="38" fillId="5" fontId="13" numFmtId="0" xfId="0" applyAlignment="1" applyBorder="1" applyFont="1">
      <alignment horizontal="right" readingOrder="2" vertical="center"/>
    </xf>
    <xf borderId="42" fillId="5" fontId="1" numFmtId="0" xfId="0" applyAlignment="1" applyBorder="1" applyFont="1">
      <alignment horizontal="right" readingOrder="2" shrinkToFit="0" vertical="center" wrapText="1"/>
    </xf>
    <xf borderId="12" fillId="5" fontId="13" numFmtId="0" xfId="0" applyAlignment="1" applyBorder="1" applyFont="1">
      <alignment horizontal="right" readingOrder="2" vertical="center"/>
    </xf>
    <xf borderId="42" fillId="2" fontId="2" numFmtId="0" xfId="0" applyAlignment="1" applyBorder="1" applyFont="1">
      <alignment horizontal="right" readingOrder="2" shrinkToFit="0" vertical="center" wrapText="1"/>
    </xf>
    <xf borderId="11" fillId="2" fontId="2" numFmtId="2" xfId="0" applyAlignment="1" applyBorder="1" applyFont="1" applyNumberFormat="1">
      <alignment horizontal="center" readingOrder="2" vertical="center"/>
    </xf>
    <xf borderId="38" fillId="5" fontId="14" numFmtId="0" xfId="0" applyAlignment="1" applyBorder="1" applyFont="1">
      <alignment horizontal="right" readingOrder="2" vertical="center"/>
    </xf>
    <xf borderId="41" fillId="3" fontId="2" numFmtId="0" xfId="0" applyAlignment="1" applyBorder="1" applyFont="1">
      <alignment horizontal="center" readingOrder="2" vertical="center"/>
    </xf>
    <xf borderId="12" fillId="5" fontId="14" numFmtId="0" xfId="0" applyAlignment="1" applyBorder="1" applyFont="1">
      <alignment horizontal="right" readingOrder="2" vertical="center"/>
    </xf>
    <xf borderId="41" fillId="5" fontId="2" numFmtId="0" xfId="0" applyAlignment="1" applyBorder="1" applyFont="1">
      <alignment horizontal="right" readingOrder="2" vertical="center"/>
    </xf>
    <xf borderId="42" fillId="5" fontId="2" numFmtId="0" xfId="0" applyAlignment="1" applyBorder="1" applyFont="1">
      <alignment horizontal="right" readingOrder="2" shrinkToFit="0" vertical="center" wrapText="1"/>
    </xf>
    <xf borderId="7" fillId="5" fontId="2" numFmtId="0" xfId="0" applyAlignment="1" applyBorder="1" applyFont="1">
      <alignment horizontal="right" readingOrder="2" vertical="center"/>
    </xf>
    <xf borderId="44" fillId="5" fontId="2" numFmtId="0" xfId="0" applyAlignment="1" applyBorder="1" applyFont="1">
      <alignment horizontal="right" readingOrder="2" vertical="center"/>
    </xf>
    <xf borderId="45" fillId="5" fontId="2" numFmtId="2" xfId="0" applyAlignment="1" applyBorder="1" applyFont="1" applyNumberFormat="1">
      <alignment horizontal="center" readingOrder="2" vertical="center"/>
    </xf>
    <xf borderId="46" fillId="5" fontId="2" numFmtId="0" xfId="0" applyAlignment="1" applyBorder="1" applyFont="1">
      <alignment horizontal="center" readingOrder="2" vertical="center"/>
    </xf>
    <xf borderId="47" fillId="5" fontId="2" numFmtId="2" xfId="0" applyAlignment="1" applyBorder="1" applyFont="1" applyNumberFormat="1">
      <alignment horizontal="center" readingOrder="2" vertical="center"/>
    </xf>
    <xf borderId="48" fillId="9" fontId="2" numFmtId="0" xfId="0" applyAlignment="1" applyBorder="1" applyFill="1" applyFont="1">
      <alignment horizontal="center" readingOrder="2" vertical="center"/>
    </xf>
    <xf borderId="49" fillId="2" fontId="2" numFmtId="0" xfId="0" applyAlignment="1" applyBorder="1" applyFont="1">
      <alignment horizontal="right" readingOrder="2" shrinkToFit="0" vertical="center" wrapText="1"/>
    </xf>
    <xf borderId="50" fillId="5" fontId="2" numFmtId="0" xfId="0" applyAlignment="1" applyBorder="1" applyFont="1">
      <alignment horizontal="right" readingOrder="2" vertical="center"/>
    </xf>
    <xf borderId="14" fillId="5" fontId="2" numFmtId="0" xfId="0" applyAlignment="1" applyBorder="1" applyFont="1">
      <alignment horizontal="right" readingOrder="2" vertical="center"/>
    </xf>
    <xf borderId="15" fillId="5" fontId="2" numFmtId="2" xfId="0" applyAlignment="1" applyBorder="1" applyFont="1" applyNumberFormat="1">
      <alignment horizontal="center" readingOrder="2" vertical="center"/>
    </xf>
    <xf borderId="16" fillId="5" fontId="2" numFmtId="0" xfId="0" applyAlignment="1" applyBorder="1" applyFont="1">
      <alignment horizontal="center" readingOrder="2" vertical="center"/>
    </xf>
    <xf borderId="51" fillId="5" fontId="2" numFmtId="0" xfId="0" applyAlignment="1" applyBorder="1" applyFont="1">
      <alignment horizontal="right" readingOrder="2" vertical="center"/>
    </xf>
    <xf borderId="52" fillId="5" fontId="2" numFmtId="0" xfId="0" applyAlignment="1" applyBorder="1" applyFont="1">
      <alignment horizontal="right" readingOrder="2" vertical="center"/>
    </xf>
    <xf borderId="5" fillId="5" fontId="2" numFmtId="0" xfId="0" applyAlignment="1" applyBorder="1" applyFont="1">
      <alignment horizontal="right" readingOrder="2" vertical="center"/>
    </xf>
    <xf borderId="6" fillId="5" fontId="2" numFmtId="0" xfId="0" applyAlignment="1" applyBorder="1" applyFont="1">
      <alignment horizontal="right" readingOrder="2" vertical="center"/>
    </xf>
    <xf borderId="4" fillId="5" fontId="2" numFmtId="0" xfId="0" applyAlignment="1" applyBorder="1" applyFont="1">
      <alignment horizontal="right" readingOrder="2" vertical="center"/>
    </xf>
    <xf borderId="11" fillId="5" fontId="9" numFmtId="0" xfId="0" applyBorder="1" applyFont="1"/>
    <xf borderId="53" fillId="5" fontId="2" numFmtId="0" xfId="0" applyAlignment="1" applyBorder="1" applyFont="1">
      <alignment horizontal="right" readingOrder="2" vertical="center"/>
    </xf>
    <xf borderId="54" fillId="5" fontId="2" numFmtId="0" xfId="0" applyAlignment="1" applyBorder="1" applyFont="1">
      <alignment horizontal="right" readingOrder="2" vertical="center"/>
    </xf>
    <xf borderId="19" fillId="5" fontId="2" numFmtId="0" xfId="0" applyAlignment="1" applyBorder="1" applyFont="1">
      <alignment horizontal="center" vertical="center"/>
    </xf>
    <xf borderId="19" fillId="5" fontId="1" numFmtId="0" xfId="0" applyAlignment="1" applyBorder="1" applyFont="1">
      <alignment horizontal="center" vertical="center"/>
    </xf>
    <xf borderId="55" fillId="5" fontId="2" numFmtId="0" xfId="0" applyAlignment="1" applyBorder="1" applyFont="1">
      <alignment horizontal="right" readingOrder="2" vertical="center"/>
    </xf>
    <xf borderId="6" fillId="5" fontId="1" numFmtId="0" xfId="0" applyAlignment="1" applyBorder="1" applyFont="1">
      <alignment horizontal="right" readingOrder="2" vertical="center"/>
    </xf>
    <xf borderId="19" fillId="5" fontId="1" numFmtId="0" xfId="0" applyAlignment="1" applyBorder="1" applyFont="1">
      <alignment horizontal="right" readingOrder="2" vertical="center"/>
    </xf>
    <xf borderId="56" fillId="5" fontId="2" numFmtId="0" xfId="0" applyAlignment="1" applyBorder="1" applyFont="1">
      <alignment horizontal="right" readingOrder="2" vertical="center"/>
    </xf>
    <xf borderId="57" fillId="5" fontId="2" numFmtId="0" xfId="0" applyAlignment="1" applyBorder="1" applyFont="1">
      <alignment horizontal="right" readingOrder="2" vertical="center"/>
    </xf>
    <xf borderId="58" fillId="0" fontId="11" numFmtId="0" xfId="0" applyBorder="1" applyFont="1"/>
    <xf borderId="30" fillId="0" fontId="11" numFmtId="0" xfId="0" applyBorder="1" applyFont="1"/>
    <xf borderId="59" fillId="5" fontId="1" numFmtId="0" xfId="0" applyAlignment="1" applyBorder="1" applyFont="1">
      <alignment horizontal="center" readingOrder="2" vertical="center"/>
    </xf>
    <xf borderId="60" fillId="5" fontId="2" numFmtId="0" xfId="0" applyAlignment="1" applyBorder="1" applyFont="1">
      <alignment horizontal="center" readingOrder="2" vertical="center"/>
    </xf>
    <xf borderId="61" fillId="5" fontId="2" numFmtId="0" xfId="0" applyAlignment="1" applyBorder="1" applyFont="1">
      <alignment horizontal="right" readingOrder="2" vertical="center"/>
    </xf>
    <xf borderId="62" fillId="5" fontId="1" numFmtId="0" xfId="0" applyAlignment="1" applyBorder="1" applyFont="1">
      <alignment horizontal="center" readingOrder="2" vertical="center"/>
    </xf>
    <xf borderId="63" fillId="0" fontId="11" numFmtId="0" xfId="0" applyBorder="1" applyFont="1"/>
    <xf borderId="64" fillId="0" fontId="11" numFmtId="0" xfId="0" applyBorder="1" applyFont="1"/>
    <xf borderId="50" fillId="5" fontId="1" numFmtId="0" xfId="0" applyAlignment="1" applyBorder="1" applyFont="1">
      <alignment horizontal="center" readingOrder="2" vertical="center"/>
    </xf>
    <xf borderId="33" fillId="5" fontId="2" numFmtId="0" xfId="0" applyAlignment="1" applyBorder="1" applyFont="1">
      <alignment horizontal="right" readingOrder="2" shrinkToFit="0" vertical="center" wrapText="0"/>
    </xf>
    <xf borderId="18" fillId="0" fontId="11" numFmtId="0" xfId="0" applyBorder="1" applyFont="1"/>
    <xf borderId="3" fillId="0" fontId="11" numFmtId="0" xfId="0" applyBorder="1" applyFont="1"/>
    <xf borderId="17" fillId="6" fontId="2" numFmtId="2" xfId="0" applyAlignment="1" applyBorder="1" applyFont="1" applyNumberFormat="1">
      <alignment horizontal="center" readingOrder="2" vertical="center"/>
    </xf>
    <xf borderId="35" fillId="8" fontId="2" numFmtId="2" xfId="0" applyAlignment="1" applyBorder="1" applyFont="1" applyNumberFormat="1">
      <alignment horizontal="center" readingOrder="0" vertical="center"/>
    </xf>
    <xf borderId="36" fillId="5" fontId="2" numFmtId="0" xfId="0" applyAlignment="1" applyBorder="1" applyFont="1">
      <alignment horizontal="center" readingOrder="2" vertical="center"/>
    </xf>
    <xf borderId="18" fillId="5" fontId="2" numFmtId="0" xfId="0" applyAlignment="1" applyBorder="1" applyFont="1">
      <alignment horizontal="right" readingOrder="2" vertical="center"/>
    </xf>
    <xf borderId="38" fillId="5" fontId="2" numFmtId="0" xfId="0" applyAlignment="1" applyBorder="1" applyFont="1">
      <alignment horizontal="right" readingOrder="2" shrinkToFit="0" vertical="center" wrapText="0"/>
    </xf>
    <xf borderId="7" fillId="0" fontId="11" numFmtId="0" xfId="0" applyBorder="1" applyFont="1"/>
    <xf borderId="11" fillId="0" fontId="11" numFmtId="0" xfId="0" applyBorder="1" applyFont="1"/>
    <xf borderId="13" fillId="5" fontId="2" numFmtId="2" xfId="0" applyAlignment="1" applyBorder="1" applyFont="1" applyNumberFormat="1">
      <alignment horizontal="center" readingOrder="0" vertical="center"/>
    </xf>
    <xf borderId="0" fillId="5" fontId="2" numFmtId="2" xfId="0" applyAlignment="1" applyFont="1" applyNumberFormat="1">
      <alignment horizontal="center" readingOrder="0" vertical="center"/>
    </xf>
    <xf borderId="40" fillId="5" fontId="2" numFmtId="2" xfId="0" applyAlignment="1" applyBorder="1" applyFont="1" applyNumberFormat="1">
      <alignment horizontal="center" readingOrder="0" vertical="center"/>
    </xf>
    <xf borderId="7" fillId="5" fontId="2" numFmtId="0" xfId="0" applyAlignment="1" applyBorder="1" applyFont="1">
      <alignment horizontal="right" readingOrder="2" vertical="center"/>
    </xf>
    <xf borderId="41" fillId="5" fontId="2" numFmtId="0" xfId="0" applyAlignment="1" applyBorder="1" applyFont="1">
      <alignment horizontal="center" readingOrder="2" vertical="center"/>
    </xf>
    <xf borderId="40" fillId="3" fontId="2" numFmtId="2" xfId="0" applyAlignment="1" applyBorder="1" applyFont="1" applyNumberFormat="1">
      <alignment horizontal="center" readingOrder="0" vertical="center"/>
    </xf>
    <xf borderId="2" fillId="3" fontId="2" numFmtId="2" xfId="0" applyAlignment="1" applyBorder="1" applyFont="1" applyNumberFormat="1">
      <alignment horizontal="center" readingOrder="2" vertical="center"/>
    </xf>
    <xf borderId="40" fillId="2" fontId="2" numFmtId="2" xfId="0" applyAlignment="1" applyBorder="1" applyFont="1" applyNumberFormat="1">
      <alignment horizontal="center" readingOrder="0" vertical="center"/>
    </xf>
    <xf borderId="2" fillId="10" fontId="2" numFmtId="2" xfId="0" applyAlignment="1" applyBorder="1" applyFill="1" applyFont="1" applyNumberFormat="1">
      <alignment horizontal="center" readingOrder="2" vertical="center"/>
    </xf>
    <xf borderId="7" fillId="5" fontId="2" numFmtId="0" xfId="0" applyAlignment="1" applyBorder="1" applyFont="1">
      <alignment horizontal="right" readingOrder="2" vertical="center"/>
    </xf>
    <xf borderId="44" fillId="5" fontId="2" numFmtId="0" xfId="0" applyAlignment="1" applyBorder="1" applyFont="1">
      <alignment horizontal="right" readingOrder="2" shrinkToFit="0" vertical="center" wrapText="0"/>
    </xf>
    <xf borderId="65" fillId="0" fontId="11" numFmtId="0" xfId="0" applyBorder="1" applyFont="1"/>
    <xf borderId="47" fillId="0" fontId="11" numFmtId="0" xfId="0" applyBorder="1" applyFont="1"/>
    <xf borderId="15" fillId="10" fontId="2" numFmtId="2" xfId="0" applyAlignment="1" applyBorder="1" applyFont="1" applyNumberFormat="1">
      <alignment horizontal="center" readingOrder="2" vertical="center"/>
    </xf>
    <xf borderId="46" fillId="10" fontId="2" numFmtId="2" xfId="0" applyAlignment="1" applyBorder="1" applyFont="1" applyNumberFormat="1">
      <alignment horizontal="center" readingOrder="0" vertical="center"/>
    </xf>
    <xf borderId="48" fillId="5" fontId="2" numFmtId="0" xfId="0" applyAlignment="1" applyBorder="1" applyFont="1">
      <alignment horizontal="center" readingOrder="2" vertical="center"/>
    </xf>
    <xf borderId="66" fillId="5" fontId="2" numFmtId="0" xfId="0" applyAlignment="1" applyBorder="1" applyFont="1">
      <alignment horizontal="right" readingOrder="2" vertical="center"/>
    </xf>
    <xf borderId="16" fillId="5" fontId="2" numFmtId="2" xfId="0" applyAlignment="1" applyBorder="1" applyFont="1" applyNumberFormat="1">
      <alignment horizontal="center" readingOrder="0" vertical="center"/>
    </xf>
    <xf borderId="0" fillId="5" fontId="2" numFmtId="165" xfId="0" applyAlignment="1" applyFont="1" applyNumberFormat="1">
      <alignment horizontal="right" readingOrder="2" vertical="center"/>
    </xf>
    <xf borderId="67" fillId="5" fontId="2" numFmtId="0" xfId="0" applyAlignment="1" applyBorder="1" applyFont="1">
      <alignment horizontal="right" readingOrder="2" vertical="center"/>
    </xf>
    <xf borderId="61" fillId="5" fontId="2" numFmtId="0" xfId="0" applyAlignment="1" applyBorder="1" applyFont="1">
      <alignment horizontal="right" readingOrder="2" vertical="center"/>
    </xf>
    <xf borderId="62" fillId="5" fontId="1" numFmtId="0" xfId="0" applyAlignment="1" applyBorder="1" applyFont="1">
      <alignment horizontal="right" readingOrder="2" vertical="center"/>
    </xf>
    <xf borderId="9" fillId="7" fontId="1" numFmtId="2" xfId="0" applyAlignment="1" applyBorder="1" applyFont="1" applyNumberFormat="1">
      <alignment horizontal="center" readingOrder="2" vertical="center"/>
    </xf>
    <xf borderId="68" fillId="3" fontId="1" numFmtId="2" xfId="0" applyAlignment="1" applyBorder="1" applyFont="1" applyNumberFormat="1">
      <alignment horizontal="center" readingOrder="2" vertical="center"/>
    </xf>
    <xf borderId="69" fillId="5" fontId="2" numFmtId="0" xfId="0" applyAlignment="1" applyBorder="1" applyFont="1">
      <alignment horizontal="center" readingOrder="2" vertical="center"/>
    </xf>
    <xf borderId="70" fillId="5" fontId="2" numFmtId="0" xfId="0" applyAlignment="1" applyBorder="1" applyFont="1">
      <alignment horizontal="right" readingOrder="2" vertical="center"/>
    </xf>
    <xf borderId="9" fillId="5" fontId="1" numFmtId="2" xfId="0" applyAlignment="1" applyBorder="1" applyFont="1" applyNumberFormat="1">
      <alignment horizontal="center" readingOrder="2" vertical="center"/>
    </xf>
    <xf borderId="10" fillId="5" fontId="1" numFmtId="2" xfId="0" applyAlignment="1" applyBorder="1" applyFont="1" applyNumberFormat="1">
      <alignment horizontal="center" readingOrder="2" vertical="center"/>
    </xf>
    <xf borderId="0" fillId="5" fontId="1" numFmtId="2" xfId="0" applyAlignment="1" applyFont="1" applyNumberFormat="1">
      <alignment horizontal="center" readingOrder="2" vertical="center"/>
    </xf>
    <xf borderId="38" fillId="5" fontId="1" numFmtId="0" xfId="0" applyAlignment="1" applyBorder="1" applyFont="1">
      <alignment horizontal="right" readingOrder="2" vertical="center"/>
    </xf>
    <xf borderId="2" fillId="5" fontId="1" numFmtId="2" xfId="0" applyAlignment="1" applyBorder="1" applyFont="1" applyNumberFormat="1">
      <alignment horizontal="center" readingOrder="2" vertical="center"/>
    </xf>
    <xf borderId="40" fillId="5" fontId="1" numFmtId="2" xfId="0" applyAlignment="1" applyBorder="1" applyFont="1" applyNumberFormat="1">
      <alignment horizontal="center" readingOrder="2" vertical="center"/>
    </xf>
    <xf borderId="13" fillId="5" fontId="1" numFmtId="2" xfId="0" applyAlignment="1" applyBorder="1" applyFont="1" applyNumberFormat="1">
      <alignment horizontal="center" readingOrder="2" vertical="center"/>
    </xf>
    <xf borderId="40" fillId="2" fontId="1" numFmtId="2" xfId="0" applyAlignment="1" applyBorder="1" applyFont="1" applyNumberFormat="1">
      <alignment horizontal="center" readingOrder="2" vertical="center"/>
    </xf>
    <xf borderId="50" fillId="5" fontId="9" numFmtId="0" xfId="0" applyBorder="1" applyFont="1"/>
    <xf borderId="44" fillId="5" fontId="1" numFmtId="0" xfId="0" applyAlignment="1" applyBorder="1" applyFont="1">
      <alignment horizontal="right" readingOrder="2" vertical="center"/>
    </xf>
    <xf borderId="15" fillId="3" fontId="1" numFmtId="2" xfId="0" applyAlignment="1" applyBorder="1" applyFont="1" applyNumberFormat="1">
      <alignment horizontal="center" readingOrder="2" vertical="center"/>
    </xf>
    <xf borderId="46" fillId="5" fontId="1" numFmtId="2" xfId="0" applyAlignment="1" applyBorder="1" applyFont="1" applyNumberFormat="1">
      <alignment horizontal="center" readingOrder="2" vertical="center"/>
    </xf>
    <xf borderId="48" fillId="7" fontId="2" numFmtId="0" xfId="0" applyAlignment="1" applyBorder="1" applyFont="1">
      <alignment horizontal="center" readingOrder="2" vertical="center"/>
    </xf>
    <xf borderId="50" fillId="5" fontId="2" numFmtId="0" xfId="0" applyAlignment="1" applyBorder="1" applyFont="1">
      <alignment horizontal="right" readingOrder="2" vertical="center"/>
    </xf>
    <xf borderId="15" fillId="5" fontId="1" numFmtId="2" xfId="0" applyAlignment="1" applyBorder="1" applyFont="1" applyNumberFormat="1">
      <alignment horizontal="center" readingOrder="2" vertical="center"/>
    </xf>
    <xf borderId="16" fillId="5" fontId="1" numFmtId="2" xfId="0" applyAlignment="1" applyBorder="1" applyFont="1" applyNumberFormat="1">
      <alignment horizontal="center" readingOrder="2" vertical="center"/>
    </xf>
    <xf borderId="0" fillId="0" fontId="1" numFmtId="0" xfId="0" applyAlignment="1" applyFont="1">
      <alignment horizontal="right" readingOrder="2" vertical="center"/>
    </xf>
    <xf borderId="0" fillId="0" fontId="2" numFmtId="0" xfId="0" applyAlignment="1" applyFont="1">
      <alignment horizontal="right" readingOrder="2" vertical="center"/>
    </xf>
    <xf borderId="2" fillId="5" fontId="1" numFmtId="2" xfId="0" applyAlignment="1" applyBorder="1" applyFont="1" applyNumberFormat="1">
      <alignment horizontal="right" readingOrder="2" vertical="center"/>
    </xf>
    <xf borderId="71" fillId="0" fontId="2" numFmtId="0" xfId="0" applyAlignment="1" applyBorder="1" applyFont="1">
      <alignment horizontal="right" readingOrder="2" vertical="center"/>
    </xf>
    <xf borderId="72" fillId="0" fontId="2" numFmtId="0" xfId="0" applyAlignment="1" applyBorder="1" applyFont="1">
      <alignment horizontal="right" readingOrder="2" vertical="center"/>
    </xf>
    <xf borderId="73" fillId="0" fontId="2" numFmtId="165" xfId="0" applyAlignment="1" applyBorder="1" applyFont="1" applyNumberFormat="1">
      <alignment horizontal="right" readingOrder="2" vertical="center"/>
    </xf>
    <xf borderId="74" fillId="5" fontId="2" numFmtId="0" xfId="0" applyAlignment="1" applyBorder="1" applyFont="1">
      <alignment horizontal="right" readingOrder="2" vertical="center"/>
    </xf>
    <xf borderId="75" fillId="5" fontId="2" numFmtId="0" xfId="0" applyAlignment="1" applyBorder="1" applyFont="1">
      <alignment horizontal="right" readingOrder="2" vertical="center"/>
    </xf>
    <xf borderId="76" fillId="5" fontId="2" numFmtId="165" xfId="0" applyAlignment="1" applyBorder="1" applyFont="1" applyNumberFormat="1">
      <alignment horizontal="right" readingOrder="2" vertical="center"/>
    </xf>
    <xf borderId="43" fillId="5" fontId="2" numFmtId="165" xfId="0" applyAlignment="1" applyBorder="1" applyFont="1" applyNumberFormat="1">
      <alignment horizontal="right" readingOrder="2" vertical="center"/>
    </xf>
    <xf borderId="0" fillId="0" fontId="1" numFmtId="0" xfId="0" applyAlignment="1" applyFont="1">
      <alignment horizontal="right" readingOrder="2" vertical="center"/>
    </xf>
    <xf borderId="2" fillId="5" fontId="1" numFmtId="0" xfId="0" applyAlignment="1" applyBorder="1" applyFont="1">
      <alignment horizontal="right" readingOrder="2" vertical="center"/>
    </xf>
    <xf borderId="0" fillId="0" fontId="1" numFmtId="2" xfId="0" applyAlignment="1" applyFont="1" applyNumberFormat="1">
      <alignment horizontal="right" readingOrder="2" vertical="center"/>
    </xf>
    <xf borderId="2" fillId="5" fontId="8" numFmtId="0" xfId="0" applyAlignment="1" applyBorder="1" applyFont="1">
      <alignment horizontal="right" readingOrder="2" vertical="center"/>
    </xf>
    <xf borderId="0" fillId="0" fontId="2" numFmtId="0" xfId="0" applyAlignment="1" applyFont="1">
      <alignment horizontal="right" readingOrder="2" vertical="center"/>
    </xf>
    <xf borderId="77" fillId="5" fontId="2" numFmtId="0" xfId="0" applyAlignment="1" applyBorder="1" applyFont="1">
      <alignment horizontal="right" readingOrder="2" vertical="center"/>
    </xf>
    <xf borderId="43" fillId="5" fontId="9" numFmtId="0" xfId="0" applyAlignment="1" applyBorder="1" applyFont="1">
      <alignment horizontal="right" readingOrder="2" vertical="center"/>
    </xf>
    <xf borderId="0" fillId="0" fontId="1" numFmtId="0" xfId="0" applyAlignment="1" applyFont="1">
      <alignment horizontal="center" readingOrder="2" vertical="center"/>
    </xf>
    <xf borderId="9" fillId="5" fontId="12" numFmtId="0" xfId="0" applyAlignment="1" applyBorder="1" applyFont="1">
      <alignment horizontal="center" readingOrder="2" vertical="center"/>
    </xf>
    <xf borderId="20" fillId="2" fontId="1" numFmtId="0" xfId="0" applyAlignment="1" applyBorder="1" applyFont="1">
      <alignment horizontal="center" readingOrder="2" vertical="center"/>
    </xf>
    <xf borderId="22" fillId="0" fontId="11" numFmtId="0" xfId="0" applyBorder="1" applyFont="1"/>
    <xf borderId="7" fillId="5" fontId="9" numFmtId="0" xfId="0" applyAlignment="1" applyBorder="1" applyFont="1">
      <alignment horizontal="right" readingOrder="2" vertical="center"/>
    </xf>
    <xf borderId="0" fillId="0" fontId="2" numFmtId="0" xfId="0" applyAlignment="1" applyFont="1">
      <alignment horizontal="center" readingOrder="2" vertical="center"/>
    </xf>
    <xf borderId="0" fillId="0" fontId="2" numFmtId="2" xfId="0" applyAlignment="1" applyFont="1" applyNumberFormat="1">
      <alignment horizontal="center" readingOrder="2" vertical="center"/>
    </xf>
    <xf borderId="2" fillId="5" fontId="15" numFmtId="0" xfId="0" applyAlignment="1" applyBorder="1" applyFont="1">
      <alignment horizontal="center" readingOrder="2" vertical="center"/>
    </xf>
    <xf borderId="12" fillId="5" fontId="2" numFmtId="0" xfId="0" applyAlignment="1" applyBorder="1" applyFont="1">
      <alignment horizontal="right" readingOrder="0" shrinkToFit="0" vertical="center" wrapText="0"/>
    </xf>
    <xf borderId="13" fillId="6" fontId="2" numFmtId="2" xfId="0" applyAlignment="1" applyBorder="1" applyFont="1" applyNumberFormat="1">
      <alignment horizontal="center" readingOrder="0" vertical="center"/>
    </xf>
    <xf borderId="78" fillId="5" fontId="1" numFmtId="0" xfId="0" applyAlignment="1" applyBorder="1" applyFont="1">
      <alignment horizontal="center" readingOrder="2" vertical="center"/>
    </xf>
    <xf borderId="79" fillId="5" fontId="1" numFmtId="0" xfId="0" applyAlignment="1" applyBorder="1" applyFont="1">
      <alignment horizontal="center" readingOrder="2" vertical="center"/>
    </xf>
    <xf borderId="80" fillId="5" fontId="1" numFmtId="165" xfId="0" applyAlignment="1" applyBorder="1" applyFont="1" applyNumberFormat="1">
      <alignment horizontal="center" readingOrder="2" vertical="center"/>
    </xf>
    <xf borderId="0" fillId="0" fontId="2" numFmtId="0" xfId="0" applyAlignment="1" applyFont="1">
      <alignment horizontal="center" readingOrder="2" vertical="center"/>
    </xf>
    <xf borderId="12" fillId="5" fontId="2" numFmtId="0" xfId="0" applyAlignment="1" applyBorder="1" applyFont="1">
      <alignment horizontal="right" readingOrder="0" vertical="center"/>
    </xf>
    <xf borderId="2" fillId="10" fontId="2" numFmtId="0" xfId="0" applyAlignment="1" applyBorder="1" applyFont="1">
      <alignment horizontal="right" readingOrder="0" vertical="center"/>
    </xf>
    <xf borderId="13" fillId="5" fontId="2" numFmtId="2" xfId="0" applyAlignment="1" applyBorder="1" applyFont="1" applyNumberFormat="1">
      <alignment horizontal="center" vertical="center"/>
    </xf>
    <xf borderId="13" fillId="8" fontId="2" numFmtId="2" xfId="0" applyAlignment="1" applyBorder="1" applyFont="1" applyNumberFormat="1">
      <alignment horizontal="center" readingOrder="0" vertical="center"/>
    </xf>
    <xf borderId="2" fillId="11" fontId="2" numFmtId="0" xfId="0" applyAlignment="1" applyBorder="1" applyFill="1" applyFont="1">
      <alignment horizontal="right" readingOrder="0" vertical="center"/>
    </xf>
    <xf borderId="13" fillId="3" fontId="2" numFmtId="2" xfId="0" applyAlignment="1" applyBorder="1" applyFont="1" applyNumberFormat="1">
      <alignment horizontal="center" readingOrder="0" vertical="center"/>
    </xf>
    <xf borderId="2" fillId="12" fontId="2" numFmtId="0" xfId="0" applyAlignment="1" applyBorder="1" applyFill="1" applyFont="1">
      <alignment horizontal="right" readingOrder="0" vertical="center"/>
    </xf>
    <xf borderId="13" fillId="5" fontId="2" numFmtId="165" xfId="0" applyAlignment="1" applyBorder="1" applyFont="1" applyNumberFormat="1">
      <alignment horizontal="center" vertical="center"/>
    </xf>
    <xf borderId="2" fillId="2" fontId="2" numFmtId="0" xfId="0" applyAlignment="1" applyBorder="1" applyFont="1">
      <alignment horizontal="right" readingOrder="0" vertical="center"/>
    </xf>
    <xf borderId="2" fillId="3" fontId="2" numFmtId="0" xfId="0" applyAlignment="1" applyBorder="1" applyFont="1">
      <alignment horizontal="right" readingOrder="0" vertical="center"/>
    </xf>
    <xf borderId="12" fillId="5" fontId="16" numFmtId="0" xfId="0" applyAlignment="1" applyBorder="1" applyFont="1">
      <alignment horizontal="right" readingOrder="2" vertical="center"/>
    </xf>
    <xf borderId="13" fillId="2" fontId="2" numFmtId="2" xfId="0" applyAlignment="1" applyBorder="1" applyFont="1" applyNumberFormat="1">
      <alignment horizontal="center" readingOrder="0" vertical="center"/>
    </xf>
    <xf borderId="14" fillId="5" fontId="2" numFmtId="0" xfId="0" applyAlignment="1" applyBorder="1" applyFont="1">
      <alignment horizontal="right" readingOrder="0" shrinkToFit="0" vertical="center" wrapText="0"/>
    </xf>
    <xf borderId="16" fillId="10" fontId="2" numFmtId="2" xfId="0" applyAlignment="1" applyBorder="1" applyFont="1" applyNumberFormat="1">
      <alignment horizontal="center" readingOrder="0" vertical="center"/>
    </xf>
    <xf borderId="43" fillId="5" fontId="2" numFmtId="0" xfId="0" applyAlignment="1" applyBorder="1" applyFont="1">
      <alignment horizontal="right" readingOrder="2" vertical="center"/>
    </xf>
    <xf borderId="10" fillId="13" fontId="1" numFmtId="2" xfId="0" applyAlignment="1" applyBorder="1" applyFill="1" applyFont="1" applyNumberFormat="1">
      <alignment horizontal="center" readingOrder="2" vertical="center"/>
    </xf>
    <xf borderId="12" fillId="5" fontId="2" numFmtId="2" xfId="0" applyAlignment="1" applyBorder="1" applyFont="1" applyNumberFormat="1">
      <alignment horizontal="right" readingOrder="0"/>
    </xf>
    <xf borderId="2" fillId="2" fontId="2" numFmtId="2" xfId="0" applyAlignment="1" applyBorder="1" applyFont="1" applyNumberFormat="1">
      <alignment horizontal="right" readingOrder="0"/>
    </xf>
    <xf borderId="13" fillId="5" fontId="2" numFmtId="2" xfId="0" applyAlignment="1" applyBorder="1" applyFont="1" applyNumberFormat="1">
      <alignment horizontal="center" readingOrder="0"/>
    </xf>
    <xf borderId="15" fillId="5" fontId="15" numFmtId="0" xfId="0" applyAlignment="1" applyBorder="1" applyFont="1">
      <alignment horizontal="center" readingOrder="2" vertical="center"/>
    </xf>
    <xf borderId="14" fillId="5" fontId="2" numFmtId="2" xfId="0" applyAlignment="1" applyBorder="1" applyFont="1" applyNumberFormat="1">
      <alignment horizontal="right" readingOrder="0"/>
    </xf>
    <xf borderId="15" fillId="2" fontId="2" numFmtId="2" xfId="0" applyAlignment="1" applyBorder="1" applyFont="1" applyNumberFormat="1">
      <alignment horizontal="right" readingOrder="0"/>
    </xf>
    <xf borderId="16" fillId="5" fontId="2" numFmtId="2" xfId="0" applyAlignment="1" applyBorder="1" applyFont="1" applyNumberFormat="1">
      <alignment horizontal="center" readingOrder="0"/>
    </xf>
    <xf borderId="11" fillId="5" fontId="2" numFmtId="0" xfId="0" applyAlignment="1" applyBorder="1" applyFont="1">
      <alignment horizontal="right" readingOrder="2" vertical="center"/>
    </xf>
    <xf borderId="3" fillId="5" fontId="17" numFmtId="2" xfId="0" applyAlignment="1" applyBorder="1" applyFont="1" applyNumberFormat="1">
      <alignment horizontal="center" readingOrder="2" vertical="center"/>
    </xf>
    <xf borderId="17" fillId="5" fontId="18" numFmtId="2" xfId="0" applyAlignment="1" applyBorder="1" applyFont="1" applyNumberFormat="1">
      <alignment horizontal="center" readingOrder="2" vertical="center"/>
    </xf>
    <xf borderId="17" fillId="5" fontId="17" numFmtId="165" xfId="0" applyAlignment="1" applyBorder="1" applyFont="1" applyNumberFormat="1">
      <alignment horizontal="center" readingOrder="2" vertical="center"/>
    </xf>
    <xf borderId="2" fillId="5" fontId="19" numFmtId="165" xfId="0" applyAlignment="1" applyBorder="1" applyFont="1" applyNumberFormat="1">
      <alignment horizontal="center" readingOrder="1" vertical="center"/>
    </xf>
    <xf borderId="2" fillId="5" fontId="20" numFmtId="165" xfId="0" applyAlignment="1" applyBorder="1" applyFont="1" applyNumberFormat="1">
      <alignment horizontal="center" readingOrder="1" vertical="center"/>
    </xf>
    <xf borderId="2" fillId="5" fontId="21" numFmtId="165" xfId="0" applyAlignment="1" applyBorder="1" applyFont="1" applyNumberFormat="1">
      <alignment horizontal="center" readingOrder="1" vertical="center"/>
    </xf>
    <xf borderId="2" fillId="5" fontId="22" numFmtId="165" xfId="0" applyAlignment="1" applyBorder="1" applyFont="1" applyNumberFormat="1">
      <alignment horizontal="center" readingOrder="1" vertical="center"/>
    </xf>
    <xf borderId="16" fillId="2" fontId="1" numFmtId="2" xfId="0" applyAlignment="1" applyBorder="1" applyFont="1" applyNumberFormat="1">
      <alignment horizontal="center" readingOrder="2" vertical="center"/>
    </xf>
    <xf borderId="11" fillId="5" fontId="23" numFmtId="2" xfId="0" applyAlignment="1" applyBorder="1" applyFont="1" applyNumberFormat="1">
      <alignment horizontal="center" readingOrder="2" vertical="center"/>
    </xf>
    <xf borderId="2" fillId="5" fontId="23" numFmtId="2" xfId="0" applyAlignment="1" applyBorder="1" applyFont="1" applyNumberFormat="1">
      <alignment horizontal="center" readingOrder="2" vertical="center"/>
    </xf>
    <xf borderId="77" fillId="5" fontId="24" numFmtId="0" xfId="0" applyAlignment="1" applyBorder="1" applyFont="1">
      <alignment horizontal="right" readingOrder="2" shrinkToFit="0" vertical="center" wrapText="1"/>
    </xf>
    <xf borderId="0" fillId="5" fontId="2" numFmtId="0" xfId="0" applyAlignment="1" applyFont="1">
      <alignment horizontal="center" readingOrder="2" vertical="center"/>
    </xf>
    <xf borderId="2" fillId="5" fontId="9" numFmtId="0" xfId="0" applyBorder="1" applyFont="1"/>
    <xf borderId="2" fillId="0" fontId="2" numFmtId="0" xfId="0" applyAlignment="1" applyBorder="1" applyFont="1">
      <alignment horizontal="right" readingOrder="2" vertical="center"/>
    </xf>
    <xf borderId="81" fillId="0" fontId="2" numFmtId="0" xfId="0" applyAlignment="1" applyBorder="1" applyFont="1">
      <alignment horizontal="right" readingOrder="2" vertical="center"/>
    </xf>
    <xf borderId="82" fillId="0" fontId="2" numFmtId="0" xfId="0" applyAlignment="1" applyBorder="1" applyFont="1">
      <alignment horizontal="right" readingOrder="2" vertical="center"/>
    </xf>
    <xf borderId="83" fillId="0" fontId="2" numFmtId="165" xfId="0" applyAlignment="1" applyBorder="1" applyFont="1" applyNumberFormat="1">
      <alignment horizontal="right" readingOrder="2" vertical="center"/>
    </xf>
    <xf borderId="84" fillId="0" fontId="2" numFmtId="0" xfId="0" applyAlignment="1" applyBorder="1" applyFont="1">
      <alignment horizontal="right" readingOrder="2" vertical="center"/>
    </xf>
    <xf borderId="85" fillId="0" fontId="2" numFmtId="0" xfId="0" applyAlignment="1" applyBorder="1" applyFont="1">
      <alignment horizontal="right" readingOrder="2" vertical="center"/>
    </xf>
    <xf borderId="86" fillId="0" fontId="2" numFmtId="165" xfId="0" applyAlignment="1" applyBorder="1" applyFont="1" applyNumberFormat="1">
      <alignment horizontal="right" readingOrder="2" vertical="center"/>
    </xf>
    <xf borderId="87" fillId="0" fontId="2" numFmtId="0" xfId="0" applyAlignment="1" applyBorder="1" applyFont="1">
      <alignment horizontal="center" readingOrder="2" vertical="center"/>
    </xf>
    <xf borderId="88" fillId="0" fontId="9" numFmtId="0" xfId="0" applyAlignment="1" applyBorder="1" applyFont="1">
      <alignment horizontal="right" readingOrder="2" vertical="center"/>
    </xf>
    <xf borderId="43" fillId="0" fontId="2" numFmtId="0" xfId="0" applyAlignment="1" applyBorder="1" applyFont="1">
      <alignment horizontal="right" readingOrder="2" vertical="center"/>
    </xf>
    <xf borderId="89" fillId="5" fontId="1" numFmtId="0" xfId="0" applyAlignment="1" applyBorder="1" applyFont="1">
      <alignment horizontal="center" readingOrder="2" vertical="center"/>
    </xf>
    <xf borderId="75" fillId="5" fontId="1" numFmtId="0" xfId="0" applyAlignment="1" applyBorder="1" applyFont="1">
      <alignment horizontal="center" readingOrder="2" vertical="center"/>
    </xf>
    <xf borderId="75" fillId="5" fontId="12" numFmtId="0" xfId="0" applyAlignment="1" applyBorder="1" applyFont="1">
      <alignment horizontal="center" readingOrder="2" vertical="center"/>
    </xf>
    <xf borderId="90" fillId="5" fontId="1" numFmtId="0" xfId="0" applyAlignment="1" applyBorder="1" applyFont="1">
      <alignment horizontal="center" readingOrder="2" vertical="center"/>
    </xf>
    <xf borderId="91" fillId="2" fontId="1" numFmtId="0" xfId="0" applyAlignment="1" applyBorder="1" applyFont="1">
      <alignment horizontal="center" readingOrder="2" vertical="center"/>
    </xf>
    <xf borderId="91" fillId="0" fontId="11" numFmtId="0" xfId="0" applyBorder="1" applyFont="1"/>
    <xf borderId="92" fillId="0" fontId="11" numFmtId="0" xfId="0" applyBorder="1" applyFont="1"/>
    <xf borderId="93" fillId="5" fontId="2" numFmtId="0" xfId="0" applyAlignment="1" applyBorder="1" applyFont="1">
      <alignment horizontal="right" readingOrder="2" vertical="center"/>
    </xf>
    <xf borderId="94" fillId="5" fontId="2" numFmtId="0" xfId="0" applyAlignment="1" applyBorder="1" applyFont="1">
      <alignment horizontal="center" readingOrder="2" vertical="center"/>
    </xf>
    <xf borderId="93" fillId="5" fontId="2" numFmtId="0" xfId="0" applyAlignment="1" applyBorder="1" applyFont="1">
      <alignment horizontal="right" readingOrder="2" shrinkToFit="0" vertical="center" wrapText="0"/>
    </xf>
    <xf borderId="94" fillId="13" fontId="2" numFmtId="2" xfId="0" applyAlignment="1" applyBorder="1" applyFont="1" applyNumberFormat="1">
      <alignment horizontal="center" readingOrder="2" vertical="center"/>
    </xf>
    <xf borderId="95" fillId="0" fontId="1" numFmtId="0" xfId="0" applyAlignment="1" applyBorder="1" applyFont="1">
      <alignment horizontal="center" readingOrder="2" vertical="center"/>
    </xf>
    <xf borderId="96" fillId="0" fontId="1" numFmtId="0" xfId="0" applyAlignment="1" applyBorder="1" applyFont="1">
      <alignment horizontal="center" readingOrder="2" vertical="center"/>
    </xf>
    <xf borderId="97" fillId="0" fontId="1" numFmtId="165" xfId="0" applyAlignment="1" applyBorder="1" applyFont="1" applyNumberFormat="1">
      <alignment horizontal="center" readingOrder="2" vertical="center"/>
    </xf>
    <xf borderId="94" fillId="14" fontId="2" numFmtId="2" xfId="0" applyAlignment="1" applyBorder="1" applyFill="1" applyFont="1" applyNumberFormat="1">
      <alignment horizontal="center" readingOrder="2" vertical="center"/>
    </xf>
    <xf borderId="81" fillId="0" fontId="2" numFmtId="0" xfId="0" applyAlignment="1" applyBorder="1" applyFont="1">
      <alignment horizontal="right" readingOrder="2" vertical="center"/>
    </xf>
    <xf borderId="82" fillId="2" fontId="2" numFmtId="0" xfId="0" applyAlignment="1" applyBorder="1" applyFont="1">
      <alignment horizontal="right" readingOrder="2" vertical="center"/>
    </xf>
    <xf borderId="98" fillId="0" fontId="2" numFmtId="165" xfId="0" applyAlignment="1" applyBorder="1" applyFont="1" applyNumberFormat="1">
      <alignment horizontal="center" readingOrder="2" vertical="center"/>
    </xf>
    <xf borderId="82" fillId="0" fontId="2" numFmtId="0" xfId="0" applyAlignment="1" applyBorder="1" applyFont="1">
      <alignment horizontal="right" readingOrder="2" vertical="center"/>
    </xf>
    <xf borderId="94" fillId="5" fontId="2" numFmtId="2" xfId="0" applyAlignment="1" applyBorder="1" applyFont="1" applyNumberFormat="1">
      <alignment horizontal="center" readingOrder="2" vertical="center"/>
    </xf>
    <xf borderId="81" fillId="0" fontId="2" numFmtId="2" xfId="0" applyAlignment="1" applyBorder="1" applyFont="1" applyNumberFormat="1">
      <alignment horizontal="right" readingOrder="2" vertical="center"/>
    </xf>
    <xf borderId="82" fillId="0" fontId="2" numFmtId="2" xfId="0" applyAlignment="1" applyBorder="1" applyFont="1" applyNumberFormat="1">
      <alignment horizontal="right" readingOrder="2" vertical="center"/>
    </xf>
    <xf borderId="94" fillId="3" fontId="2" numFmtId="2" xfId="0" applyAlignment="1" applyBorder="1" applyFont="1" applyNumberFormat="1">
      <alignment horizontal="center" readingOrder="2" vertical="center"/>
    </xf>
    <xf borderId="94" fillId="2" fontId="2" numFmtId="2" xfId="0" applyAlignment="1" applyBorder="1" applyFont="1" applyNumberFormat="1">
      <alignment horizontal="center" readingOrder="2" vertical="center"/>
    </xf>
    <xf borderId="93" fillId="5" fontId="25" numFmtId="0" xfId="0" applyAlignment="1" applyBorder="1" applyFont="1">
      <alignment horizontal="right" readingOrder="2" vertical="center"/>
    </xf>
    <xf borderId="94" fillId="10" fontId="2" numFmtId="2" xfId="0" applyAlignment="1" applyBorder="1" applyFont="1" applyNumberFormat="1">
      <alignment horizontal="center" readingOrder="2" vertical="center"/>
    </xf>
    <xf borderId="99" fillId="5" fontId="2" numFmtId="0" xfId="0" applyAlignment="1" applyBorder="1" applyFont="1">
      <alignment horizontal="right" readingOrder="2" shrinkToFit="0" vertical="center" wrapText="0"/>
    </xf>
    <xf borderId="100" fillId="10" fontId="2" numFmtId="2" xfId="0" applyAlignment="1" applyBorder="1" applyFont="1" applyNumberFormat="1">
      <alignment horizontal="center" readingOrder="2" vertical="center"/>
    </xf>
    <xf borderId="89" fillId="5" fontId="1" numFmtId="0" xfId="0" applyAlignment="1" applyBorder="1" applyFont="1">
      <alignment horizontal="right" readingOrder="2" vertical="center"/>
    </xf>
    <xf borderId="90" fillId="13" fontId="1" numFmtId="2" xfId="0" applyAlignment="1" applyBorder="1" applyFont="1" applyNumberFormat="1">
      <alignment horizontal="center" readingOrder="2" vertical="center"/>
    </xf>
    <xf borderId="93" fillId="5" fontId="1" numFmtId="0" xfId="0" applyAlignment="1" applyBorder="1" applyFont="1">
      <alignment horizontal="right" readingOrder="2" vertical="center"/>
    </xf>
    <xf borderId="94" fillId="5" fontId="1" numFmtId="2" xfId="0" applyAlignment="1" applyBorder="1" applyFont="1" applyNumberFormat="1">
      <alignment horizontal="center" readingOrder="2" vertical="center"/>
    </xf>
    <xf borderId="99" fillId="5" fontId="1" numFmtId="0" xfId="0" applyAlignment="1" applyBorder="1" applyFont="1">
      <alignment horizontal="right" readingOrder="2" vertical="center"/>
    </xf>
    <xf borderId="100" fillId="2" fontId="1" numFmtId="2" xfId="0" applyAlignment="1" applyBorder="1" applyFont="1" applyNumberFormat="1">
      <alignment horizontal="center" readingOrder="2" vertical="center"/>
    </xf>
    <xf borderId="101" fillId="2" fontId="2" numFmtId="0" xfId="0" applyAlignment="1" applyBorder="1" applyFont="1">
      <alignment horizontal="right" readingOrder="2" vertical="center"/>
    </xf>
    <xf borderId="102" fillId="0" fontId="2" numFmtId="0" xfId="0" applyAlignment="1" applyBorder="1" applyFont="1">
      <alignment horizontal="right" readingOrder="2" vertical="center"/>
    </xf>
    <xf borderId="103" fillId="0" fontId="2" numFmtId="165" xfId="0" applyAlignment="1" applyBorder="1" applyFont="1" applyNumberFormat="1">
      <alignment horizontal="center" readingOrder="2" vertical="center"/>
    </xf>
    <xf borderId="84" fillId="0" fontId="17" numFmtId="2" xfId="0" applyAlignment="1" applyBorder="1" applyFont="1" applyNumberFormat="1">
      <alignment horizontal="center" readingOrder="2" vertical="center"/>
    </xf>
    <xf borderId="104" fillId="2" fontId="18" numFmtId="2" xfId="0" applyAlignment="1" applyBorder="1" applyFont="1" applyNumberFormat="1">
      <alignment horizontal="center" readingOrder="2" vertical="center"/>
    </xf>
    <xf borderId="105" fillId="0" fontId="17" numFmtId="165" xfId="0" applyAlignment="1" applyBorder="1" applyFont="1" applyNumberFormat="1">
      <alignment horizontal="center" readingOrder="2" vertical="center"/>
    </xf>
    <xf borderId="106" fillId="0" fontId="9" numFmtId="0" xfId="0" applyAlignment="1" applyBorder="1" applyFont="1">
      <alignment horizontal="right" readingOrder="2" vertical="center"/>
    </xf>
    <xf borderId="2" fillId="5" fontId="2" numFmtId="1" xfId="0" applyAlignment="1" applyBorder="1" applyFont="1" applyNumberFormat="1">
      <alignment horizontal="center" readingOrder="2" vertical="center"/>
    </xf>
    <xf borderId="94" fillId="5" fontId="24" numFmtId="0" xfId="0" applyAlignment="1" applyBorder="1" applyFont="1">
      <alignment horizontal="center" readingOrder="2" vertical="center"/>
    </xf>
    <xf borderId="107" fillId="0" fontId="23" numFmtId="2" xfId="0" applyAlignment="1" applyBorder="1" applyFont="1" applyNumberFormat="1">
      <alignment horizontal="center" readingOrder="2" vertical="center"/>
    </xf>
    <xf borderId="108" fillId="0" fontId="23" numFmtId="2" xfId="0" applyAlignment="1" applyBorder="1" applyFont="1" applyNumberFormat="1">
      <alignment horizontal="center" readingOrder="2" vertical="center"/>
    </xf>
    <xf borderId="109" fillId="0" fontId="23" numFmtId="2" xfId="0" applyAlignment="1" applyBorder="1" applyFont="1" applyNumberFormat="1">
      <alignment horizontal="center" readingOrder="2" vertical="center"/>
    </xf>
    <xf borderId="99" fillId="5" fontId="2" numFmtId="0" xfId="0" applyAlignment="1" applyBorder="1" applyFont="1">
      <alignment horizontal="right" readingOrder="2" vertical="center"/>
    </xf>
    <xf borderId="110" fillId="5" fontId="2" numFmtId="1" xfId="0" applyAlignment="1" applyBorder="1" applyFont="1" applyNumberFormat="1">
      <alignment horizontal="center" readingOrder="2" vertical="center"/>
    </xf>
    <xf borderId="110" fillId="5" fontId="15" numFmtId="0" xfId="0" applyAlignment="1" applyBorder="1" applyFont="1">
      <alignment horizontal="center" readingOrder="2" vertical="center"/>
    </xf>
    <xf borderId="100" fillId="5" fontId="24" numFmtId="0" xfId="0" applyAlignment="1" applyBorder="1" applyFont="1">
      <alignment horizontal="center" readingOrder="2" vertical="center"/>
    </xf>
    <xf borderId="111" fillId="0" fontId="23" numFmtId="2" xfId="0" applyAlignment="1" applyBorder="1" applyFont="1" applyNumberFormat="1">
      <alignment horizontal="center" readingOrder="2" vertical="center"/>
    </xf>
    <xf borderId="112" fillId="0" fontId="2" numFmtId="0" xfId="0" applyAlignment="1" applyBorder="1" applyFont="1">
      <alignment horizontal="right" readingOrder="2" vertical="center"/>
    </xf>
    <xf borderId="109" fillId="0" fontId="2" numFmtId="0" xfId="0" applyAlignment="1" applyBorder="1" applyFont="1">
      <alignment horizontal="right" readingOrder="2" vertical="center"/>
    </xf>
    <xf borderId="113" fillId="0" fontId="2" numFmtId="0" xfId="0" applyAlignment="1" applyBorder="1" applyFont="1">
      <alignment horizontal="right" readingOrder="2" vertical="center"/>
    </xf>
    <xf borderId="106" fillId="0" fontId="2" numFmtId="165" xfId="0" applyAlignment="1" applyBorder="1" applyFont="1" applyNumberFormat="1">
      <alignment horizontal="right" readingOrder="2" vertical="center"/>
    </xf>
    <xf borderId="73" fillId="0" fontId="2" numFmtId="0" xfId="0" applyAlignment="1" applyBorder="1" applyFont="1">
      <alignment horizontal="right" readingOrder="2" vertical="center"/>
    </xf>
    <xf borderId="114" fillId="0" fontId="2" numFmtId="0" xfId="0" applyAlignment="1" applyBorder="1" applyFont="1">
      <alignment horizontal="right" readingOrder="2" vertical="center"/>
    </xf>
    <xf borderId="115" fillId="0" fontId="2" numFmtId="165" xfId="0" applyAlignment="1" applyBorder="1" applyFont="1" applyNumberFormat="1">
      <alignment horizontal="right" readingOrder="2" vertical="center"/>
    </xf>
    <xf borderId="83" fillId="0" fontId="2" numFmtId="0" xfId="0" applyAlignment="1" applyBorder="1" applyFont="1">
      <alignment horizontal="right" readingOrder="2" vertical="center"/>
    </xf>
    <xf borderId="81" fillId="0" fontId="9" numFmtId="0" xfId="0" applyBorder="1" applyFont="1"/>
    <xf borderId="82" fillId="0" fontId="9" numFmtId="0" xfId="0" applyBorder="1" applyFont="1"/>
    <xf borderId="43" fillId="5" fontId="1" numFmtId="0" xfId="0" applyAlignment="1" applyBorder="1" applyFont="1">
      <alignment horizontal="center" readingOrder="2" vertical="center"/>
    </xf>
    <xf borderId="92" fillId="0" fontId="2" numFmtId="0" xfId="0" applyAlignment="1" applyBorder="1" applyFont="1">
      <alignment horizontal="right" readingOrder="2" vertical="center"/>
    </xf>
    <xf borderId="87" fillId="0" fontId="2" numFmtId="0" xfId="0" applyAlignment="1" applyBorder="1" applyFont="1">
      <alignment horizontal="right" readingOrder="2" vertical="center"/>
    </xf>
    <xf borderId="116" fillId="0" fontId="2" numFmtId="0" xfId="0" applyAlignment="1" applyBorder="1" applyFont="1">
      <alignment horizontal="right" readingOrder="2" vertical="center"/>
    </xf>
    <xf borderId="2" fillId="5" fontId="2" numFmtId="0" xfId="0" applyAlignment="1" applyBorder="1" applyFont="1">
      <alignment horizontal="center" readingOrder="2" vertical="center"/>
    </xf>
    <xf borderId="92" fillId="0" fontId="9" numFmtId="0" xfId="0" applyBorder="1" applyFont="1"/>
    <xf borderId="87" fillId="0" fontId="9" numFmtId="0" xfId="0" applyBorder="1" applyFont="1"/>
    <xf borderId="117" fillId="0" fontId="2" numFmtId="165" xfId="0" applyAlignment="1" applyBorder="1" applyFont="1" applyNumberFormat="1">
      <alignment horizontal="right" readingOrder="2" vertical="center"/>
    </xf>
    <xf borderId="93" fillId="5" fontId="26" numFmtId="0" xfId="0" applyAlignment="1" applyBorder="1" applyFont="1">
      <alignment horizontal="right" readingOrder="2" shrinkToFit="0" vertical="center" wrapText="0"/>
    </xf>
    <xf borderId="94" fillId="5" fontId="26" numFmtId="2" xfId="0" applyAlignment="1" applyBorder="1" applyFont="1" applyNumberFormat="1">
      <alignment horizontal="center" readingOrder="2" vertical="center"/>
    </xf>
    <xf borderId="93" fillId="5" fontId="23" numFmtId="0" xfId="0" applyAlignment="1" applyBorder="1" applyFont="1">
      <alignment horizontal="right" readingOrder="2" shrinkToFit="0" vertical="center" wrapText="0"/>
    </xf>
    <xf borderId="94" fillId="5" fontId="23" numFmtId="2" xfId="0" applyAlignment="1" applyBorder="1" applyFont="1" applyNumberFormat="1">
      <alignment horizontal="center" readingOrder="2" vertical="center"/>
    </xf>
    <xf borderId="93" fillId="5" fontId="27" numFmtId="0" xfId="0" applyAlignment="1" applyBorder="1" applyFont="1">
      <alignment horizontal="right" readingOrder="2" shrinkToFit="0" vertical="center" wrapText="0"/>
    </xf>
    <xf borderId="94" fillId="5" fontId="27" numFmtId="2" xfId="0" applyAlignment="1" applyBorder="1" applyFont="1" applyNumberFormat="1">
      <alignment horizontal="center" readingOrder="2" vertical="center"/>
    </xf>
    <xf borderId="93" fillId="5" fontId="28" numFmtId="0" xfId="0" applyAlignment="1" applyBorder="1" applyFont="1">
      <alignment horizontal="right" readingOrder="2" shrinkToFit="0" vertical="center" wrapText="0"/>
    </xf>
    <xf borderId="94" fillId="5" fontId="28" numFmtId="2" xfId="0" applyAlignment="1" applyBorder="1" applyFont="1" applyNumberFormat="1">
      <alignment horizontal="center" readingOrder="2" vertical="center"/>
    </xf>
    <xf borderId="43" fillId="5" fontId="2" numFmtId="0" xfId="0" applyAlignment="1" applyBorder="1" applyFont="1">
      <alignment horizontal="right" readingOrder="2" vertical="center"/>
    </xf>
    <xf borderId="2" fillId="5" fontId="24" numFmtId="0" xfId="0" applyAlignment="1" applyBorder="1" applyFont="1">
      <alignment horizontal="center" readingOrder="2" vertical="center"/>
    </xf>
    <xf borderId="118" fillId="5" fontId="24" numFmtId="0" xfId="0" applyAlignment="1" applyBorder="1" applyFont="1">
      <alignment horizontal="right" readingOrder="2" shrinkToFit="0" vertical="center" wrapText="1"/>
    </xf>
    <xf borderId="4" fillId="0" fontId="11" numFmtId="0" xfId="0" applyBorder="1" applyFont="1"/>
    <xf borderId="119" fillId="0" fontId="11" numFmtId="0" xfId="0" applyBorder="1" applyFont="1"/>
    <xf borderId="99" fillId="5" fontId="23" numFmtId="0" xfId="0" applyAlignment="1" applyBorder="1" applyFont="1">
      <alignment horizontal="right" readingOrder="2" shrinkToFit="0" vertical="center" wrapText="0"/>
    </xf>
    <xf borderId="100" fillId="5" fontId="23" numFmtId="2" xfId="0" applyAlignment="1" applyBorder="1" applyFont="1" applyNumberFormat="1">
      <alignment horizontal="center" readingOrder="2" vertical="center"/>
    </xf>
    <xf borderId="2" fillId="5" fontId="3" numFmtId="0" xfId="0" applyAlignment="1" applyBorder="1" applyFont="1">
      <alignment horizontal="right" readingOrder="2" vertical="center"/>
    </xf>
    <xf borderId="2" fillId="5" fontId="3" numFmtId="2" xfId="0" applyAlignment="1" applyBorder="1" applyFont="1" applyNumberFormat="1">
      <alignment horizontal="center" readingOrder="2" vertical="center"/>
    </xf>
    <xf borderId="2" fillId="5" fontId="29" numFmtId="0" xfId="0" applyAlignment="1" applyBorder="1" applyFont="1">
      <alignment horizontal="right" readingOrder="2" vertical="center"/>
    </xf>
    <xf borderId="2" fillId="5" fontId="29" numFmtId="2" xfId="0" applyAlignment="1" applyBorder="1" applyFont="1" applyNumberFormat="1">
      <alignment horizontal="center" readingOrder="2" vertical="center"/>
    </xf>
    <xf borderId="2" fillId="5" fontId="17" numFmtId="0" xfId="0" applyAlignment="1" applyBorder="1" applyFont="1">
      <alignment horizontal="right" readingOrder="2" vertical="center"/>
    </xf>
    <xf borderId="2" fillId="5" fontId="17" numFmtId="2" xfId="0" applyAlignment="1" applyBorder="1" applyFont="1" applyNumberFormat="1">
      <alignment horizontal="center" readingOrder="2" vertical="center"/>
    </xf>
    <xf borderId="2" fillId="5" fontId="30" numFmtId="0" xfId="0" applyAlignment="1" applyBorder="1" applyFont="1">
      <alignment horizontal="right" readingOrder="2" vertical="center"/>
    </xf>
    <xf borderId="2" fillId="5" fontId="30" numFmtId="2" xfId="0" applyAlignment="1" applyBorder="1" applyFont="1" applyNumberFormat="1">
      <alignment horizontal="center" readingOrder="2" vertical="center"/>
    </xf>
    <xf borderId="116" fillId="0" fontId="2" numFmtId="165" xfId="0" applyAlignment="1" applyBorder="1" applyFont="1" applyNumberFormat="1">
      <alignment horizontal="right" readingOrder="2" vertical="center"/>
    </xf>
    <xf borderId="0" fillId="0" fontId="5" numFmtId="0" xfId="0" applyAlignment="1" applyFont="1">
      <alignment readingOrder="0" shrinkToFit="0" vertical="center" wrapText="1"/>
    </xf>
    <xf borderId="0" fillId="0" fontId="1" numFmtId="0" xfId="0" applyAlignment="1" applyFont="1">
      <alignment horizontal="center" readingOrder="2" shrinkToFit="0" vertical="center" wrapText="1"/>
    </xf>
    <xf borderId="0" fillId="0" fontId="9" numFmtId="0" xfId="0" applyAlignment="1" applyFont="1">
      <alignment readingOrder="0" vertical="center"/>
    </xf>
    <xf borderId="0" fillId="0" fontId="2" numFmtId="164" xfId="0" applyAlignment="1" applyFont="1" applyNumberFormat="1">
      <alignment horizontal="center" readingOrder="2" vertical="center"/>
    </xf>
    <xf borderId="0" fillId="0" fontId="2" numFmtId="0" xfId="0" applyAlignment="1" applyFont="1">
      <alignment horizontal="center" readingOrder="2" shrinkToFit="0" vertical="center" wrapText="0"/>
    </xf>
    <xf borderId="0" fillId="0" fontId="2" numFmtId="0" xfId="0" applyAlignment="1" applyFont="1">
      <alignment horizontal="center" readingOrder="2" shrinkToFit="0" vertical="center" wrapText="0"/>
    </xf>
    <xf borderId="0" fillId="0" fontId="26" numFmtId="2" xfId="0" applyAlignment="1" applyFont="1" applyNumberFormat="1">
      <alignment horizontal="center" shrinkToFit="0" vertical="center" wrapText="0"/>
    </xf>
    <xf borderId="0" fillId="7" fontId="2" numFmtId="0" xfId="0" applyAlignment="1" applyFont="1">
      <alignment horizontal="center" readingOrder="2" shrinkToFit="0" vertical="center" wrapText="0"/>
    </xf>
    <xf borderId="0" fillId="0" fontId="31" numFmtId="0" xfId="0" applyFont="1"/>
    <xf borderId="0" fillId="0" fontId="31" numFmtId="0" xfId="0" applyAlignment="1" applyFont="1">
      <alignment horizontal="center"/>
    </xf>
    <xf borderId="0" fillId="0" fontId="31" numFmtId="165" xfId="0" applyAlignment="1" applyFont="1" applyNumberFormat="1">
      <alignment horizontal="center" shrinkToFit="0" vertical="top" wrapText="0"/>
    </xf>
    <xf borderId="0" fillId="0" fontId="31" numFmtId="0" xfId="0" applyAlignment="1" applyFont="1">
      <alignment horizontal="center" shrinkToFit="0" vertical="top" wrapText="0"/>
    </xf>
    <xf borderId="0" fillId="0" fontId="31" numFmtId="2" xfId="0" applyAlignment="1" applyFont="1" applyNumberFormat="1">
      <alignment horizontal="center" shrinkToFit="0" vertical="top" wrapText="0"/>
    </xf>
    <xf borderId="0" fillId="0" fontId="1" numFmtId="0" xfId="0" applyAlignment="1" applyFont="1">
      <alignment horizontal="right" readingOrder="2"/>
    </xf>
    <xf borderId="0" fillId="0" fontId="2" numFmtId="0" xfId="0" applyAlignment="1" applyFont="1">
      <alignment horizontal="right" readingOrder="2"/>
    </xf>
    <xf borderId="120" fillId="0" fontId="2" numFmtId="0" xfId="0" applyAlignment="1" applyBorder="1" applyFont="1">
      <alignment horizontal="right" readingOrder="2"/>
    </xf>
    <xf borderId="71" fillId="0" fontId="1" numFmtId="0" xfId="0" applyAlignment="1" applyBorder="1" applyFont="1">
      <alignment horizontal="right" readingOrder="2"/>
    </xf>
    <xf borderId="72" fillId="0" fontId="1" numFmtId="0" xfId="0" applyAlignment="1" applyBorder="1" applyFont="1">
      <alignment horizontal="right" readingOrder="2"/>
    </xf>
    <xf borderId="72" fillId="0" fontId="2" numFmtId="0" xfId="0" applyAlignment="1" applyBorder="1" applyFont="1">
      <alignment horizontal="right" readingOrder="2"/>
    </xf>
    <xf borderId="73" fillId="0" fontId="2" numFmtId="0" xfId="0" applyAlignment="1" applyBorder="1" applyFont="1">
      <alignment horizontal="right" readingOrder="2"/>
    </xf>
    <xf borderId="117" fillId="0" fontId="2" numFmtId="0" xfId="0" applyAlignment="1" applyBorder="1" applyFont="1">
      <alignment horizontal="right" readingOrder="2"/>
    </xf>
    <xf borderId="92" fillId="0" fontId="1" numFmtId="0" xfId="0" applyAlignment="1" applyBorder="1" applyFont="1">
      <alignment horizontal="right" readingOrder="2"/>
    </xf>
    <xf borderId="87" fillId="0" fontId="1" numFmtId="1" xfId="0" applyAlignment="1" applyBorder="1" applyFont="1" applyNumberFormat="1">
      <alignment horizontal="right" readingOrder="2"/>
    </xf>
    <xf borderId="87" fillId="0" fontId="2" numFmtId="0" xfId="0" applyAlignment="1" applyBorder="1" applyFont="1">
      <alignment horizontal="right" readingOrder="2"/>
    </xf>
    <xf borderId="82" fillId="0" fontId="2" numFmtId="0" xfId="0" applyAlignment="1" applyBorder="1" applyFont="1">
      <alignment horizontal="right" readingOrder="2"/>
    </xf>
    <xf borderId="83" fillId="0" fontId="2" numFmtId="0" xfId="0" applyAlignment="1" applyBorder="1" applyFont="1">
      <alignment horizontal="right" readingOrder="2"/>
    </xf>
    <xf borderId="0" fillId="0" fontId="1" numFmtId="165" xfId="0" applyAlignment="1" applyFont="1" applyNumberFormat="1">
      <alignment horizontal="right" readingOrder="2"/>
    </xf>
    <xf borderId="81" fillId="0" fontId="1" numFmtId="0" xfId="0" applyAlignment="1" applyBorder="1" applyFont="1">
      <alignment horizontal="right" readingOrder="2"/>
    </xf>
    <xf borderId="82" fillId="0" fontId="1" numFmtId="2" xfId="0" applyAlignment="1" applyBorder="1" applyFont="1" applyNumberFormat="1">
      <alignment horizontal="right" readingOrder="2"/>
    </xf>
    <xf borderId="0" fillId="0" fontId="2" numFmtId="0" xfId="0" applyAlignment="1" applyFont="1">
      <alignment horizontal="right" readingOrder="2"/>
    </xf>
    <xf borderId="92" fillId="0" fontId="2" numFmtId="0" xfId="0" applyAlignment="1" applyBorder="1" applyFont="1">
      <alignment horizontal="right" readingOrder="2"/>
    </xf>
    <xf borderId="87" fillId="0" fontId="2" numFmtId="0" xfId="0" applyAlignment="1" applyBorder="1" applyFont="1">
      <alignment horizontal="right" readingOrder="2"/>
    </xf>
    <xf borderId="121" fillId="0" fontId="1" numFmtId="0" xfId="0" applyAlignment="1" applyBorder="1" applyFont="1">
      <alignment horizontal="center" readingOrder="2"/>
    </xf>
    <xf borderId="96" fillId="0" fontId="1" numFmtId="0" xfId="0" applyAlignment="1" applyBorder="1" applyFont="1">
      <alignment horizontal="center" readingOrder="2"/>
    </xf>
    <xf borderId="97" fillId="0" fontId="1" numFmtId="0" xfId="0" applyAlignment="1" applyBorder="1" applyFont="1">
      <alignment horizontal="center" readingOrder="2"/>
    </xf>
    <xf borderId="81" fillId="0" fontId="1" numFmtId="0" xfId="0" applyAlignment="1" applyBorder="1" applyFont="1">
      <alignment horizontal="center" readingOrder="2"/>
    </xf>
    <xf borderId="83" fillId="0" fontId="2" numFmtId="0" xfId="0" applyBorder="1" applyFont="1"/>
    <xf borderId="0" fillId="0" fontId="2" numFmtId="0" xfId="0" applyFont="1"/>
    <xf borderId="0" fillId="0" fontId="2" numFmtId="165" xfId="0" applyAlignment="1" applyFont="1" applyNumberFormat="1">
      <alignment horizontal="center" readingOrder="2" vertical="center"/>
    </xf>
    <xf borderId="122" fillId="0" fontId="2" numFmtId="0" xfId="0" applyAlignment="1" applyBorder="1" applyFont="1">
      <alignment horizontal="right" readingOrder="2"/>
    </xf>
    <xf borderId="82" fillId="0" fontId="2" numFmtId="165" xfId="0" applyAlignment="1" applyBorder="1" applyFont="1" applyNumberFormat="1">
      <alignment horizontal="center" readingOrder="2"/>
    </xf>
    <xf borderId="98" fillId="2" fontId="2" numFmtId="0" xfId="0" applyAlignment="1" applyBorder="1" applyFont="1">
      <alignment horizontal="center" readingOrder="2"/>
    </xf>
    <xf borderId="122" fillId="0" fontId="26" numFmtId="0" xfId="0" applyAlignment="1" applyBorder="1" applyFont="1">
      <alignment horizontal="right" readingOrder="2" shrinkToFit="0" wrapText="0"/>
    </xf>
    <xf borderId="98" fillId="0" fontId="26" numFmtId="2" xfId="0" applyAlignment="1" applyBorder="1" applyFont="1" applyNumberFormat="1">
      <alignment horizontal="center" readingOrder="2"/>
    </xf>
    <xf borderId="81" fillId="0" fontId="26" numFmtId="2" xfId="0" applyAlignment="1" applyBorder="1" applyFont="1" applyNumberFormat="1">
      <alignment horizontal="center" readingOrder="2"/>
    </xf>
    <xf borderId="83" fillId="0" fontId="2" numFmtId="0" xfId="0" applyAlignment="1" applyBorder="1" applyFont="1">
      <alignment horizontal="right"/>
    </xf>
    <xf borderId="0" fillId="0" fontId="2" numFmtId="165" xfId="0" applyFont="1" applyNumberFormat="1"/>
    <xf borderId="98" fillId="0" fontId="2" numFmtId="0" xfId="0" applyAlignment="1" applyBorder="1" applyFont="1">
      <alignment horizontal="center" readingOrder="2"/>
    </xf>
    <xf borderId="122" fillId="0" fontId="23" numFmtId="0" xfId="0" applyAlignment="1" applyBorder="1" applyFont="1">
      <alignment horizontal="right" readingOrder="2" shrinkToFit="0" wrapText="0"/>
    </xf>
    <xf borderId="98" fillId="0" fontId="23" numFmtId="2" xfId="0" applyAlignment="1" applyBorder="1" applyFont="1" applyNumberFormat="1">
      <alignment horizontal="center" readingOrder="2"/>
    </xf>
    <xf borderId="81" fillId="0" fontId="23" numFmtId="2" xfId="0" applyAlignment="1" applyBorder="1" applyFont="1" applyNumberFormat="1">
      <alignment horizontal="center" readingOrder="2"/>
    </xf>
    <xf borderId="122" fillId="0" fontId="27" numFmtId="0" xfId="0" applyAlignment="1" applyBorder="1" applyFont="1">
      <alignment horizontal="right" readingOrder="2" shrinkToFit="0" wrapText="0"/>
    </xf>
    <xf borderId="98" fillId="0" fontId="27" numFmtId="2" xfId="0" applyAlignment="1" applyBorder="1" applyFont="1" applyNumberFormat="1">
      <alignment horizontal="center" readingOrder="2"/>
    </xf>
    <xf borderId="81" fillId="0" fontId="27" numFmtId="2" xfId="0" applyAlignment="1" applyBorder="1" applyFont="1" applyNumberFormat="1">
      <alignment horizontal="center" readingOrder="2"/>
    </xf>
    <xf borderId="83" fillId="0" fontId="2" numFmtId="0" xfId="0" applyAlignment="1" applyBorder="1" applyFont="1">
      <alignment horizontal="right"/>
    </xf>
    <xf borderId="122" fillId="0" fontId="28" numFmtId="0" xfId="0" applyAlignment="1" applyBorder="1" applyFont="1">
      <alignment horizontal="right" readingOrder="2" shrinkToFit="0" wrapText="0"/>
    </xf>
    <xf borderId="98" fillId="0" fontId="28" numFmtId="2" xfId="0" applyAlignment="1" applyBorder="1" applyFont="1" applyNumberFormat="1">
      <alignment horizontal="center" readingOrder="2"/>
    </xf>
    <xf borderId="81" fillId="0" fontId="28" numFmtId="2" xfId="0" applyAlignment="1" applyBorder="1" applyFont="1" applyNumberFormat="1">
      <alignment horizontal="center" readingOrder="2"/>
    </xf>
    <xf borderId="83" fillId="0" fontId="2" numFmtId="0" xfId="0" applyAlignment="1" applyBorder="1" applyFont="1">
      <alignment horizontal="right" readingOrder="0"/>
    </xf>
    <xf borderId="98" fillId="3" fontId="2" numFmtId="0" xfId="0" applyAlignment="1" applyBorder="1" applyFont="1">
      <alignment horizontal="center" readingOrder="2"/>
    </xf>
    <xf borderId="123" fillId="0" fontId="23" numFmtId="0" xfId="0" applyAlignment="1" applyBorder="1" applyFont="1">
      <alignment horizontal="right" readingOrder="2" shrinkToFit="0" wrapText="0"/>
    </xf>
    <xf borderId="103" fillId="0" fontId="23" numFmtId="2" xfId="0" applyAlignment="1" applyBorder="1" applyFont="1" applyNumberFormat="1">
      <alignment horizontal="center" readingOrder="2"/>
    </xf>
    <xf borderId="0" fillId="0" fontId="9" numFmtId="0" xfId="0" applyAlignment="1" applyFont="1">
      <alignment horizontal="right" readingOrder="2"/>
    </xf>
    <xf borderId="81" fillId="0" fontId="2" numFmtId="0" xfId="0" applyAlignment="1" applyBorder="1" applyFont="1">
      <alignment horizontal="right" readingOrder="2"/>
    </xf>
    <xf borderId="121" fillId="0" fontId="3" numFmtId="0" xfId="0" applyAlignment="1" applyBorder="1" applyFont="1">
      <alignment horizontal="right" readingOrder="2"/>
    </xf>
    <xf borderId="97" fillId="0" fontId="3" numFmtId="2" xfId="0" applyAlignment="1" applyBorder="1" applyFont="1" applyNumberFormat="1">
      <alignment horizontal="center" readingOrder="2"/>
    </xf>
    <xf borderId="122" fillId="0" fontId="29" numFmtId="0" xfId="0" applyAlignment="1" applyBorder="1" applyFont="1">
      <alignment horizontal="right" readingOrder="2"/>
    </xf>
    <xf borderId="98" fillId="0" fontId="29" numFmtId="2" xfId="0" applyAlignment="1" applyBorder="1" applyFont="1" applyNumberFormat="1">
      <alignment horizontal="center" readingOrder="2"/>
    </xf>
    <xf borderId="117" fillId="0" fontId="2" numFmtId="0" xfId="0" applyAlignment="1" applyBorder="1" applyFont="1">
      <alignment horizontal="right" readingOrder="2"/>
    </xf>
    <xf borderId="122" fillId="0" fontId="17" numFmtId="0" xfId="0" applyAlignment="1" applyBorder="1" applyFont="1">
      <alignment horizontal="right" readingOrder="2"/>
    </xf>
    <xf borderId="98" fillId="0" fontId="17" numFmtId="2" xfId="0" applyAlignment="1" applyBorder="1" applyFont="1" applyNumberFormat="1">
      <alignment horizontal="center" readingOrder="2"/>
    </xf>
    <xf borderId="123" fillId="0" fontId="30" numFmtId="0" xfId="0" applyAlignment="1" applyBorder="1" applyFont="1">
      <alignment horizontal="right" readingOrder="2"/>
    </xf>
    <xf borderId="103" fillId="0" fontId="30" numFmtId="2" xfId="0" applyAlignment="1" applyBorder="1" applyFont="1" applyNumberFormat="1">
      <alignment horizontal="center" readingOrder="2"/>
    </xf>
    <xf borderId="123" fillId="0" fontId="2" numFmtId="0" xfId="0" applyAlignment="1" applyBorder="1" applyFont="1">
      <alignment horizontal="right" readingOrder="2"/>
    </xf>
    <xf borderId="102" fillId="0" fontId="2" numFmtId="165" xfId="0" applyAlignment="1" applyBorder="1" applyFont="1" applyNumberFormat="1">
      <alignment horizontal="center" readingOrder="2"/>
    </xf>
    <xf borderId="103" fillId="0" fontId="2" numFmtId="0" xfId="0" applyAlignment="1" applyBorder="1" applyFont="1">
      <alignment horizontal="center" readingOrder="2"/>
    </xf>
    <xf borderId="0" fillId="0" fontId="2" numFmtId="2" xfId="0" applyFont="1" applyNumberFormat="1"/>
    <xf borderId="71" fillId="0" fontId="2" numFmtId="0" xfId="0" applyAlignment="1" applyBorder="1" applyFont="1">
      <alignment horizontal="right" readingOrder="2"/>
    </xf>
    <xf borderId="83" fillId="0" fontId="2" numFmtId="165" xfId="0" applyAlignment="1" applyBorder="1" applyFont="1" applyNumberFormat="1">
      <alignment horizontal="right" readingOrder="2"/>
    </xf>
    <xf borderId="81" fillId="0" fontId="2" numFmtId="165" xfId="0" applyAlignment="1" applyBorder="1" applyFont="1" applyNumberFormat="1">
      <alignment horizontal="right" readingOrder="2"/>
    </xf>
    <xf borderId="91" fillId="0" fontId="2" numFmtId="0" xfId="0" applyAlignment="1" applyBorder="1" applyFont="1">
      <alignment horizontal="right" readingOrder="2"/>
    </xf>
    <xf borderId="92" fillId="0" fontId="2" numFmtId="0" xfId="0" applyAlignment="1" applyBorder="1" applyFont="1">
      <alignment horizontal="right" readingOrder="2"/>
    </xf>
    <xf borderId="116" fillId="0" fontId="2" numFmtId="0" xfId="0" applyAlignment="1" applyBorder="1" applyFont="1">
      <alignment horizontal="right" readingOrder="2"/>
    </xf>
    <xf borderId="0" fillId="0" fontId="2" numFmtId="165" xfId="0" applyAlignment="1" applyFont="1" applyNumberFormat="1">
      <alignment horizontal="right" readingOrder="2"/>
    </xf>
    <xf borderId="0" fillId="0" fontId="9" numFmtId="0" xfId="0" applyAlignment="1" applyFont="1">
      <alignment horizontal="center"/>
    </xf>
    <xf borderId="0" fillId="0" fontId="5" numFmtId="0" xfId="0" applyAlignment="1" applyFont="1">
      <alignment horizontal="center"/>
    </xf>
    <xf borderId="0" fillId="0" fontId="9" numFmtId="0" xfId="0" applyAlignment="1" applyFont="1">
      <alignment horizontal="center" shrinkToFit="0" vertical="top" wrapText="0"/>
    </xf>
    <xf borderId="0" fillId="0" fontId="32" numFmtId="0" xfId="0" applyAlignment="1" applyFont="1">
      <alignment horizontal="center"/>
    </xf>
    <xf borderId="0" fillId="8" fontId="1" numFmtId="0" xfId="0" applyAlignment="1" applyFont="1">
      <alignment horizontal="center" readingOrder="2" vertical="center"/>
    </xf>
    <xf borderId="0" fillId="2" fontId="1" numFmtId="0" xfId="0" applyAlignment="1" applyFont="1">
      <alignment horizontal="center" readingOrder="0" shrinkToFit="0" vertical="center" wrapText="0"/>
    </xf>
    <xf borderId="0" fillId="0" fontId="3" numFmtId="165" xfId="0" applyAlignment="1" applyFont="1" applyNumberFormat="1">
      <alignment horizontal="center" shrinkToFit="0" vertical="center" wrapText="0"/>
    </xf>
    <xf borderId="0" fillId="10" fontId="2" numFmtId="0" xfId="0" applyAlignment="1" applyFont="1">
      <alignment horizontal="center" readingOrder="0" shrinkToFit="0" vertical="center" wrapText="0"/>
    </xf>
    <xf borderId="0" fillId="0" fontId="1" numFmtId="0" xfId="0" applyAlignment="1" applyFont="1">
      <alignment horizontal="center" shrinkToFit="0" vertical="center" wrapText="1"/>
    </xf>
    <xf borderId="0" fillId="0" fontId="1" numFmtId="2" xfId="0" applyAlignment="1" applyFont="1" applyNumberFormat="1">
      <alignment horizontal="center" shrinkToFit="0" vertical="center" wrapText="1"/>
    </xf>
    <xf borderId="1" fillId="4" fontId="1" numFmtId="0" xfId="0" applyAlignment="1" applyBorder="1" applyFont="1">
      <alignment horizontal="center" vertical="center"/>
    </xf>
    <xf borderId="1" fillId="0" fontId="2" numFmtId="0" xfId="0" applyAlignment="1" applyBorder="1" applyFont="1">
      <alignment horizontal="center" vertical="center"/>
    </xf>
    <xf borderId="1" fillId="0" fontId="2" numFmtId="164" xfId="0" applyAlignment="1" applyBorder="1" applyFont="1" applyNumberFormat="1">
      <alignment horizontal="center" vertical="center"/>
    </xf>
    <xf borderId="1" fillId="11" fontId="2" numFmtId="0" xfId="0" applyAlignment="1" applyBorder="1" applyFont="1">
      <alignment horizontal="center" vertical="center"/>
    </xf>
    <xf borderId="1" fillId="0" fontId="2" numFmtId="0" xfId="0" applyAlignment="1" applyBorder="1" applyFont="1">
      <alignment horizontal="center" readingOrder="0" vertical="center"/>
    </xf>
    <xf borderId="0" fillId="0" fontId="2" numFmtId="0" xfId="0" applyAlignment="1" applyFont="1">
      <alignment horizontal="center" vertical="center"/>
    </xf>
    <xf borderId="0" fillId="0" fontId="1" numFmtId="2" xfId="0" applyAlignment="1" applyFont="1" applyNumberFormat="1">
      <alignment horizontal="center" shrinkToFit="0" vertical="center" wrapText="0"/>
    </xf>
    <xf borderId="1" fillId="0" fontId="2" numFmtId="0" xfId="0" applyAlignment="1" applyBorder="1" applyFont="1">
      <alignment horizontal="center" shrinkToFit="0" vertical="center" wrapText="0"/>
    </xf>
    <xf borderId="1" fillId="0" fontId="2" numFmtId="164" xfId="0" applyAlignment="1" applyBorder="1" applyFont="1" applyNumberFormat="1">
      <alignment horizontal="center" shrinkToFit="0" vertical="center" wrapText="0"/>
    </xf>
    <xf borderId="1" fillId="11"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33"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shrinkToFit="0" vertical="center" wrapText="0"/>
    </xf>
    <xf borderId="0" fillId="0" fontId="2" numFmtId="164" xfId="0" applyAlignment="1" applyFont="1" applyNumberFormat="1">
      <alignment horizontal="center" shrinkToFit="0" vertical="center" wrapText="0"/>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4" fontId="1" numFmtId="0" xfId="0" applyAlignment="1" applyFont="1">
      <alignment horizontal="center" vertical="center"/>
    </xf>
    <xf borderId="0" fillId="0" fontId="2" numFmtId="164" xfId="0" applyAlignment="1" applyFont="1" applyNumberFormat="1">
      <alignment horizontal="center" vertical="center"/>
    </xf>
    <xf borderId="0" fillId="0" fontId="2" numFmtId="0" xfId="0" applyAlignment="1" applyFont="1">
      <alignment horizontal="center" readingOrder="0" vertical="center"/>
    </xf>
    <xf borderId="0" fillId="4" fontId="34" numFmtId="0" xfId="0" applyAlignment="1" applyFont="1">
      <alignment horizontal="center" readingOrder="0" vertical="center"/>
    </xf>
    <xf borderId="0" fillId="0" fontId="14" numFmtId="0" xfId="0" applyAlignment="1" applyFont="1">
      <alignment horizontal="center" readingOrder="0" vertical="center"/>
    </xf>
    <xf borderId="0" fillId="0" fontId="14" numFmtId="164" xfId="0" applyAlignment="1" applyFont="1" applyNumberFormat="1">
      <alignment horizontal="center" readingOrder="0" vertical="center"/>
    </xf>
    <xf borderId="0" fillId="0" fontId="14" numFmtId="0" xfId="0" applyAlignment="1" applyFont="1">
      <alignment horizontal="center" readingOrder="0" vertical="center"/>
    </xf>
    <xf borderId="0" fillId="11" fontId="14" numFmtId="0" xfId="0" applyAlignment="1" applyFont="1">
      <alignment horizontal="center" readingOrder="0" vertical="center"/>
    </xf>
    <xf borderId="0" fillId="4" fontId="3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164" xfId="0" applyAlignment="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0" fontId="2" numFmtId="164" xfId="0" applyAlignment="1" applyFont="1" applyNumberFormat="1">
      <alignment horizontal="center" shrinkToFit="0" vertical="center" wrapText="1"/>
    </xf>
    <xf borderId="0" fillId="0" fontId="2" numFmtId="2" xfId="0" applyAlignment="1" applyFont="1" applyNumberFormat="1">
      <alignment horizontal="center" shrinkToFit="0" vertical="center" wrapText="0"/>
    </xf>
    <xf borderId="0" fillId="2" fontId="2" numFmtId="0" xfId="0" applyAlignment="1" applyFont="1">
      <alignment horizontal="center" shrinkToFit="0" vertical="center" wrapText="0"/>
    </xf>
    <xf borderId="0" fillId="0" fontId="1" numFmtId="0" xfId="0" applyAlignment="1" applyFont="1">
      <alignment horizontal="center" shrinkToFit="0" vertical="center" wrapText="0"/>
    </xf>
    <xf borderId="18" fillId="5" fontId="9" numFmtId="0" xfId="0" applyBorder="1" applyFont="1"/>
    <xf borderId="20" fillId="5" fontId="10" numFmtId="0" xfId="0" applyAlignment="1" applyBorder="1" applyFont="1">
      <alignment horizontal="center" readingOrder="0"/>
    </xf>
    <xf borderId="69" fillId="5" fontId="10" numFmtId="0" xfId="0" applyAlignment="1" applyBorder="1" applyFont="1">
      <alignment horizontal="center" readingOrder="0"/>
    </xf>
    <xf borderId="5" fillId="5" fontId="10" numFmtId="0" xfId="0" applyAlignment="1" applyBorder="1" applyFont="1">
      <alignment horizontal="center" readingOrder="0"/>
    </xf>
    <xf borderId="0" fillId="5" fontId="10" numFmtId="0" xfId="0" applyAlignment="1" applyFont="1">
      <alignment horizontal="center" readingOrder="0"/>
    </xf>
    <xf borderId="124" fillId="5" fontId="35" numFmtId="0" xfId="0" applyAlignment="1" applyBorder="1" applyFont="1">
      <alignment horizontal="center" readingOrder="0"/>
    </xf>
    <xf borderId="125" fillId="5" fontId="35" numFmtId="0" xfId="0" applyAlignment="1" applyBorder="1" applyFont="1">
      <alignment horizontal="center" readingOrder="0"/>
    </xf>
    <xf borderId="126" fillId="5" fontId="1" numFmtId="165" xfId="0" applyAlignment="1" applyBorder="1" applyFont="1" applyNumberFormat="1">
      <alignment horizontal="center" readingOrder="2" vertical="center"/>
    </xf>
    <xf borderId="5" fillId="5" fontId="12" numFmtId="165" xfId="0" applyAlignment="1" applyBorder="1" applyFont="1" applyNumberFormat="1">
      <alignment horizontal="right" readingOrder="2" vertical="center"/>
    </xf>
    <xf borderId="5" fillId="5" fontId="12" numFmtId="165" xfId="0" applyAlignment="1" applyBorder="1" applyFont="1" applyNumberFormat="1">
      <alignment horizontal="right" readingOrder="2" vertical="center"/>
    </xf>
    <xf borderId="0" fillId="5" fontId="1" numFmtId="165" xfId="0" applyAlignment="1" applyFont="1" applyNumberFormat="1">
      <alignment horizontal="center" readingOrder="2" vertical="center"/>
    </xf>
    <xf borderId="0" fillId="5" fontId="12" numFmtId="165" xfId="0" applyAlignment="1" applyFont="1" applyNumberFormat="1">
      <alignment horizontal="right" readingOrder="2" vertical="center"/>
    </xf>
    <xf borderId="127" fillId="5" fontId="1" numFmtId="0" xfId="0" applyAlignment="1" applyBorder="1" applyFont="1">
      <alignment horizontal="right" readingOrder="2" vertical="center"/>
    </xf>
    <xf borderId="3" fillId="5" fontId="1" numFmtId="2" xfId="0" applyAlignment="1" applyBorder="1" applyFont="1" applyNumberFormat="1">
      <alignment horizontal="center" readingOrder="2" vertical="center"/>
    </xf>
    <xf borderId="17" fillId="5" fontId="1" numFmtId="2" xfId="0" applyAlignment="1" applyBorder="1" applyFont="1" applyNumberFormat="1">
      <alignment horizontal="center" readingOrder="2" vertical="center"/>
    </xf>
    <xf borderId="128" fillId="5" fontId="1" numFmtId="2" xfId="0" applyAlignment="1" applyBorder="1" applyFont="1" applyNumberFormat="1">
      <alignment horizontal="center" readingOrder="2" vertical="center"/>
    </xf>
    <xf borderId="36" fillId="5" fontId="2" numFmtId="9" xfId="0" applyAlignment="1" applyBorder="1" applyFont="1" applyNumberFormat="1">
      <alignment horizontal="center" readingOrder="2" vertical="center"/>
    </xf>
    <xf borderId="18" fillId="5" fontId="1" numFmtId="165" xfId="0" applyAlignment="1" applyBorder="1" applyFont="1" applyNumberFormat="1">
      <alignment horizontal="center" readingOrder="2" vertical="center"/>
    </xf>
    <xf borderId="18" fillId="5" fontId="1" numFmtId="0" xfId="0" applyAlignment="1" applyBorder="1" applyFont="1">
      <alignment horizontal="center" readingOrder="2" vertical="center"/>
    </xf>
    <xf borderId="11" fillId="5" fontId="1" numFmtId="1" xfId="0" applyAlignment="1" applyBorder="1" applyFont="1" applyNumberFormat="1">
      <alignment horizontal="center" readingOrder="2" vertical="center"/>
    </xf>
    <xf borderId="94" fillId="5" fontId="1" numFmtId="1" xfId="0" applyAlignment="1" applyBorder="1" applyFont="1" applyNumberFormat="1">
      <alignment horizontal="center" readingOrder="2" vertical="center"/>
    </xf>
    <xf borderId="7" fillId="5" fontId="1" numFmtId="1" xfId="0" applyAlignment="1" applyBorder="1" applyFont="1" applyNumberFormat="1">
      <alignment horizontal="center" readingOrder="2" vertical="center"/>
    </xf>
    <xf borderId="18" fillId="5" fontId="2" numFmtId="0" xfId="0" applyAlignment="1" applyBorder="1" applyFont="1">
      <alignment horizontal="right" readingOrder="2" vertical="center"/>
    </xf>
    <xf borderId="17" fillId="5" fontId="2" numFmtId="0" xfId="0" applyAlignment="1" applyBorder="1" applyFont="1">
      <alignment horizontal="center" readingOrder="2" vertical="center"/>
    </xf>
    <xf borderId="127" fillId="5" fontId="12" numFmtId="0" xfId="0" applyAlignment="1" applyBorder="1" applyFont="1">
      <alignment horizontal="right" readingOrder="2" vertical="center"/>
    </xf>
    <xf borderId="11" fillId="5" fontId="12" numFmtId="1" xfId="0" applyAlignment="1" applyBorder="1" applyFont="1" applyNumberFormat="1">
      <alignment horizontal="center" readingOrder="2" vertical="center"/>
    </xf>
    <xf borderId="94" fillId="5" fontId="12" numFmtId="0" xfId="0" applyAlignment="1" applyBorder="1" applyFont="1">
      <alignment horizontal="center" readingOrder="2" vertical="center"/>
    </xf>
    <xf borderId="7" fillId="5" fontId="12" numFmtId="1" xfId="0" applyAlignment="1" applyBorder="1" applyFont="1" applyNumberFormat="1">
      <alignment horizontal="center" readingOrder="2" vertical="center"/>
    </xf>
    <xf borderId="129" fillId="5" fontId="1" numFmtId="0" xfId="0" applyAlignment="1" applyBorder="1" applyFont="1">
      <alignment horizontal="right" readingOrder="2" vertical="center"/>
    </xf>
    <xf borderId="47" fillId="5" fontId="1" numFmtId="0" xfId="0" applyAlignment="1" applyBorder="1" applyFont="1">
      <alignment horizontal="center" readingOrder="2" vertical="center"/>
    </xf>
    <xf borderId="130" fillId="5" fontId="1" numFmtId="0" xfId="0" applyAlignment="1" applyBorder="1" applyFont="1">
      <alignment horizontal="center" readingOrder="2" vertical="center"/>
    </xf>
    <xf borderId="130" fillId="5" fontId="2" numFmtId="9" xfId="0" applyAlignment="1" applyBorder="1" applyFont="1" applyNumberFormat="1">
      <alignment horizontal="center" readingOrder="2" vertical="center"/>
    </xf>
    <xf borderId="17" fillId="5" fontId="2" numFmtId="0" xfId="0" applyAlignment="1" applyBorder="1" applyFont="1">
      <alignment horizontal="right" readingOrder="2" vertical="center"/>
    </xf>
    <xf borderId="58" fillId="5" fontId="1" numFmtId="0" xfId="0" applyAlignment="1" applyBorder="1" applyFont="1">
      <alignment horizontal="center" readingOrder="2" vertical="center"/>
    </xf>
    <xf borderId="32" fillId="5" fontId="2" numFmtId="0" xfId="0" applyAlignment="1" applyBorder="1" applyFont="1">
      <alignment horizontal="right" readingOrder="2" vertical="center"/>
    </xf>
    <xf borderId="0" fillId="5" fontId="2" numFmtId="0" xfId="0" applyAlignment="1" applyFont="1">
      <alignment horizontal="center" readingOrder="0" vertical="center"/>
    </xf>
    <xf borderId="18" fillId="8" fontId="2" numFmtId="0" xfId="0" applyAlignment="1" applyBorder="1" applyFont="1">
      <alignment horizontal="center" readingOrder="0" vertical="center"/>
    </xf>
    <xf borderId="18" fillId="15" fontId="2" numFmtId="0" xfId="0" applyAlignment="1" applyBorder="1" applyFill="1" applyFont="1">
      <alignment horizontal="center" readingOrder="0" vertical="center"/>
    </xf>
    <xf borderId="18" fillId="5" fontId="2" numFmtId="0" xfId="0" applyAlignment="1" applyBorder="1" applyFont="1">
      <alignment horizontal="center" readingOrder="0" vertical="center"/>
    </xf>
    <xf borderId="18" fillId="5" fontId="2" numFmtId="0" xfId="0" applyAlignment="1" applyBorder="1" applyFont="1">
      <alignment horizontal="right" readingOrder="0" vertical="center"/>
    </xf>
    <xf borderId="7" fillId="5" fontId="2" numFmtId="0" xfId="0" applyAlignment="1" applyBorder="1" applyFont="1">
      <alignment horizontal="right" readingOrder="0" vertical="center"/>
    </xf>
    <xf borderId="7" fillId="8" fontId="2" numFmtId="0" xfId="0" applyAlignment="1" applyBorder="1" applyFont="1">
      <alignment horizontal="center" readingOrder="0" vertical="center"/>
    </xf>
    <xf borderId="7" fillId="15" fontId="2" numFmtId="0" xfId="0" applyAlignment="1" applyBorder="1" applyFont="1">
      <alignment horizontal="center" readingOrder="0" vertical="center"/>
    </xf>
    <xf borderId="7" fillId="5" fontId="2" numFmtId="0" xfId="0" applyAlignment="1" applyBorder="1" applyFont="1">
      <alignment horizontal="center" readingOrder="0" vertical="center"/>
    </xf>
    <xf borderId="37" fillId="7" fontId="2" numFmtId="0" xfId="0" applyAlignment="1" applyBorder="1" applyFont="1">
      <alignment horizontal="right" readingOrder="2" shrinkToFit="0" vertical="center" wrapText="1"/>
    </xf>
    <xf borderId="7" fillId="16" fontId="2" numFmtId="0" xfId="0" applyAlignment="1" applyBorder="1" applyFill="1" applyFont="1">
      <alignment horizontal="center" readingOrder="0" vertical="center"/>
    </xf>
    <xf borderId="7" fillId="17" fontId="2" numFmtId="0" xfId="0" applyAlignment="1" applyBorder="1" applyFill="1" applyFont="1">
      <alignment horizontal="center" readingOrder="0" vertical="center"/>
    </xf>
    <xf borderId="7" fillId="6" fontId="2" numFmtId="0" xfId="0" applyAlignment="1" applyBorder="1" applyFont="1">
      <alignment horizontal="center" readingOrder="2" vertical="center"/>
    </xf>
    <xf borderId="32" fillId="6" fontId="2" numFmtId="0" xfId="0" applyAlignment="1" applyBorder="1" applyFont="1">
      <alignment horizontal="center" readingOrder="2" vertical="center"/>
    </xf>
    <xf borderId="7" fillId="5" fontId="2" numFmtId="0" xfId="0" applyAlignment="1" applyBorder="1" applyFont="1">
      <alignment horizontal="center" readingOrder="0" vertical="center"/>
    </xf>
    <xf borderId="7" fillId="14" fontId="2" numFmtId="0" xfId="0" applyAlignment="1" applyBorder="1" applyFont="1">
      <alignment horizontal="center" readingOrder="0" vertical="center"/>
    </xf>
    <xf borderId="7" fillId="14" fontId="2" numFmtId="0" xfId="0" applyAlignment="1" applyBorder="1" applyFont="1">
      <alignment horizontal="center" readingOrder="0" vertical="center"/>
    </xf>
    <xf borderId="7" fillId="7" fontId="2" numFmtId="0" xfId="0" applyAlignment="1" applyBorder="1" applyFont="1">
      <alignment horizontal="center" readingOrder="0" vertical="center"/>
    </xf>
    <xf borderId="7" fillId="7" fontId="2" numFmtId="0" xfId="0" applyAlignment="1" applyBorder="1" applyFont="1">
      <alignment horizontal="center" readingOrder="2" vertical="center"/>
    </xf>
    <xf borderId="32" fillId="7" fontId="2" numFmtId="0" xfId="0" applyAlignment="1" applyBorder="1" applyFont="1">
      <alignment horizontal="center" readingOrder="2" vertical="center"/>
    </xf>
    <xf borderId="37" fillId="2" fontId="2" numFmtId="0" xfId="0" applyAlignment="1" applyBorder="1" applyFont="1">
      <alignment horizontal="right" readingOrder="2" shrinkToFit="0" vertical="center" wrapText="1"/>
    </xf>
    <xf borderId="7" fillId="2" fontId="2" numFmtId="0" xfId="0" applyAlignment="1" applyBorder="1" applyFont="1">
      <alignment horizontal="center" readingOrder="2" vertical="center"/>
    </xf>
    <xf borderId="32" fillId="2" fontId="2" numFmtId="0" xfId="0" applyAlignment="1" applyBorder="1" applyFont="1">
      <alignment horizontal="center" readingOrder="2" vertical="center"/>
    </xf>
    <xf borderId="7" fillId="3" fontId="2" numFmtId="0" xfId="0" applyAlignment="1" applyBorder="1" applyFont="1">
      <alignment horizontal="center" readingOrder="0" vertical="center"/>
    </xf>
    <xf borderId="7" fillId="3" fontId="2" numFmtId="0" xfId="0" applyAlignment="1" applyBorder="1" applyFont="1">
      <alignment horizontal="center" readingOrder="0" vertical="center"/>
    </xf>
    <xf borderId="7" fillId="3" fontId="2" numFmtId="0" xfId="0" applyAlignment="1" applyBorder="1" applyFont="1">
      <alignment horizontal="center" readingOrder="2" vertical="center"/>
    </xf>
    <xf borderId="32" fillId="3" fontId="2" numFmtId="0" xfId="0" applyAlignment="1" applyBorder="1" applyFont="1">
      <alignment horizontal="center" readingOrder="2" vertical="center"/>
    </xf>
    <xf borderId="32" fillId="5" fontId="2" numFmtId="0" xfId="0" applyAlignment="1" applyBorder="1" applyFont="1">
      <alignment horizontal="right" readingOrder="2" vertical="center"/>
    </xf>
    <xf borderId="65" fillId="9" fontId="2" numFmtId="0" xfId="0" applyAlignment="1" applyBorder="1" applyFont="1">
      <alignment horizontal="center" readingOrder="2" vertical="center"/>
    </xf>
    <xf borderId="131" fillId="9" fontId="2" numFmtId="0" xfId="0" applyAlignment="1" applyBorder="1" applyFont="1">
      <alignment horizontal="center" readingOrder="2" vertical="center"/>
    </xf>
    <xf borderId="132" fillId="5" fontId="2" numFmtId="0" xfId="0" applyAlignment="1" applyBorder="1" applyFont="1">
      <alignment horizontal="right" readingOrder="2" vertical="center"/>
    </xf>
    <xf borderId="7" fillId="10" fontId="2" numFmtId="0" xfId="0" applyAlignment="1" applyBorder="1" applyFont="1">
      <alignment horizontal="center" readingOrder="0" vertical="center"/>
    </xf>
    <xf borderId="7" fillId="10" fontId="2" numFmtId="0" xfId="0" applyAlignment="1" applyBorder="1" applyFont="1">
      <alignment horizontal="center" readingOrder="0" vertical="center"/>
    </xf>
    <xf borderId="133" fillId="3" fontId="2" numFmtId="0" xfId="0" applyAlignment="1" applyBorder="1" applyFont="1">
      <alignment horizontal="right" readingOrder="2" shrinkToFit="0" vertical="center" wrapText="1"/>
    </xf>
    <xf borderId="134" fillId="5" fontId="2" numFmtId="0" xfId="0" applyAlignment="1" applyBorder="1" applyFont="1">
      <alignment horizontal="right" readingOrder="2" vertical="center"/>
    </xf>
    <xf borderId="61" fillId="5" fontId="2" numFmtId="0" xfId="0" applyAlignment="1" applyBorder="1" applyFont="1">
      <alignment horizontal="right" readingOrder="2" vertical="center"/>
    </xf>
    <xf borderId="2" fillId="5" fontId="2" numFmtId="0" xfId="0" applyAlignment="1" applyBorder="1" applyFont="1">
      <alignment horizontal="center" vertical="center"/>
    </xf>
    <xf borderId="2" fillId="5" fontId="1" numFmtId="0" xfId="0" applyAlignment="1" applyBorder="1" applyFont="1">
      <alignment horizontal="center" vertical="center"/>
    </xf>
    <xf borderId="135" fillId="5" fontId="2" numFmtId="0" xfId="0" applyAlignment="1" applyBorder="1" applyFont="1">
      <alignment horizontal="right" readingOrder="2" vertical="center"/>
    </xf>
    <xf borderId="136" fillId="5" fontId="2" numFmtId="0" xfId="0" applyAlignment="1" applyBorder="1" applyFont="1">
      <alignment horizontal="right" readingOrder="2" vertical="center"/>
    </xf>
    <xf borderId="137" fillId="5" fontId="2" numFmtId="0" xfId="0" applyAlignment="1" applyBorder="1" applyFont="1">
      <alignment horizontal="right" readingOrder="2" vertical="center"/>
    </xf>
    <xf borderId="138" fillId="5" fontId="2" numFmtId="0" xfId="0" applyAlignment="1" applyBorder="1" applyFont="1">
      <alignment horizontal="right" readingOrder="2" vertical="center"/>
    </xf>
    <xf borderId="139" fillId="5" fontId="2" numFmtId="0" xfId="0" applyAlignment="1" applyBorder="1" applyFont="1">
      <alignment horizontal="right" readingOrder="2" vertical="center"/>
    </xf>
    <xf borderId="140" fillId="5" fontId="2" numFmtId="0" xfId="0" applyAlignment="1" applyBorder="1" applyFont="1">
      <alignment horizontal="right" readingOrder="2" vertical="center"/>
    </xf>
    <xf borderId="141" fillId="5" fontId="1" numFmtId="0" xfId="0" applyAlignment="1" applyBorder="1" applyFont="1">
      <alignment horizontal="center" readingOrder="2" vertical="center"/>
    </xf>
    <xf borderId="142" fillId="0" fontId="11" numFmtId="0" xfId="0" applyBorder="1" applyFont="1"/>
    <xf borderId="143" fillId="0" fontId="11" numFmtId="0" xfId="0" applyBorder="1" applyFont="1"/>
    <xf borderId="124" fillId="5" fontId="1" numFmtId="0" xfId="0" applyAlignment="1" applyBorder="1" applyFont="1">
      <alignment horizontal="center" readingOrder="2" vertical="center"/>
    </xf>
    <xf borderId="144" fillId="5" fontId="2" numFmtId="0" xfId="0" applyAlignment="1" applyBorder="1" applyFont="1">
      <alignment horizontal="center" readingOrder="2" vertical="center"/>
    </xf>
    <xf borderId="139" fillId="5" fontId="2" numFmtId="0" xfId="0" applyAlignment="1" applyBorder="1" applyFont="1">
      <alignment horizontal="right" readingOrder="2" vertical="center"/>
    </xf>
    <xf borderId="140" fillId="5" fontId="2" numFmtId="0" xfId="0" applyAlignment="1" applyBorder="1" applyFont="1">
      <alignment horizontal="center" readingOrder="2" vertical="center"/>
    </xf>
    <xf borderId="63" fillId="5" fontId="1" numFmtId="0" xfId="0" applyAlignment="1" applyBorder="1" applyFont="1">
      <alignment horizontal="center" readingOrder="2" vertical="center"/>
    </xf>
    <xf borderId="64" fillId="5" fontId="1" numFmtId="0" xfId="0" applyAlignment="1" applyBorder="1" applyFont="1">
      <alignment horizontal="center" readingOrder="2" vertical="center"/>
    </xf>
    <xf borderId="33" fillId="7" fontId="2" numFmtId="0" xfId="0" applyAlignment="1" applyBorder="1" applyFont="1">
      <alignment horizontal="right" readingOrder="2" shrinkToFit="0" vertical="center" wrapText="0"/>
    </xf>
    <xf borderId="145" fillId="0" fontId="11" numFmtId="0" xfId="0" applyBorder="1" applyFont="1"/>
    <xf borderId="3" fillId="14" fontId="2" numFmtId="2" xfId="0" applyAlignment="1" applyBorder="1" applyFont="1" applyNumberFormat="1">
      <alignment horizontal="center" readingOrder="2" vertical="center"/>
    </xf>
    <xf borderId="17" fillId="14" fontId="2" numFmtId="2" xfId="0" applyAlignment="1" applyBorder="1" applyFont="1" applyNumberFormat="1">
      <alignment horizontal="center" readingOrder="0" vertical="center"/>
    </xf>
    <xf borderId="128" fillId="14" fontId="9" numFmtId="2" xfId="0" applyAlignment="1" applyBorder="1" applyFont="1" applyNumberFormat="1">
      <alignment horizontal="center"/>
    </xf>
    <xf borderId="139" fillId="5" fontId="9" numFmtId="0" xfId="0" applyAlignment="1" applyBorder="1" applyFont="1">
      <alignment horizontal="right" readingOrder="2"/>
    </xf>
    <xf borderId="140" fillId="5" fontId="9" numFmtId="2" xfId="0" applyAlignment="1" applyBorder="1" applyFont="1" applyNumberFormat="1">
      <alignment horizontal="center"/>
    </xf>
    <xf borderId="0" fillId="5" fontId="9" numFmtId="0" xfId="0" applyAlignment="1" applyFont="1">
      <alignment horizontal="right" readingOrder="2"/>
    </xf>
    <xf borderId="7" fillId="5" fontId="2" numFmtId="0" xfId="0" applyAlignment="1" applyBorder="1" applyFont="1">
      <alignment horizontal="right" readingOrder="2" shrinkToFit="0" vertical="center" wrapText="0"/>
    </xf>
    <xf borderId="11" fillId="5" fontId="2" numFmtId="0" xfId="0" applyAlignment="1" applyBorder="1" applyFont="1">
      <alignment horizontal="right" readingOrder="2" shrinkToFit="0" vertical="center" wrapText="0"/>
    </xf>
    <xf borderId="38" fillId="7" fontId="2" numFmtId="0" xfId="0" applyAlignment="1" applyBorder="1" applyFont="1">
      <alignment horizontal="right" readingOrder="2" shrinkToFit="0" vertical="center" wrapText="0"/>
    </xf>
    <xf borderId="146" fillId="0" fontId="11" numFmtId="0" xfId="0" applyBorder="1" applyFont="1"/>
    <xf borderId="2" fillId="5" fontId="2" numFmtId="2" xfId="0" applyAlignment="1" applyBorder="1" applyFont="1" applyNumberFormat="1">
      <alignment horizontal="center" readingOrder="0" vertical="center"/>
    </xf>
    <xf borderId="94" fillId="5" fontId="9" numFmtId="2" xfId="0" applyAlignment="1" applyBorder="1" applyFont="1" applyNumberFormat="1">
      <alignment horizontal="center"/>
    </xf>
    <xf borderId="2" fillId="3" fontId="2" numFmtId="2" xfId="0" applyAlignment="1" applyBorder="1" applyFont="1" applyNumberFormat="1">
      <alignment horizontal="center" readingOrder="0" vertical="center"/>
    </xf>
    <xf borderId="41" fillId="10" fontId="2" numFmtId="0" xfId="0" applyAlignment="1" applyBorder="1" applyFont="1">
      <alignment horizontal="center" readingOrder="2" vertical="center"/>
    </xf>
    <xf borderId="94" fillId="2" fontId="9" numFmtId="2" xfId="0" applyAlignment="1" applyBorder="1" applyFont="1" applyNumberFormat="1">
      <alignment horizontal="center"/>
    </xf>
    <xf borderId="7" fillId="9" fontId="2" numFmtId="0" xfId="0" applyAlignment="1" applyBorder="1" applyFont="1">
      <alignment horizontal="center" readingOrder="0" vertical="center"/>
    </xf>
    <xf borderId="11" fillId="3" fontId="2" numFmtId="2" xfId="0" applyAlignment="1" applyBorder="1" applyFont="1" applyNumberFormat="1">
      <alignment horizontal="center" readingOrder="2" vertical="center"/>
    </xf>
    <xf borderId="2" fillId="2" fontId="2" numFmtId="2" xfId="0" applyAlignment="1" applyBorder="1" applyFont="1" applyNumberFormat="1">
      <alignment horizontal="center" readingOrder="0" vertical="center"/>
    </xf>
    <xf borderId="7" fillId="9" fontId="2" numFmtId="0" xfId="0" applyAlignment="1" applyBorder="1" applyFont="1">
      <alignment horizontal="center" readingOrder="0" vertical="center"/>
    </xf>
    <xf borderId="38" fillId="2" fontId="2" numFmtId="0" xfId="0" applyAlignment="1" applyBorder="1" applyFont="1">
      <alignment horizontal="right" readingOrder="2" shrinkToFit="0" vertical="center" wrapText="0"/>
    </xf>
    <xf borderId="94" fillId="10" fontId="9" numFmtId="2" xfId="0" applyAlignment="1" applyBorder="1" applyFont="1" applyNumberFormat="1">
      <alignment horizontal="center"/>
    </xf>
    <xf borderId="0" fillId="5" fontId="9" numFmtId="0" xfId="0" applyAlignment="1" applyFont="1">
      <alignment horizontal="right" readingOrder="2"/>
    </xf>
    <xf borderId="11" fillId="10" fontId="2" numFmtId="2" xfId="0" applyAlignment="1" applyBorder="1" applyFont="1" applyNumberFormat="1">
      <alignment horizontal="center" readingOrder="2" vertical="center"/>
    </xf>
    <xf borderId="147" fillId="5" fontId="9" numFmtId="0" xfId="0" applyAlignment="1" applyBorder="1" applyFont="1">
      <alignment horizontal="right" readingOrder="2"/>
    </xf>
    <xf borderId="148" fillId="5" fontId="9" numFmtId="2" xfId="0" applyAlignment="1" applyBorder="1" applyFont="1" applyNumberFormat="1">
      <alignment horizontal="center"/>
    </xf>
    <xf borderId="119" fillId="5" fontId="9" numFmtId="0" xfId="0" applyAlignment="1" applyBorder="1" applyFont="1">
      <alignment horizontal="right" readingOrder="2"/>
    </xf>
    <xf borderId="18" fillId="5" fontId="2" numFmtId="0" xfId="0" applyAlignment="1" applyBorder="1" applyFont="1">
      <alignment horizontal="center" readingOrder="0" vertical="center"/>
    </xf>
    <xf borderId="11" fillId="5" fontId="2" numFmtId="0" xfId="0" applyAlignment="1" applyBorder="1" applyFont="1">
      <alignment horizontal="center" readingOrder="2" vertical="center"/>
    </xf>
    <xf borderId="43" fillId="5" fontId="2" numFmtId="0" xfId="0" applyAlignment="1" applyBorder="1" applyFont="1">
      <alignment horizontal="right" readingOrder="2" vertical="center"/>
    </xf>
    <xf borderId="2" fillId="10" fontId="2" numFmtId="2" xfId="0" applyAlignment="1" applyBorder="1" applyFont="1" applyNumberFormat="1">
      <alignment horizontal="center" readingOrder="0" vertical="center"/>
    </xf>
    <xf borderId="43" fillId="5" fontId="2" numFmtId="0" xfId="0" applyAlignment="1" applyBorder="1" applyFont="1">
      <alignment horizontal="right" readingOrder="2" vertical="center"/>
    </xf>
    <xf borderId="149" fillId="0" fontId="11" numFmtId="0" xfId="0" applyBorder="1" applyFont="1"/>
    <xf borderId="15" fillId="3" fontId="2" numFmtId="2" xfId="0" applyAlignment="1" applyBorder="1" applyFont="1" applyNumberFormat="1">
      <alignment horizontal="center" readingOrder="0" vertical="center"/>
    </xf>
    <xf borderId="130" fillId="5" fontId="2" numFmtId="0" xfId="0" applyAlignment="1" applyBorder="1" applyFont="1">
      <alignment horizontal="center" readingOrder="2" vertical="center"/>
    </xf>
    <xf borderId="6" fillId="5" fontId="2" numFmtId="165" xfId="0" applyAlignment="1" applyBorder="1" applyFont="1" applyNumberFormat="1">
      <alignment horizontal="right" readingOrder="2" vertical="center"/>
    </xf>
    <xf borderId="65" fillId="5" fontId="2" numFmtId="0" xfId="0" applyAlignment="1" applyBorder="1" applyFont="1">
      <alignment horizontal="center" readingOrder="2" vertical="center"/>
    </xf>
    <xf borderId="24" fillId="5" fontId="2" numFmtId="0" xfId="0" applyAlignment="1" applyBorder="1" applyFont="1">
      <alignment horizontal="right" readingOrder="2" vertical="center"/>
    </xf>
    <xf borderId="150" fillId="5" fontId="2" numFmtId="0" xfId="0" applyAlignment="1" applyBorder="1" applyFont="1">
      <alignment horizontal="right" readingOrder="2" vertical="center"/>
    </xf>
    <xf borderId="151" fillId="5" fontId="1" numFmtId="0" xfId="0" applyAlignment="1" applyBorder="1" applyFont="1">
      <alignment horizontal="center" readingOrder="2" vertical="center"/>
    </xf>
    <xf borderId="9" fillId="3" fontId="1" numFmtId="2" xfId="0" applyAlignment="1" applyBorder="1" applyFont="1" applyNumberFormat="1">
      <alignment horizontal="center" readingOrder="2" vertical="center"/>
    </xf>
    <xf borderId="9" fillId="2" fontId="1" numFmtId="0" xfId="0" applyAlignment="1" applyBorder="1" applyFont="1">
      <alignment horizontal="center" readingOrder="2" vertical="center"/>
    </xf>
    <xf borderId="9" fillId="2" fontId="2" numFmtId="0" xfId="0" applyAlignment="1" applyBorder="1" applyFont="1">
      <alignment horizontal="center" readingOrder="2" vertical="center"/>
    </xf>
    <xf borderId="150" fillId="5" fontId="2" numFmtId="0" xfId="0" applyAlignment="1" applyBorder="1" applyFont="1">
      <alignment horizontal="right" readingOrder="2" vertical="center"/>
    </xf>
    <xf borderId="152" fillId="5" fontId="2" numFmtId="0" xfId="0" applyAlignment="1" applyBorder="1" applyFont="1">
      <alignment horizontal="right" readingOrder="2" vertical="center"/>
    </xf>
    <xf borderId="11" fillId="5" fontId="1" numFmtId="0" xfId="0" applyAlignment="1" applyBorder="1" applyFont="1">
      <alignment horizontal="right" readingOrder="2" vertical="center"/>
    </xf>
    <xf borderId="2" fillId="2" fontId="1" numFmtId="2" xfId="0" applyAlignment="1" applyBorder="1" applyFont="1" applyNumberFormat="1">
      <alignment horizontal="center" readingOrder="2" vertical="center"/>
    </xf>
    <xf borderId="2" fillId="2" fontId="2" numFmtId="0" xfId="0" applyAlignment="1" applyBorder="1" applyFont="1">
      <alignment horizontal="center" readingOrder="2" vertical="center"/>
    </xf>
    <xf borderId="153" fillId="5" fontId="2" numFmtId="0" xfId="0" applyAlignment="1" applyBorder="1" applyFont="1">
      <alignment horizontal="right" readingOrder="2" vertical="center"/>
    </xf>
    <xf borderId="154" fillId="5" fontId="2" numFmtId="0" xfId="0" applyAlignment="1" applyBorder="1" applyFont="1">
      <alignment horizontal="right" readingOrder="2" vertical="center"/>
    </xf>
    <xf borderId="63" fillId="5" fontId="2" numFmtId="0" xfId="0" applyAlignment="1" applyBorder="1" applyFont="1">
      <alignment horizontal="center" readingOrder="2" vertical="center"/>
    </xf>
    <xf borderId="2" fillId="7" fontId="1" numFmtId="2" xfId="0" applyAlignment="1" applyBorder="1" applyFont="1" applyNumberFormat="1">
      <alignment horizontal="center" readingOrder="2" vertical="center"/>
    </xf>
    <xf borderId="2" fillId="3" fontId="1" numFmtId="2" xfId="0" applyAlignment="1" applyBorder="1" applyFont="1" applyNumberFormat="1">
      <alignment horizontal="center" readingOrder="2" vertical="center"/>
    </xf>
    <xf borderId="2" fillId="7" fontId="1" numFmtId="0" xfId="0" applyAlignment="1" applyBorder="1" applyFont="1">
      <alignment horizontal="center" readingOrder="2" vertical="center"/>
    </xf>
    <xf borderId="2" fillId="9" fontId="2" numFmtId="0" xfId="0" applyAlignment="1" applyBorder="1" applyFont="1">
      <alignment horizontal="center" readingOrder="2" vertical="center"/>
    </xf>
    <xf borderId="155" fillId="5" fontId="2" numFmtId="0" xfId="0" applyAlignment="1" applyBorder="1" applyFont="1">
      <alignment horizontal="right" readingOrder="2" vertical="center"/>
    </xf>
    <xf borderId="156" fillId="5" fontId="2" numFmtId="0" xfId="0" applyAlignment="1" applyBorder="1" applyFont="1">
      <alignment horizontal="right" readingOrder="2" vertical="center"/>
    </xf>
    <xf borderId="15" fillId="10" fontId="1" numFmtId="0" xfId="0" applyAlignment="1" applyBorder="1" applyFont="1">
      <alignment horizontal="center" readingOrder="2" vertical="center"/>
    </xf>
    <xf borderId="15" fillId="9" fontId="2" numFmtId="0" xfId="0" applyAlignment="1" applyBorder="1" applyFont="1">
      <alignment horizontal="center" readingOrder="2" vertical="center"/>
    </xf>
    <xf borderId="157" fillId="5" fontId="2" numFmtId="0" xfId="0" applyAlignment="1" applyBorder="1" applyFont="1">
      <alignment horizontal="right" readingOrder="2" vertical="center"/>
    </xf>
    <xf borderId="158" fillId="5" fontId="2" numFmtId="0" xfId="0" applyAlignment="1" applyBorder="1" applyFont="1">
      <alignment horizontal="right" readingOrder="2" vertical="center"/>
    </xf>
    <xf borderId="159" fillId="5" fontId="9" numFmtId="0" xfId="0" applyBorder="1" applyFont="1"/>
    <xf borderId="160" fillId="5" fontId="1" numFmtId="0" xfId="0" applyAlignment="1" applyBorder="1" applyFont="1">
      <alignment horizontal="right" readingOrder="2" vertical="center"/>
    </xf>
    <xf borderId="160" fillId="5" fontId="1" numFmtId="2" xfId="0" applyAlignment="1" applyBorder="1" applyFont="1" applyNumberFormat="1">
      <alignment horizontal="center" readingOrder="2" vertical="center"/>
    </xf>
    <xf borderId="160" fillId="5" fontId="2" numFmtId="0" xfId="0" applyAlignment="1" applyBorder="1" applyFont="1">
      <alignment horizontal="center" readingOrder="2" vertical="center"/>
    </xf>
    <xf borderId="161" fillId="5" fontId="2" numFmtId="0" xfId="0" applyAlignment="1" applyBorder="1" applyFont="1">
      <alignment horizontal="right" readingOrder="2" vertical="center"/>
    </xf>
    <xf borderId="0" fillId="5" fontId="9" numFmtId="0" xfId="0" applyFont="1"/>
    <xf borderId="65" fillId="7" fontId="2" numFmtId="0" xfId="0" applyAlignment="1" applyBorder="1" applyFont="1">
      <alignment horizontal="center" readingOrder="2" vertical="center"/>
    </xf>
    <xf borderId="139" fillId="5" fontId="9" numFmtId="0" xfId="0" applyBorder="1" applyFont="1"/>
    <xf borderId="162" fillId="5" fontId="1" numFmtId="0" xfId="0" applyAlignment="1" applyBorder="1" applyFont="1">
      <alignment horizontal="right" readingOrder="2" vertical="center"/>
    </xf>
    <xf borderId="162" fillId="5" fontId="1" numFmtId="2" xfId="0" applyAlignment="1" applyBorder="1" applyFont="1" applyNumberFormat="1">
      <alignment horizontal="center" readingOrder="2" vertical="center"/>
    </xf>
    <xf borderId="162" fillId="5" fontId="2" numFmtId="0" xfId="0" applyAlignment="1" applyBorder="1" applyFont="1">
      <alignment horizontal="center" readingOrder="2" vertical="center"/>
    </xf>
    <xf borderId="140" fillId="5" fontId="2" numFmtId="0" xfId="0" applyAlignment="1" applyBorder="1" applyFont="1">
      <alignment horizontal="right" readingOrder="2" vertical="center"/>
    </xf>
    <xf borderId="0" fillId="7" fontId="2" numFmtId="0" xfId="0" applyAlignment="1" applyFont="1">
      <alignment horizontal="center" readingOrder="2" vertical="center"/>
    </xf>
    <xf borderId="163" fillId="5" fontId="9" numFmtId="0" xfId="0" applyBorder="1" applyFont="1"/>
    <xf borderId="164" fillId="5" fontId="1" numFmtId="0" xfId="0" applyAlignment="1" applyBorder="1" applyFont="1">
      <alignment horizontal="right" readingOrder="2" vertical="center"/>
    </xf>
    <xf borderId="164" fillId="5" fontId="1" numFmtId="2" xfId="0" applyAlignment="1" applyBorder="1" applyFont="1" applyNumberFormat="1">
      <alignment horizontal="center" readingOrder="2" vertical="center"/>
    </xf>
    <xf borderId="164" fillId="5" fontId="2" numFmtId="0" xfId="0" applyAlignment="1" applyBorder="1" applyFont="1">
      <alignment horizontal="center" readingOrder="2" vertical="center"/>
    </xf>
    <xf borderId="165" fillId="5" fontId="2" numFmtId="0" xfId="0" applyAlignment="1" applyBorder="1" applyFont="1">
      <alignment horizontal="right" readingOrder="2" vertical="center"/>
    </xf>
    <xf borderId="0" fillId="5" fontId="2" numFmtId="0" xfId="0" applyAlignment="1" applyFont="1">
      <alignment horizontal="right" readingOrder="2" vertical="center"/>
    </xf>
  </cellXfs>
  <cellStyles count="1">
    <cellStyle xfId="0" name="Normal" builtinId="0"/>
  </cellStyles>
  <dxfs count="6">
    <dxf>
      <font/>
      <fill>
        <patternFill patternType="solid">
          <fgColor rgb="FFF4CCCC"/>
          <bgColor rgb="FFF4CCCC"/>
        </patternFill>
      </fill>
      <border/>
    </dxf>
    <dxf>
      <font/>
      <fill>
        <patternFill patternType="solid">
          <fgColor rgb="FFD9EAD3"/>
          <bgColor rgb="FFD9EAD3"/>
        </patternFill>
      </fill>
      <border/>
    </dxf>
    <dxf>
      <font/>
      <fill>
        <patternFill patternType="solid">
          <fgColor rgb="FF40AA78"/>
          <bgColor rgb="FF40AA78"/>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733425</xdr:colOff>
      <xdr:row>32</xdr:row>
      <xdr:rowOff>171450</xdr:rowOff>
    </xdr:from>
    <xdr:ext cx="4476750" cy="190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28</xdr:row>
      <xdr:rowOff>180975</xdr:rowOff>
    </xdr:from>
    <xdr:ext cx="4476750" cy="190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209550</xdr:colOff>
      <xdr:row>32</xdr:row>
      <xdr:rowOff>66675</xdr:rowOff>
    </xdr:from>
    <xdr:ext cx="4448175" cy="190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733425</xdr:colOff>
      <xdr:row>33</xdr:row>
      <xdr:rowOff>171450</xdr:rowOff>
    </xdr:from>
    <xdr:ext cx="4476750" cy="1905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تغريد الحربي" id="{c13ea0b8-822b-4dff-915d-23fad24423f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1" dT="2025-05-06T16:57:33.00" personId="{c13ea0b8-822b-4dff-915d-23fad24423fa}" id="{3bca7f1e-7f5b-493d-be6b-8653602dfadd}" done="0">
    <x18tc:text xml:space="preserve">اشوف نحذفه، كلهم ثنين.</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rightToLeft="1"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hidden="1" min="1" max="3" width="12.63"/>
    <col customWidth="1" min="4" max="4" width="14.0"/>
    <col customWidth="1" min="5" max="5" width="14.75"/>
    <col customWidth="1" min="27" max="27" width="46.13"/>
    <col hidden="1" min="28" max="31" width="12.63"/>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4"/>
      <c r="AE1" s="4"/>
      <c r="AF1" s="5" t="s">
        <v>29</v>
      </c>
      <c r="AG1" s="5"/>
    </row>
    <row r="2">
      <c r="A2" s="6" t="s">
        <v>30</v>
      </c>
      <c r="B2" s="6" t="s">
        <v>31</v>
      </c>
      <c r="C2" s="7">
        <v>45741.791180555556</v>
      </c>
      <c r="D2" s="8" t="s">
        <v>32</v>
      </c>
      <c r="E2" s="9" t="s">
        <v>33</v>
      </c>
      <c r="F2" s="10">
        <v>4.0</v>
      </c>
      <c r="G2" s="10">
        <v>7.0</v>
      </c>
      <c r="H2" s="10">
        <v>9.0</v>
      </c>
      <c r="I2" s="10">
        <v>6.0</v>
      </c>
      <c r="J2" s="9" t="s">
        <v>34</v>
      </c>
      <c r="K2" s="10">
        <v>4.0</v>
      </c>
      <c r="L2" s="10">
        <v>4.0</v>
      </c>
      <c r="M2" s="10">
        <v>9.0</v>
      </c>
      <c r="N2" s="10">
        <v>8.0</v>
      </c>
      <c r="O2" s="9" t="s">
        <v>35</v>
      </c>
      <c r="P2" s="10">
        <v>6.0</v>
      </c>
      <c r="Q2" s="10">
        <v>4.0</v>
      </c>
      <c r="R2" s="10">
        <v>3.0</v>
      </c>
      <c r="S2" s="10">
        <v>3.0</v>
      </c>
      <c r="T2" s="9" t="s">
        <v>36</v>
      </c>
      <c r="U2" s="10">
        <v>3.0</v>
      </c>
      <c r="V2" s="10">
        <v>7.0</v>
      </c>
      <c r="W2" s="10">
        <v>7.0</v>
      </c>
      <c r="X2" s="10">
        <v>9.0</v>
      </c>
      <c r="Y2" s="9" t="s">
        <v>37</v>
      </c>
      <c r="Z2" s="9"/>
      <c r="AA2" s="11" t="s">
        <v>38</v>
      </c>
      <c r="AB2" s="9" t="s">
        <v>39</v>
      </c>
      <c r="AC2" s="10" t="b">
        <v>1</v>
      </c>
      <c r="AD2" s="12"/>
      <c r="AE2" s="12"/>
      <c r="AF2" s="13">
        <f t="shared" ref="AF2:AF80" si="1">AVERAGE(U2:X2,P2:S2,K2:N2,F2:I2)</f>
        <v>5.8125</v>
      </c>
      <c r="AG2" s="13"/>
    </row>
    <row r="3">
      <c r="A3" s="6" t="s">
        <v>40</v>
      </c>
      <c r="B3" s="10" t="s">
        <v>41</v>
      </c>
      <c r="C3" s="10">
        <v>45769.48502314815</v>
      </c>
      <c r="D3" s="14" t="s">
        <v>42</v>
      </c>
      <c r="E3" s="10" t="s">
        <v>33</v>
      </c>
      <c r="F3" s="10">
        <v>8.0</v>
      </c>
      <c r="G3" s="10">
        <v>7.0</v>
      </c>
      <c r="H3" s="10">
        <v>10.0</v>
      </c>
      <c r="I3" s="10">
        <v>6.0</v>
      </c>
      <c r="J3" s="9" t="s">
        <v>43</v>
      </c>
      <c r="K3" s="10">
        <v>7.0</v>
      </c>
      <c r="L3" s="10">
        <v>6.0</v>
      </c>
      <c r="M3" s="10">
        <v>10.0</v>
      </c>
      <c r="N3" s="10">
        <v>9.0</v>
      </c>
      <c r="O3" s="10" t="s">
        <v>44</v>
      </c>
      <c r="P3" s="10">
        <v>8.0</v>
      </c>
      <c r="Q3" s="10">
        <v>8.0</v>
      </c>
      <c r="R3" s="10">
        <v>6.0</v>
      </c>
      <c r="S3" s="10">
        <v>10.0</v>
      </c>
      <c r="T3" s="9" t="s">
        <v>45</v>
      </c>
      <c r="U3" s="10">
        <v>3.0</v>
      </c>
      <c r="V3" s="10">
        <v>7.0</v>
      </c>
      <c r="W3" s="10">
        <v>7.0</v>
      </c>
      <c r="X3" s="10">
        <v>10.0</v>
      </c>
      <c r="Y3" s="10" t="s">
        <v>46</v>
      </c>
      <c r="Z3" s="10"/>
      <c r="AA3" s="15"/>
      <c r="AB3" s="10" t="s">
        <v>39</v>
      </c>
      <c r="AC3" s="10" t="b">
        <v>1</v>
      </c>
      <c r="AD3" s="10"/>
      <c r="AE3" s="10"/>
      <c r="AF3" s="13">
        <f t="shared" si="1"/>
        <v>7.625</v>
      </c>
      <c r="AG3" s="13"/>
    </row>
    <row r="4">
      <c r="A4" s="6" t="s">
        <v>47</v>
      </c>
      <c r="B4" s="16" t="s">
        <v>48</v>
      </c>
      <c r="C4" s="17">
        <v>45777.412210648145</v>
      </c>
      <c r="D4" s="8" t="s">
        <v>49</v>
      </c>
      <c r="E4" s="9" t="s">
        <v>33</v>
      </c>
      <c r="F4" s="10">
        <v>7.0</v>
      </c>
      <c r="G4" s="10">
        <v>8.0</v>
      </c>
      <c r="H4" s="9">
        <v>10.0</v>
      </c>
      <c r="I4" s="10">
        <v>7.0</v>
      </c>
      <c r="J4" s="9" t="s">
        <v>50</v>
      </c>
      <c r="K4" s="10">
        <v>8.0</v>
      </c>
      <c r="L4" s="10">
        <v>6.0</v>
      </c>
      <c r="M4" s="9">
        <v>9.0</v>
      </c>
      <c r="N4" s="10">
        <v>8.0</v>
      </c>
      <c r="O4" s="9" t="s">
        <v>51</v>
      </c>
      <c r="P4" s="9">
        <v>9.0</v>
      </c>
      <c r="Q4" s="9">
        <v>9.0</v>
      </c>
      <c r="R4" s="10">
        <v>7.0</v>
      </c>
      <c r="S4" s="10">
        <v>8.0</v>
      </c>
      <c r="T4" s="9" t="s">
        <v>52</v>
      </c>
      <c r="U4" s="10">
        <v>7.0</v>
      </c>
      <c r="V4" s="9">
        <v>6.0</v>
      </c>
      <c r="W4" s="9">
        <v>9.0</v>
      </c>
      <c r="X4" s="9">
        <v>10.0</v>
      </c>
      <c r="Y4" s="9" t="s">
        <v>53</v>
      </c>
      <c r="Z4" s="9" t="s">
        <v>54</v>
      </c>
      <c r="AA4" s="11"/>
      <c r="AB4" s="9" t="s">
        <v>39</v>
      </c>
      <c r="AC4" s="9" t="b">
        <v>1</v>
      </c>
      <c r="AD4" s="9"/>
      <c r="AE4" s="9"/>
      <c r="AF4" s="13">
        <f t="shared" si="1"/>
        <v>8</v>
      </c>
      <c r="AG4" s="13"/>
    </row>
    <row r="5">
      <c r="A5" s="6" t="s">
        <v>55</v>
      </c>
      <c r="B5" s="16" t="s">
        <v>56</v>
      </c>
      <c r="C5" s="17">
        <v>45777.581655092596</v>
      </c>
      <c r="D5" s="8" t="s">
        <v>57</v>
      </c>
      <c r="E5" s="9" t="s">
        <v>33</v>
      </c>
      <c r="F5" s="9">
        <v>8.0</v>
      </c>
      <c r="G5" s="9">
        <v>7.0</v>
      </c>
      <c r="H5" s="9">
        <v>8.0</v>
      </c>
      <c r="I5" s="9">
        <v>6.0</v>
      </c>
      <c r="J5" s="9" t="s">
        <v>58</v>
      </c>
      <c r="K5" s="9">
        <v>6.0</v>
      </c>
      <c r="L5" s="10">
        <v>7.0</v>
      </c>
      <c r="M5" s="10">
        <v>10.0</v>
      </c>
      <c r="N5" s="10">
        <v>9.0</v>
      </c>
      <c r="O5" s="9" t="s">
        <v>59</v>
      </c>
      <c r="P5" s="9">
        <v>7.0</v>
      </c>
      <c r="Q5" s="9">
        <v>7.0</v>
      </c>
      <c r="R5" s="9">
        <v>7.0</v>
      </c>
      <c r="S5" s="9">
        <v>7.0</v>
      </c>
      <c r="T5" s="9" t="s">
        <v>60</v>
      </c>
      <c r="U5" s="9">
        <v>5.0</v>
      </c>
      <c r="V5" s="10">
        <v>5.0</v>
      </c>
      <c r="W5" s="9">
        <v>8.0</v>
      </c>
      <c r="X5" s="9">
        <v>10.0</v>
      </c>
      <c r="Y5" s="9" t="s">
        <v>61</v>
      </c>
      <c r="Z5" s="9"/>
      <c r="AA5" s="11"/>
      <c r="AB5" s="9" t="s">
        <v>39</v>
      </c>
      <c r="AC5" s="9" t="b">
        <v>1</v>
      </c>
      <c r="AD5" s="9"/>
      <c r="AE5" s="9"/>
      <c r="AF5" s="13">
        <f t="shared" si="1"/>
        <v>7.3125</v>
      </c>
      <c r="AG5" s="13"/>
    </row>
    <row r="6">
      <c r="A6" s="6" t="s">
        <v>62</v>
      </c>
      <c r="B6" s="6" t="s">
        <v>63</v>
      </c>
      <c r="C6" s="7">
        <v>45736.79913194444</v>
      </c>
      <c r="D6" s="8" t="s">
        <v>64</v>
      </c>
      <c r="E6" s="9" t="s">
        <v>42</v>
      </c>
      <c r="F6" s="10">
        <v>7.0</v>
      </c>
      <c r="G6" s="10">
        <v>9.0</v>
      </c>
      <c r="H6" s="10">
        <v>8.0</v>
      </c>
      <c r="I6" s="10">
        <v>8.0</v>
      </c>
      <c r="J6" s="9" t="s">
        <v>65</v>
      </c>
      <c r="K6" s="10">
        <v>9.0</v>
      </c>
      <c r="L6" s="10">
        <v>9.0</v>
      </c>
      <c r="M6" s="10">
        <v>7.0</v>
      </c>
      <c r="N6" s="10">
        <v>7.0</v>
      </c>
      <c r="O6" s="9" t="s">
        <v>65</v>
      </c>
      <c r="P6" s="10">
        <v>7.0</v>
      </c>
      <c r="Q6" s="10">
        <v>8.0</v>
      </c>
      <c r="R6" s="10">
        <v>7.0</v>
      </c>
      <c r="S6" s="10">
        <v>6.0</v>
      </c>
      <c r="T6" s="9" t="s">
        <v>65</v>
      </c>
      <c r="U6" s="10">
        <v>7.0</v>
      </c>
      <c r="V6" s="10">
        <v>7.0</v>
      </c>
      <c r="W6" s="10">
        <v>6.0</v>
      </c>
      <c r="X6" s="10">
        <v>10.0</v>
      </c>
      <c r="Y6" s="9" t="s">
        <v>65</v>
      </c>
      <c r="Z6" s="9" t="s">
        <v>66</v>
      </c>
      <c r="AA6" s="11" t="s">
        <v>65</v>
      </c>
      <c r="AB6" s="9" t="s">
        <v>39</v>
      </c>
      <c r="AC6" s="10" t="b">
        <v>1</v>
      </c>
      <c r="AD6" s="12"/>
      <c r="AE6" s="12"/>
      <c r="AF6" s="13">
        <f t="shared" si="1"/>
        <v>7.625</v>
      </c>
      <c r="AG6" s="13"/>
    </row>
    <row r="7">
      <c r="A7" s="6" t="s">
        <v>67</v>
      </c>
      <c r="B7" s="6" t="s">
        <v>68</v>
      </c>
      <c r="C7" s="7">
        <v>45741.79351851852</v>
      </c>
      <c r="D7" s="8" t="s">
        <v>69</v>
      </c>
      <c r="E7" s="9" t="s">
        <v>42</v>
      </c>
      <c r="F7" s="10">
        <v>8.0</v>
      </c>
      <c r="G7" s="10">
        <v>5.0</v>
      </c>
      <c r="H7" s="10">
        <v>8.0</v>
      </c>
      <c r="I7" s="10">
        <v>8.0</v>
      </c>
      <c r="J7" s="9" t="s">
        <v>70</v>
      </c>
      <c r="K7" s="10">
        <v>10.0</v>
      </c>
      <c r="L7" s="10">
        <v>10.0</v>
      </c>
      <c r="M7" s="10">
        <v>10.0</v>
      </c>
      <c r="N7" s="10">
        <v>10.0</v>
      </c>
      <c r="O7" s="9" t="s">
        <v>38</v>
      </c>
      <c r="P7" s="10">
        <v>6.0</v>
      </c>
      <c r="Q7" s="10">
        <v>10.0</v>
      </c>
      <c r="R7" s="10">
        <v>7.0</v>
      </c>
      <c r="S7" s="10">
        <v>10.0</v>
      </c>
      <c r="T7" s="9" t="s">
        <v>70</v>
      </c>
      <c r="U7" s="10">
        <v>6.0</v>
      </c>
      <c r="V7" s="10">
        <v>6.0</v>
      </c>
      <c r="W7" s="10">
        <v>4.0</v>
      </c>
      <c r="X7" s="10">
        <v>10.0</v>
      </c>
      <c r="Y7" s="9" t="s">
        <v>70</v>
      </c>
      <c r="Z7" s="9" t="s">
        <v>71</v>
      </c>
      <c r="AA7" s="11" t="s">
        <v>72</v>
      </c>
      <c r="AB7" s="9" t="s">
        <v>39</v>
      </c>
      <c r="AC7" s="10" t="b">
        <v>1</v>
      </c>
      <c r="AD7" s="12"/>
      <c r="AE7" s="12"/>
      <c r="AF7" s="13">
        <f t="shared" si="1"/>
        <v>8</v>
      </c>
      <c r="AG7" s="13"/>
    </row>
    <row r="8">
      <c r="A8" s="6" t="s">
        <v>73</v>
      </c>
      <c r="B8" s="6" t="s">
        <v>74</v>
      </c>
      <c r="C8" s="7">
        <v>45755.59310185185</v>
      </c>
      <c r="D8" s="8" t="s">
        <v>64</v>
      </c>
      <c r="E8" s="9" t="s">
        <v>42</v>
      </c>
      <c r="F8" s="10">
        <v>8.0</v>
      </c>
      <c r="G8" s="10">
        <v>8.0</v>
      </c>
      <c r="H8" s="10">
        <v>9.0</v>
      </c>
      <c r="I8" s="10">
        <v>7.0</v>
      </c>
      <c r="J8" s="9" t="s">
        <v>75</v>
      </c>
      <c r="K8" s="10">
        <v>7.0</v>
      </c>
      <c r="L8" s="10">
        <v>9.0</v>
      </c>
      <c r="M8" s="10">
        <v>8.0</v>
      </c>
      <c r="N8" s="10">
        <v>7.0</v>
      </c>
      <c r="O8" s="9" t="s">
        <v>76</v>
      </c>
      <c r="P8" s="10">
        <v>8.0</v>
      </c>
      <c r="Q8" s="10">
        <v>10.0</v>
      </c>
      <c r="R8" s="10">
        <v>9.0</v>
      </c>
      <c r="S8" s="10">
        <v>6.0</v>
      </c>
      <c r="T8" s="10" t="s">
        <v>77</v>
      </c>
      <c r="U8" s="10">
        <v>7.0</v>
      </c>
      <c r="V8" s="10">
        <v>8.0</v>
      </c>
      <c r="W8" s="12"/>
      <c r="X8" s="10">
        <v>10.0</v>
      </c>
      <c r="Y8" s="9" t="s">
        <v>78</v>
      </c>
      <c r="Z8" s="9" t="s">
        <v>79</v>
      </c>
      <c r="AA8" s="11" t="s">
        <v>80</v>
      </c>
      <c r="AB8" s="9" t="s">
        <v>39</v>
      </c>
      <c r="AC8" s="10" t="b">
        <v>1</v>
      </c>
      <c r="AD8" s="12"/>
      <c r="AE8" s="12"/>
      <c r="AF8" s="13">
        <f t="shared" si="1"/>
        <v>8.066666667</v>
      </c>
      <c r="AG8" s="13"/>
    </row>
    <row r="9">
      <c r="A9" s="6" t="s">
        <v>81</v>
      </c>
      <c r="B9" s="6" t="s">
        <v>82</v>
      </c>
      <c r="C9" s="7">
        <v>45762.657534722224</v>
      </c>
      <c r="D9" s="8" t="s">
        <v>83</v>
      </c>
      <c r="E9" s="9" t="s">
        <v>42</v>
      </c>
      <c r="F9" s="14">
        <f t="shared" ref="F9:I9" si="2">AVERAGE(F10:F14)</f>
        <v>7</v>
      </c>
      <c r="G9" s="14">
        <f t="shared" si="2"/>
        <v>6.4</v>
      </c>
      <c r="H9" s="14">
        <f t="shared" si="2"/>
        <v>9</v>
      </c>
      <c r="I9" s="14">
        <f t="shared" si="2"/>
        <v>7.4</v>
      </c>
      <c r="J9" s="9" t="s">
        <v>84</v>
      </c>
      <c r="K9" s="14">
        <f t="shared" ref="K9:N9" si="3">AVERAGE(K10:K14)</f>
        <v>9.2</v>
      </c>
      <c r="L9" s="14">
        <f t="shared" si="3"/>
        <v>9.6</v>
      </c>
      <c r="M9" s="14">
        <f t="shared" si="3"/>
        <v>9.2</v>
      </c>
      <c r="N9" s="14">
        <f t="shared" si="3"/>
        <v>8.6</v>
      </c>
      <c r="O9" s="9" t="s">
        <v>85</v>
      </c>
      <c r="P9" s="14">
        <f t="shared" ref="P9:S9" si="4">AVERAGE(P10:P14)</f>
        <v>6.2</v>
      </c>
      <c r="Q9" s="14">
        <f t="shared" si="4"/>
        <v>6.6</v>
      </c>
      <c r="R9" s="14">
        <f t="shared" si="4"/>
        <v>7.4</v>
      </c>
      <c r="S9" s="14">
        <f t="shared" si="4"/>
        <v>7</v>
      </c>
      <c r="T9" s="9" t="s">
        <v>86</v>
      </c>
      <c r="U9" s="14">
        <f t="shared" ref="U9:X9" si="5">AVERAGE(U10:U14)</f>
        <v>6.4</v>
      </c>
      <c r="V9" s="14">
        <f t="shared" si="5"/>
        <v>7</v>
      </c>
      <c r="W9" s="14">
        <f t="shared" si="5"/>
        <v>7</v>
      </c>
      <c r="X9" s="14">
        <f t="shared" si="5"/>
        <v>9.8</v>
      </c>
      <c r="Y9" s="9" t="s">
        <v>87</v>
      </c>
      <c r="Z9" s="9" t="s">
        <v>88</v>
      </c>
      <c r="AA9" s="18"/>
      <c r="AB9" s="9" t="s">
        <v>39</v>
      </c>
      <c r="AC9" s="10" t="b">
        <v>1</v>
      </c>
      <c r="AD9" s="12"/>
      <c r="AE9" s="12"/>
      <c r="AF9" s="13">
        <f t="shared" si="1"/>
        <v>7.7375</v>
      </c>
      <c r="AG9" s="13"/>
    </row>
    <row r="10">
      <c r="A10" s="6" t="s">
        <v>89</v>
      </c>
      <c r="B10" s="6" t="s">
        <v>90</v>
      </c>
      <c r="C10" s="7">
        <v>45742.74990740741</v>
      </c>
      <c r="D10" s="8" t="s">
        <v>91</v>
      </c>
      <c r="E10" s="9" t="s">
        <v>42</v>
      </c>
      <c r="F10" s="10">
        <v>5.0</v>
      </c>
      <c r="G10" s="10">
        <v>5.0</v>
      </c>
      <c r="H10" s="10">
        <v>10.0</v>
      </c>
      <c r="I10" s="10">
        <v>10.0</v>
      </c>
      <c r="J10" s="9" t="s">
        <v>92</v>
      </c>
      <c r="K10" s="10">
        <v>10.0</v>
      </c>
      <c r="L10" s="10">
        <v>10.0</v>
      </c>
      <c r="M10" s="10">
        <v>10.0</v>
      </c>
      <c r="N10" s="10">
        <v>10.0</v>
      </c>
      <c r="O10" s="9" t="s">
        <v>93</v>
      </c>
      <c r="P10" s="10">
        <v>8.0</v>
      </c>
      <c r="Q10" s="10">
        <v>5.0</v>
      </c>
      <c r="R10" s="10">
        <v>10.0</v>
      </c>
      <c r="S10" s="10">
        <v>10.0</v>
      </c>
      <c r="T10" s="9" t="s">
        <v>94</v>
      </c>
      <c r="U10" s="10">
        <v>6.0</v>
      </c>
      <c r="V10" s="10">
        <v>7.0</v>
      </c>
      <c r="W10" s="10">
        <v>10.0</v>
      </c>
      <c r="X10" s="10">
        <v>10.0</v>
      </c>
      <c r="Y10" s="9" t="s">
        <v>95</v>
      </c>
      <c r="Z10" s="9" t="s">
        <v>96</v>
      </c>
      <c r="AA10" s="11" t="s">
        <v>97</v>
      </c>
      <c r="AB10" s="9" t="s">
        <v>39</v>
      </c>
      <c r="AC10" s="10" t="b">
        <v>1</v>
      </c>
      <c r="AD10" s="12"/>
      <c r="AE10" s="12"/>
      <c r="AF10" s="13">
        <f t="shared" si="1"/>
        <v>8.5</v>
      </c>
      <c r="AG10" s="13"/>
    </row>
    <row r="11">
      <c r="A11" s="6" t="s">
        <v>98</v>
      </c>
      <c r="B11" s="6" t="s">
        <v>99</v>
      </c>
      <c r="C11" s="7">
        <v>45753.4209375</v>
      </c>
      <c r="D11" s="8" t="s">
        <v>100</v>
      </c>
      <c r="E11" s="9" t="s">
        <v>42</v>
      </c>
      <c r="F11" s="10">
        <v>7.0</v>
      </c>
      <c r="G11" s="10">
        <v>8.0</v>
      </c>
      <c r="H11" s="10">
        <v>10.0</v>
      </c>
      <c r="I11" s="10">
        <v>8.0</v>
      </c>
      <c r="J11" s="9" t="s">
        <v>101</v>
      </c>
      <c r="K11" s="10">
        <v>10.0</v>
      </c>
      <c r="L11" s="10">
        <v>10.0</v>
      </c>
      <c r="M11" s="10">
        <v>10.0</v>
      </c>
      <c r="N11" s="10">
        <v>10.0</v>
      </c>
      <c r="O11" s="9" t="s">
        <v>102</v>
      </c>
      <c r="P11" s="10">
        <v>7.0</v>
      </c>
      <c r="Q11" s="10">
        <v>10.0</v>
      </c>
      <c r="R11" s="10">
        <v>10.0</v>
      </c>
      <c r="S11" s="10">
        <v>10.0</v>
      </c>
      <c r="T11" s="9" t="s">
        <v>103</v>
      </c>
      <c r="U11" s="10">
        <v>7.0</v>
      </c>
      <c r="V11" s="10">
        <v>9.0</v>
      </c>
      <c r="W11" s="10">
        <v>9.0</v>
      </c>
      <c r="X11" s="10">
        <v>10.0</v>
      </c>
      <c r="Y11" s="9" t="s">
        <v>104</v>
      </c>
      <c r="Z11" s="9" t="s">
        <v>105</v>
      </c>
      <c r="AA11" s="18"/>
      <c r="AB11" s="9" t="s">
        <v>39</v>
      </c>
      <c r="AC11" s="10" t="b">
        <v>1</v>
      </c>
      <c r="AD11" s="12"/>
      <c r="AE11" s="12"/>
      <c r="AF11" s="13">
        <f t="shared" si="1"/>
        <v>9.0625</v>
      </c>
      <c r="AG11" s="13"/>
    </row>
    <row r="12">
      <c r="A12" s="6" t="s">
        <v>106</v>
      </c>
      <c r="B12" s="6" t="s">
        <v>107</v>
      </c>
      <c r="C12" s="7">
        <v>45740.504282407404</v>
      </c>
      <c r="D12" s="8" t="s">
        <v>108</v>
      </c>
      <c r="E12" s="9" t="s">
        <v>109</v>
      </c>
      <c r="F12" s="10">
        <v>8.0</v>
      </c>
      <c r="G12" s="10">
        <v>5.0</v>
      </c>
      <c r="H12" s="10">
        <v>8.0</v>
      </c>
      <c r="I12" s="10">
        <v>6.0</v>
      </c>
      <c r="J12" s="10" t="s">
        <v>110</v>
      </c>
      <c r="K12" s="10">
        <v>8.0</v>
      </c>
      <c r="L12" s="10">
        <v>10.0</v>
      </c>
      <c r="M12" s="10">
        <v>8.0</v>
      </c>
      <c r="N12" s="10">
        <v>8.0</v>
      </c>
      <c r="O12" s="10" t="s">
        <v>110</v>
      </c>
      <c r="P12" s="10">
        <v>5.0</v>
      </c>
      <c r="Q12" s="10">
        <v>3.0</v>
      </c>
      <c r="R12" s="10">
        <v>3.0</v>
      </c>
      <c r="S12" s="10">
        <v>3.0</v>
      </c>
      <c r="T12" s="10" t="s">
        <v>110</v>
      </c>
      <c r="U12" s="10">
        <v>8.0</v>
      </c>
      <c r="V12" s="10">
        <v>3.0</v>
      </c>
      <c r="W12" s="10">
        <v>3.0</v>
      </c>
      <c r="X12" s="10">
        <v>10.0</v>
      </c>
      <c r="Y12" s="10" t="s">
        <v>110</v>
      </c>
      <c r="Z12" s="12"/>
      <c r="AA12" s="18"/>
      <c r="AB12" s="9" t="s">
        <v>39</v>
      </c>
      <c r="AC12" s="10" t="b">
        <v>1</v>
      </c>
      <c r="AD12" s="12"/>
      <c r="AE12" s="12"/>
      <c r="AF12" s="13">
        <f t="shared" si="1"/>
        <v>6.1875</v>
      </c>
      <c r="AG12" s="13"/>
    </row>
    <row r="13">
      <c r="A13" s="6" t="s">
        <v>111</v>
      </c>
      <c r="B13" s="10" t="s">
        <v>112</v>
      </c>
      <c r="C13" s="10">
        <v>45769.491006944445</v>
      </c>
      <c r="D13" s="14" t="s">
        <v>113</v>
      </c>
      <c r="E13" s="10" t="s">
        <v>109</v>
      </c>
      <c r="F13" s="10">
        <v>7.0</v>
      </c>
      <c r="G13" s="10">
        <v>7.0</v>
      </c>
      <c r="H13" s="10">
        <v>8.0</v>
      </c>
      <c r="I13" s="10">
        <v>5.0</v>
      </c>
      <c r="J13" s="9" t="s">
        <v>114</v>
      </c>
      <c r="K13" s="10">
        <v>10.0</v>
      </c>
      <c r="L13" s="10">
        <v>10.0</v>
      </c>
      <c r="M13" s="10">
        <v>10.0</v>
      </c>
      <c r="N13" s="10">
        <v>6.0</v>
      </c>
      <c r="O13" s="10" t="s">
        <v>115</v>
      </c>
      <c r="P13" s="10">
        <v>6.0</v>
      </c>
      <c r="Q13" s="10">
        <v>8.0</v>
      </c>
      <c r="R13" s="10">
        <v>7.0</v>
      </c>
      <c r="S13" s="10">
        <v>6.0</v>
      </c>
      <c r="T13" s="10" t="s">
        <v>116</v>
      </c>
      <c r="U13" s="10">
        <v>5.0</v>
      </c>
      <c r="V13" s="10">
        <v>8.0</v>
      </c>
      <c r="W13" s="10">
        <v>6.0</v>
      </c>
      <c r="X13" s="10">
        <v>10.0</v>
      </c>
      <c r="Y13" s="10" t="s">
        <v>117</v>
      </c>
      <c r="Z13" s="10"/>
      <c r="AA13" s="15"/>
      <c r="AB13" s="10" t="s">
        <v>39</v>
      </c>
      <c r="AC13" s="10" t="b">
        <v>1</v>
      </c>
      <c r="AD13" s="10"/>
      <c r="AE13" s="10"/>
      <c r="AF13" s="13">
        <f t="shared" si="1"/>
        <v>7.4375</v>
      </c>
      <c r="AG13" s="13"/>
    </row>
    <row r="14">
      <c r="A14" s="6" t="s">
        <v>118</v>
      </c>
      <c r="B14" s="6" t="s">
        <v>119</v>
      </c>
      <c r="C14" s="7">
        <v>45761.19283564815</v>
      </c>
      <c r="D14" s="8" t="s">
        <v>120</v>
      </c>
      <c r="E14" s="9" t="s">
        <v>109</v>
      </c>
      <c r="F14" s="10">
        <v>8.0</v>
      </c>
      <c r="G14" s="10">
        <v>7.0</v>
      </c>
      <c r="H14" s="10">
        <v>9.0</v>
      </c>
      <c r="I14" s="10">
        <v>8.0</v>
      </c>
      <c r="J14" s="9" t="s">
        <v>121</v>
      </c>
      <c r="K14" s="10">
        <v>8.0</v>
      </c>
      <c r="L14" s="10">
        <v>8.0</v>
      </c>
      <c r="M14" s="10">
        <v>8.0</v>
      </c>
      <c r="N14" s="10">
        <v>9.0</v>
      </c>
      <c r="O14" s="9" t="s">
        <v>122</v>
      </c>
      <c r="P14" s="10">
        <v>5.0</v>
      </c>
      <c r="Q14" s="10">
        <v>7.0</v>
      </c>
      <c r="R14" s="10">
        <v>7.0</v>
      </c>
      <c r="S14" s="10">
        <v>6.0</v>
      </c>
      <c r="T14" s="9" t="s">
        <v>123</v>
      </c>
      <c r="U14" s="10">
        <v>6.0</v>
      </c>
      <c r="V14" s="10">
        <v>8.0</v>
      </c>
      <c r="W14" s="10">
        <v>7.0</v>
      </c>
      <c r="X14" s="10">
        <v>9.0</v>
      </c>
      <c r="Y14" s="9" t="s">
        <v>124</v>
      </c>
      <c r="Z14" s="12"/>
      <c r="AA14" s="18"/>
      <c r="AB14" s="9" t="s">
        <v>39</v>
      </c>
      <c r="AC14" s="10" t="b">
        <v>1</v>
      </c>
      <c r="AD14" s="12"/>
      <c r="AE14" s="12"/>
      <c r="AF14" s="13">
        <f t="shared" si="1"/>
        <v>7.5</v>
      </c>
      <c r="AG14" s="13"/>
    </row>
    <row r="15">
      <c r="A15" s="6" t="s">
        <v>125</v>
      </c>
      <c r="B15" s="10" t="s">
        <v>126</v>
      </c>
      <c r="C15" s="10">
        <v>45768.62981481481</v>
      </c>
      <c r="D15" s="14" t="s">
        <v>127</v>
      </c>
      <c r="E15" s="10" t="s">
        <v>109</v>
      </c>
      <c r="F15" s="10">
        <v>8.0</v>
      </c>
      <c r="G15" s="10">
        <v>6.0</v>
      </c>
      <c r="H15" s="10">
        <v>10.0</v>
      </c>
      <c r="I15" s="10">
        <v>8.0</v>
      </c>
      <c r="J15" s="10" t="s">
        <v>128</v>
      </c>
      <c r="K15" s="10">
        <v>8.0</v>
      </c>
      <c r="L15" s="10">
        <v>10.0</v>
      </c>
      <c r="M15" s="10">
        <v>8.0</v>
      </c>
      <c r="N15" s="10">
        <v>5.0</v>
      </c>
      <c r="O15" s="10" t="s">
        <v>129</v>
      </c>
      <c r="P15" s="10">
        <v>7.0</v>
      </c>
      <c r="Q15" s="10">
        <v>7.0</v>
      </c>
      <c r="R15" s="10">
        <v>7.0</v>
      </c>
      <c r="S15" s="10">
        <v>7.0</v>
      </c>
      <c r="T15" s="10" t="s">
        <v>130</v>
      </c>
      <c r="U15" s="10">
        <v>6.0</v>
      </c>
      <c r="V15" s="10">
        <v>8.0</v>
      </c>
      <c r="W15" s="10">
        <v>8.0</v>
      </c>
      <c r="X15" s="10">
        <v>10.0</v>
      </c>
      <c r="Y15" s="10" t="s">
        <v>131</v>
      </c>
      <c r="Z15" s="10"/>
      <c r="AA15" s="15"/>
      <c r="AB15" s="10" t="s">
        <v>39</v>
      </c>
      <c r="AC15" s="10" t="b">
        <v>1</v>
      </c>
      <c r="AD15" s="10"/>
      <c r="AE15" s="10"/>
      <c r="AF15" s="13">
        <f t="shared" si="1"/>
        <v>7.6875</v>
      </c>
      <c r="AG15" s="13"/>
    </row>
    <row r="16">
      <c r="A16" s="6" t="s">
        <v>132</v>
      </c>
      <c r="B16" s="6" t="s">
        <v>133</v>
      </c>
      <c r="C16" s="7">
        <v>45742.38135416667</v>
      </c>
      <c r="D16" s="8" t="s">
        <v>134</v>
      </c>
      <c r="E16" s="9" t="s">
        <v>109</v>
      </c>
      <c r="F16" s="10">
        <v>7.0</v>
      </c>
      <c r="G16" s="10">
        <v>8.0</v>
      </c>
      <c r="H16" s="10">
        <v>10.0</v>
      </c>
      <c r="I16" s="10">
        <v>8.0</v>
      </c>
      <c r="J16" s="9" t="s">
        <v>135</v>
      </c>
      <c r="K16" s="10">
        <v>9.0</v>
      </c>
      <c r="L16" s="10">
        <v>10.0</v>
      </c>
      <c r="M16" s="10">
        <v>9.0</v>
      </c>
      <c r="N16" s="10">
        <v>8.0</v>
      </c>
      <c r="O16" s="9" t="s">
        <v>136</v>
      </c>
      <c r="P16" s="10">
        <v>9.0</v>
      </c>
      <c r="Q16" s="10">
        <v>8.0</v>
      </c>
      <c r="R16" s="10">
        <v>9.0</v>
      </c>
      <c r="S16" s="10">
        <v>8.0</v>
      </c>
      <c r="T16" s="9" t="s">
        <v>137</v>
      </c>
      <c r="U16" s="10">
        <v>9.0</v>
      </c>
      <c r="V16" s="10">
        <v>8.0</v>
      </c>
      <c r="W16" s="10">
        <v>10.0</v>
      </c>
      <c r="X16" s="10">
        <v>10.0</v>
      </c>
      <c r="Y16" s="9" t="s">
        <v>138</v>
      </c>
      <c r="Z16" s="9" t="s">
        <v>139</v>
      </c>
      <c r="AA16" s="11" t="s">
        <v>140</v>
      </c>
      <c r="AB16" s="9" t="s">
        <v>39</v>
      </c>
      <c r="AC16" s="10" t="b">
        <v>1</v>
      </c>
      <c r="AD16" s="12"/>
      <c r="AE16" s="12"/>
      <c r="AF16" s="13">
        <f t="shared" si="1"/>
        <v>8.75</v>
      </c>
      <c r="AG16" s="13"/>
    </row>
    <row r="17">
      <c r="A17" s="6" t="s">
        <v>141</v>
      </c>
      <c r="B17" s="6" t="s">
        <v>142</v>
      </c>
      <c r="C17" s="7">
        <v>45753.50488425926</v>
      </c>
      <c r="D17" s="8" t="s">
        <v>143</v>
      </c>
      <c r="E17" s="9" t="s">
        <v>144</v>
      </c>
      <c r="F17" s="10">
        <v>5.0</v>
      </c>
      <c r="G17" s="10">
        <v>3.0</v>
      </c>
      <c r="H17" s="10">
        <v>8.0</v>
      </c>
      <c r="I17" s="10">
        <v>6.0</v>
      </c>
      <c r="J17" s="9" t="s">
        <v>145</v>
      </c>
      <c r="K17" s="10">
        <v>4.0</v>
      </c>
      <c r="L17" s="10">
        <v>4.0</v>
      </c>
      <c r="M17" s="10">
        <v>10.0</v>
      </c>
      <c r="N17" s="10">
        <v>6.0</v>
      </c>
      <c r="O17" s="9" t="s">
        <v>146</v>
      </c>
      <c r="P17" s="10">
        <v>6.0</v>
      </c>
      <c r="Q17" s="10">
        <v>5.0</v>
      </c>
      <c r="R17" s="10">
        <v>6.0</v>
      </c>
      <c r="S17" s="10">
        <v>8.0</v>
      </c>
      <c r="T17" s="9" t="s">
        <v>147</v>
      </c>
      <c r="U17" s="10">
        <v>5.0</v>
      </c>
      <c r="V17" s="10">
        <v>10.0</v>
      </c>
      <c r="W17" s="10">
        <v>5.0</v>
      </c>
      <c r="X17" s="10">
        <v>5.0</v>
      </c>
      <c r="Y17" s="9" t="s">
        <v>148</v>
      </c>
      <c r="Z17" s="9" t="s">
        <v>149</v>
      </c>
      <c r="AA17" s="19" t="s">
        <v>150</v>
      </c>
      <c r="AB17" s="9" t="s">
        <v>39</v>
      </c>
      <c r="AC17" s="10" t="b">
        <v>1</v>
      </c>
      <c r="AD17" s="12"/>
      <c r="AE17" s="12"/>
      <c r="AF17" s="13">
        <f t="shared" si="1"/>
        <v>6</v>
      </c>
      <c r="AG17" s="13"/>
    </row>
    <row r="18">
      <c r="A18" s="6" t="s">
        <v>151</v>
      </c>
      <c r="B18" s="6" t="s">
        <v>152</v>
      </c>
      <c r="C18" s="7">
        <v>45754.50728009259</v>
      </c>
      <c r="D18" s="8" t="s">
        <v>153</v>
      </c>
      <c r="E18" s="9" t="s">
        <v>144</v>
      </c>
      <c r="F18" s="10">
        <v>7.0</v>
      </c>
      <c r="G18" s="10">
        <v>6.0</v>
      </c>
      <c r="H18" s="10">
        <v>9.0</v>
      </c>
      <c r="I18" s="10">
        <v>8.0</v>
      </c>
      <c r="J18" s="9" t="s">
        <v>154</v>
      </c>
      <c r="K18" s="10">
        <v>6.0</v>
      </c>
      <c r="L18" s="10">
        <v>7.0</v>
      </c>
      <c r="M18" s="10">
        <v>10.0</v>
      </c>
      <c r="N18" s="10">
        <v>8.0</v>
      </c>
      <c r="O18" s="9" t="s">
        <v>154</v>
      </c>
      <c r="P18" s="10">
        <v>8.0</v>
      </c>
      <c r="Q18" s="10">
        <v>8.0</v>
      </c>
      <c r="R18" s="10">
        <v>8.0</v>
      </c>
      <c r="S18" s="10">
        <v>8.0</v>
      </c>
      <c r="T18" s="9" t="s">
        <v>154</v>
      </c>
      <c r="U18" s="10">
        <v>7.0</v>
      </c>
      <c r="V18" s="10">
        <v>9.0</v>
      </c>
      <c r="W18" s="10">
        <v>8.0</v>
      </c>
      <c r="X18" s="10">
        <v>7.0</v>
      </c>
      <c r="Y18" s="9" t="s">
        <v>154</v>
      </c>
      <c r="Z18" s="12"/>
      <c r="AA18" s="18"/>
      <c r="AB18" s="9" t="s">
        <v>39</v>
      </c>
      <c r="AC18" s="10" t="b">
        <v>1</v>
      </c>
      <c r="AD18" s="12"/>
      <c r="AE18" s="12"/>
      <c r="AF18" s="13">
        <f t="shared" si="1"/>
        <v>7.75</v>
      </c>
      <c r="AG18" s="13"/>
    </row>
    <row r="19">
      <c r="A19" s="6" t="s">
        <v>155</v>
      </c>
      <c r="B19" s="6" t="s">
        <v>156</v>
      </c>
      <c r="C19" s="7">
        <v>45743.94369212963</v>
      </c>
      <c r="D19" s="8" t="s">
        <v>157</v>
      </c>
      <c r="E19" s="9" t="s">
        <v>144</v>
      </c>
      <c r="F19" s="10">
        <v>8.0</v>
      </c>
      <c r="G19" s="10">
        <v>6.0</v>
      </c>
      <c r="H19" s="10">
        <v>10.0</v>
      </c>
      <c r="I19" s="10">
        <v>9.0</v>
      </c>
      <c r="J19" s="9" t="s">
        <v>158</v>
      </c>
      <c r="K19" s="10">
        <v>10.0</v>
      </c>
      <c r="L19" s="10">
        <v>8.0</v>
      </c>
      <c r="M19" s="10">
        <v>10.0</v>
      </c>
      <c r="N19" s="10">
        <v>10.0</v>
      </c>
      <c r="O19" s="9" t="s">
        <v>159</v>
      </c>
      <c r="P19" s="10">
        <v>10.0</v>
      </c>
      <c r="Q19" s="10">
        <v>10.0</v>
      </c>
      <c r="R19" s="10">
        <v>10.0</v>
      </c>
      <c r="S19" s="10">
        <v>8.0</v>
      </c>
      <c r="T19" s="9" t="s">
        <v>160</v>
      </c>
      <c r="U19" s="10">
        <v>6.0</v>
      </c>
      <c r="V19" s="10">
        <v>10.0</v>
      </c>
      <c r="W19" s="10">
        <v>10.0</v>
      </c>
      <c r="X19" s="10">
        <v>7.0</v>
      </c>
      <c r="Y19" s="9" t="s">
        <v>161</v>
      </c>
      <c r="Z19" s="9" t="s">
        <v>162</v>
      </c>
      <c r="AA19" s="11" t="s">
        <v>163</v>
      </c>
      <c r="AB19" s="9" t="s">
        <v>39</v>
      </c>
      <c r="AC19" s="10" t="b">
        <v>1</v>
      </c>
      <c r="AD19" s="12"/>
      <c r="AE19" s="12"/>
      <c r="AF19" s="13">
        <f t="shared" si="1"/>
        <v>8.875</v>
      </c>
      <c r="AG19" s="13"/>
    </row>
    <row r="20">
      <c r="A20" s="6" t="s">
        <v>164</v>
      </c>
      <c r="B20" s="6" t="s">
        <v>165</v>
      </c>
      <c r="C20" s="7">
        <v>45754.50680555555</v>
      </c>
      <c r="D20" s="8" t="s">
        <v>166</v>
      </c>
      <c r="E20" s="9" t="s">
        <v>167</v>
      </c>
      <c r="F20" s="10">
        <v>10.0</v>
      </c>
      <c r="G20" s="10">
        <v>10.0</v>
      </c>
      <c r="H20" s="10">
        <v>10.0</v>
      </c>
      <c r="I20" s="10">
        <v>8.0</v>
      </c>
      <c r="J20" s="9" t="s">
        <v>168</v>
      </c>
      <c r="K20" s="10">
        <v>10.0</v>
      </c>
      <c r="L20" s="10">
        <v>10.0</v>
      </c>
      <c r="M20" s="10">
        <v>8.0</v>
      </c>
      <c r="N20" s="10">
        <v>8.0</v>
      </c>
      <c r="O20" s="9" t="s">
        <v>169</v>
      </c>
      <c r="P20" s="10">
        <v>8.0</v>
      </c>
      <c r="Q20" s="10">
        <v>8.0</v>
      </c>
      <c r="R20" s="10">
        <v>9.0</v>
      </c>
      <c r="S20" s="10">
        <v>7.0</v>
      </c>
      <c r="T20" s="9" t="s">
        <v>70</v>
      </c>
      <c r="U20" s="10">
        <v>10.0</v>
      </c>
      <c r="V20" s="10">
        <v>10.0</v>
      </c>
      <c r="W20" s="10">
        <v>10.0</v>
      </c>
      <c r="X20" s="10">
        <v>10.0</v>
      </c>
      <c r="Y20" s="9" t="s">
        <v>170</v>
      </c>
      <c r="Z20" s="12"/>
      <c r="AA20" s="18"/>
      <c r="AB20" s="9" t="s">
        <v>39</v>
      </c>
      <c r="AC20" s="10" t="b">
        <v>1</v>
      </c>
      <c r="AD20" s="12"/>
      <c r="AE20" s="12"/>
      <c r="AF20" s="13">
        <f t="shared" si="1"/>
        <v>9.125</v>
      </c>
      <c r="AG20" s="13"/>
    </row>
    <row r="21">
      <c r="A21" s="6" t="s">
        <v>171</v>
      </c>
      <c r="B21" s="6" t="s">
        <v>172</v>
      </c>
      <c r="C21" s="7">
        <v>45761.51956018519</v>
      </c>
      <c r="D21" s="8" t="s">
        <v>173</v>
      </c>
      <c r="E21" s="9" t="s">
        <v>167</v>
      </c>
      <c r="F21" s="10">
        <v>8.0</v>
      </c>
      <c r="G21" s="10">
        <v>10.0</v>
      </c>
      <c r="H21" s="10">
        <v>9.0</v>
      </c>
      <c r="I21" s="10">
        <v>10.0</v>
      </c>
      <c r="J21" s="9" t="s">
        <v>174</v>
      </c>
      <c r="K21" s="10">
        <v>10.0</v>
      </c>
      <c r="L21" s="10">
        <v>10.0</v>
      </c>
      <c r="M21" s="10">
        <v>10.0</v>
      </c>
      <c r="N21" s="10">
        <v>10.0</v>
      </c>
      <c r="O21" s="9" t="s">
        <v>175</v>
      </c>
      <c r="P21" s="10">
        <v>10.0</v>
      </c>
      <c r="Q21" s="10">
        <v>10.0</v>
      </c>
      <c r="R21" s="10">
        <v>8.0</v>
      </c>
      <c r="S21" s="10">
        <v>8.0</v>
      </c>
      <c r="T21" s="9" t="s">
        <v>176</v>
      </c>
      <c r="U21" s="10">
        <v>8.0</v>
      </c>
      <c r="V21" s="10">
        <v>9.0</v>
      </c>
      <c r="W21" s="10">
        <v>9.0</v>
      </c>
      <c r="X21" s="10">
        <v>8.0</v>
      </c>
      <c r="Y21" s="9" t="s">
        <v>177</v>
      </c>
      <c r="Z21" s="9" t="s">
        <v>178</v>
      </c>
      <c r="AA21" s="11" t="s">
        <v>179</v>
      </c>
      <c r="AB21" s="9" t="s">
        <v>39</v>
      </c>
      <c r="AC21" s="10" t="b">
        <v>1</v>
      </c>
      <c r="AD21" s="12"/>
      <c r="AE21" s="12"/>
      <c r="AF21" s="13">
        <f t="shared" si="1"/>
        <v>9.1875</v>
      </c>
      <c r="AG21" s="13"/>
    </row>
    <row r="22">
      <c r="A22" s="6"/>
      <c r="B22" s="6" t="s">
        <v>180</v>
      </c>
      <c r="C22" s="7">
        <v>45736.8047337963</v>
      </c>
      <c r="D22" s="8" t="s">
        <v>181</v>
      </c>
      <c r="E22" s="9" t="s">
        <v>167</v>
      </c>
      <c r="F22" s="10">
        <v>9.0</v>
      </c>
      <c r="G22" s="10">
        <v>10.0</v>
      </c>
      <c r="H22" s="10">
        <v>10.0</v>
      </c>
      <c r="I22" s="10">
        <v>10.0</v>
      </c>
      <c r="J22" s="9" t="s">
        <v>182</v>
      </c>
      <c r="K22" s="10">
        <v>10.0</v>
      </c>
      <c r="L22" s="10">
        <v>10.0</v>
      </c>
      <c r="M22" s="10">
        <v>10.0</v>
      </c>
      <c r="N22" s="10">
        <v>10.0</v>
      </c>
      <c r="O22" s="9" t="s">
        <v>183</v>
      </c>
      <c r="P22" s="10">
        <v>10.0</v>
      </c>
      <c r="Q22" s="10">
        <v>10.0</v>
      </c>
      <c r="R22" s="10">
        <v>9.0</v>
      </c>
      <c r="S22" s="10">
        <v>10.0</v>
      </c>
      <c r="T22" s="9" t="s">
        <v>184</v>
      </c>
      <c r="U22" s="10">
        <v>8.0</v>
      </c>
      <c r="V22" s="10">
        <v>10.0</v>
      </c>
      <c r="W22" s="10">
        <v>9.0</v>
      </c>
      <c r="X22" s="10">
        <v>10.0</v>
      </c>
      <c r="Y22" s="9" t="s">
        <v>154</v>
      </c>
      <c r="Z22" s="9" t="s">
        <v>185</v>
      </c>
      <c r="AA22" s="11" t="s">
        <v>186</v>
      </c>
      <c r="AB22" s="9" t="s">
        <v>39</v>
      </c>
      <c r="AC22" s="10" t="b">
        <v>1</v>
      </c>
      <c r="AD22" s="12"/>
      <c r="AE22" s="12"/>
      <c r="AF22" s="13">
        <f t="shared" si="1"/>
        <v>9.6875</v>
      </c>
      <c r="AG22" s="13"/>
    </row>
    <row r="23">
      <c r="A23" s="6" t="s">
        <v>187</v>
      </c>
      <c r="B23" s="6"/>
      <c r="C23" s="7"/>
      <c r="D23" s="14" t="s">
        <v>188</v>
      </c>
      <c r="E23" s="10" t="s">
        <v>134</v>
      </c>
      <c r="F23" s="10">
        <v>7.0</v>
      </c>
      <c r="G23" s="10">
        <v>9.0</v>
      </c>
      <c r="H23" s="10">
        <v>9.0</v>
      </c>
      <c r="I23" s="10">
        <v>7.0</v>
      </c>
      <c r="J23" s="10" t="s">
        <v>189</v>
      </c>
      <c r="K23" s="10">
        <v>9.0</v>
      </c>
      <c r="L23" s="10">
        <v>9.0</v>
      </c>
      <c r="M23" s="10">
        <v>10.0</v>
      </c>
      <c r="N23" s="10">
        <v>10.0</v>
      </c>
      <c r="O23" s="10" t="s">
        <v>190</v>
      </c>
      <c r="P23" s="10">
        <v>8.0</v>
      </c>
      <c r="Q23" s="10">
        <v>9.0</v>
      </c>
      <c r="R23" s="10">
        <v>9.0</v>
      </c>
      <c r="S23" s="10">
        <v>10.0</v>
      </c>
      <c r="T23" s="10" t="s">
        <v>191</v>
      </c>
      <c r="U23" s="10">
        <v>8.0</v>
      </c>
      <c r="V23" s="10">
        <v>9.0</v>
      </c>
      <c r="W23" s="10">
        <v>9.0</v>
      </c>
      <c r="X23" s="10">
        <v>9.0</v>
      </c>
      <c r="Y23" s="10" t="s">
        <v>192</v>
      </c>
      <c r="Z23" s="10"/>
      <c r="AA23" s="15"/>
      <c r="AB23" s="10" t="s">
        <v>39</v>
      </c>
      <c r="AC23" s="10" t="b">
        <v>1</v>
      </c>
      <c r="AD23" s="10"/>
      <c r="AE23" s="10"/>
      <c r="AF23" s="13">
        <f t="shared" si="1"/>
        <v>8.8125</v>
      </c>
      <c r="AG23" s="13"/>
    </row>
    <row r="24">
      <c r="A24" s="6" t="s">
        <v>193</v>
      </c>
      <c r="B24" s="6" t="s">
        <v>194</v>
      </c>
      <c r="C24" s="7">
        <v>45754.56207175926</v>
      </c>
      <c r="D24" s="8" t="s">
        <v>195</v>
      </c>
      <c r="E24" s="9" t="s">
        <v>134</v>
      </c>
      <c r="F24" s="10">
        <v>10.0</v>
      </c>
      <c r="G24" s="10">
        <v>9.0</v>
      </c>
      <c r="H24" s="10">
        <v>9.0</v>
      </c>
      <c r="I24" s="10">
        <v>9.0</v>
      </c>
      <c r="J24" s="9" t="s">
        <v>196</v>
      </c>
      <c r="K24" s="10">
        <v>10.0</v>
      </c>
      <c r="L24" s="10">
        <v>10.0</v>
      </c>
      <c r="M24" s="10">
        <v>10.0</v>
      </c>
      <c r="N24" s="10">
        <v>8.0</v>
      </c>
      <c r="O24" s="9" t="s">
        <v>197</v>
      </c>
      <c r="P24" s="10">
        <v>10.0</v>
      </c>
      <c r="Q24" s="10">
        <v>10.0</v>
      </c>
      <c r="R24" s="10">
        <v>10.0</v>
      </c>
      <c r="S24" s="10">
        <v>9.0</v>
      </c>
      <c r="T24" s="9" t="s">
        <v>198</v>
      </c>
      <c r="U24" s="10">
        <v>8.0</v>
      </c>
      <c r="V24" s="10">
        <v>9.0</v>
      </c>
      <c r="W24" s="10">
        <v>9.0</v>
      </c>
      <c r="X24" s="10">
        <v>10.0</v>
      </c>
      <c r="Y24" s="9" t="s">
        <v>199</v>
      </c>
      <c r="Z24" s="12"/>
      <c r="AA24" s="18"/>
      <c r="AB24" s="9" t="s">
        <v>39</v>
      </c>
      <c r="AC24" s="10" t="b">
        <v>1</v>
      </c>
      <c r="AD24" s="12"/>
      <c r="AE24" s="12"/>
      <c r="AF24" s="13">
        <f t="shared" si="1"/>
        <v>9.375</v>
      </c>
      <c r="AG24" s="13"/>
    </row>
    <row r="25">
      <c r="A25" s="6" t="s">
        <v>200</v>
      </c>
      <c r="B25" s="6" t="s">
        <v>201</v>
      </c>
      <c r="C25" s="7">
        <v>45753.54638888889</v>
      </c>
      <c r="D25" s="8" t="s">
        <v>202</v>
      </c>
      <c r="E25" s="9" t="s">
        <v>188</v>
      </c>
      <c r="F25" s="10">
        <v>9.0</v>
      </c>
      <c r="G25" s="10">
        <v>9.0</v>
      </c>
      <c r="H25" s="10">
        <v>9.0</v>
      </c>
      <c r="I25" s="10">
        <v>9.0</v>
      </c>
      <c r="J25" s="9" t="s">
        <v>203</v>
      </c>
      <c r="K25" s="10">
        <v>7.0</v>
      </c>
      <c r="L25" s="10">
        <v>7.0</v>
      </c>
      <c r="M25" s="10">
        <v>7.0</v>
      </c>
      <c r="N25" s="10">
        <v>7.0</v>
      </c>
      <c r="O25" s="9" t="s">
        <v>204</v>
      </c>
      <c r="P25" s="10">
        <v>8.0</v>
      </c>
      <c r="Q25" s="10">
        <v>8.0</v>
      </c>
      <c r="R25" s="10">
        <v>8.0</v>
      </c>
      <c r="S25" s="10">
        <v>8.0</v>
      </c>
      <c r="T25" s="9" t="s">
        <v>205</v>
      </c>
      <c r="U25" s="10">
        <v>8.0</v>
      </c>
      <c r="V25" s="10">
        <v>8.0</v>
      </c>
      <c r="W25" s="10">
        <v>8.0</v>
      </c>
      <c r="X25" s="10">
        <v>8.0</v>
      </c>
      <c r="Y25" s="9" t="s">
        <v>206</v>
      </c>
      <c r="Z25" s="12"/>
      <c r="AA25" s="18"/>
      <c r="AB25" s="9" t="s">
        <v>39</v>
      </c>
      <c r="AC25" s="10" t="b">
        <v>1</v>
      </c>
      <c r="AD25" s="12"/>
      <c r="AE25" s="12"/>
      <c r="AF25" s="13">
        <f t="shared" si="1"/>
        <v>8</v>
      </c>
      <c r="AG25" s="13"/>
    </row>
    <row r="26">
      <c r="A26" s="6" t="s">
        <v>207</v>
      </c>
      <c r="B26" s="6" t="s">
        <v>208</v>
      </c>
      <c r="C26" s="7">
        <v>45754.538136574076</v>
      </c>
      <c r="D26" s="8" t="s">
        <v>209</v>
      </c>
      <c r="E26" s="9" t="s">
        <v>188</v>
      </c>
      <c r="F26" s="10">
        <v>8.0</v>
      </c>
      <c r="G26" s="10">
        <v>9.0</v>
      </c>
      <c r="H26" s="10">
        <v>8.0</v>
      </c>
      <c r="I26" s="10">
        <v>8.0</v>
      </c>
      <c r="J26" s="9" t="s">
        <v>210</v>
      </c>
      <c r="K26" s="10">
        <v>8.0</v>
      </c>
      <c r="L26" s="10">
        <v>9.0</v>
      </c>
      <c r="M26" s="10">
        <v>9.0</v>
      </c>
      <c r="N26" s="10">
        <v>9.0</v>
      </c>
      <c r="O26" s="9" t="s">
        <v>211</v>
      </c>
      <c r="P26" s="10">
        <v>8.0</v>
      </c>
      <c r="Q26" s="10">
        <v>10.0</v>
      </c>
      <c r="R26" s="10">
        <v>9.0</v>
      </c>
      <c r="S26" s="10">
        <v>7.0</v>
      </c>
      <c r="T26" s="9" t="s">
        <v>212</v>
      </c>
      <c r="U26" s="10">
        <v>8.0</v>
      </c>
      <c r="V26" s="10">
        <v>10.0</v>
      </c>
      <c r="W26" s="10">
        <v>8.0</v>
      </c>
      <c r="X26" s="10">
        <v>8.0</v>
      </c>
      <c r="Y26" s="9" t="s">
        <v>211</v>
      </c>
      <c r="Z26" s="9" t="s">
        <v>213</v>
      </c>
      <c r="AA26" s="11" t="s">
        <v>214</v>
      </c>
      <c r="AB26" s="9" t="s">
        <v>39</v>
      </c>
      <c r="AC26" s="10" t="b">
        <v>1</v>
      </c>
      <c r="AD26" s="12"/>
      <c r="AE26" s="12"/>
      <c r="AF26" s="13">
        <f t="shared" si="1"/>
        <v>8.5</v>
      </c>
      <c r="AG26" s="13"/>
    </row>
    <row r="27">
      <c r="A27" s="6" t="s">
        <v>215</v>
      </c>
      <c r="B27" s="6" t="s">
        <v>216</v>
      </c>
      <c r="C27" s="7">
        <v>45755.19321759259</v>
      </c>
      <c r="D27" s="8" t="s">
        <v>217</v>
      </c>
      <c r="E27" s="9" t="s">
        <v>188</v>
      </c>
      <c r="F27" s="10">
        <v>10.0</v>
      </c>
      <c r="G27" s="10">
        <v>10.0</v>
      </c>
      <c r="H27" s="10">
        <v>9.0</v>
      </c>
      <c r="I27" s="10">
        <v>9.0</v>
      </c>
      <c r="J27" s="9" t="s">
        <v>38</v>
      </c>
      <c r="K27" s="10">
        <v>9.0</v>
      </c>
      <c r="L27" s="10">
        <v>9.0</v>
      </c>
      <c r="M27" s="10">
        <v>9.0</v>
      </c>
      <c r="N27" s="10">
        <v>9.0</v>
      </c>
      <c r="O27" s="9" t="s">
        <v>38</v>
      </c>
      <c r="P27" s="10">
        <v>9.0</v>
      </c>
      <c r="Q27" s="10">
        <v>9.0</v>
      </c>
      <c r="R27" s="10">
        <v>9.0</v>
      </c>
      <c r="S27" s="10">
        <v>9.0</v>
      </c>
      <c r="T27" s="9" t="s">
        <v>218</v>
      </c>
      <c r="U27" s="10">
        <v>4.0</v>
      </c>
      <c r="V27" s="10">
        <v>6.0</v>
      </c>
      <c r="W27" s="10">
        <v>8.0</v>
      </c>
      <c r="X27" s="12"/>
      <c r="Y27" s="9" t="s">
        <v>219</v>
      </c>
      <c r="Z27" s="9" t="s">
        <v>220</v>
      </c>
      <c r="AA27" s="19" t="s">
        <v>221</v>
      </c>
      <c r="AB27" s="9" t="s">
        <v>39</v>
      </c>
      <c r="AC27" s="10" t="b">
        <v>1</v>
      </c>
      <c r="AD27" s="12"/>
      <c r="AE27" s="12"/>
      <c r="AF27" s="13">
        <f t="shared" si="1"/>
        <v>8.533333333</v>
      </c>
      <c r="AG27" s="13"/>
    </row>
    <row r="28">
      <c r="A28" s="6" t="s">
        <v>222</v>
      </c>
      <c r="B28" s="6" t="s">
        <v>223</v>
      </c>
      <c r="C28" s="7">
        <v>45743.52429398148</v>
      </c>
      <c r="D28" s="8" t="s">
        <v>224</v>
      </c>
      <c r="E28" s="9" t="s">
        <v>188</v>
      </c>
      <c r="F28" s="10">
        <v>10.0</v>
      </c>
      <c r="G28" s="10">
        <v>10.0</v>
      </c>
      <c r="H28" s="10">
        <v>10.0</v>
      </c>
      <c r="I28" s="10">
        <v>10.0</v>
      </c>
      <c r="J28" s="9" t="s">
        <v>225</v>
      </c>
      <c r="K28" s="10">
        <v>10.0</v>
      </c>
      <c r="L28" s="10">
        <v>10.0</v>
      </c>
      <c r="M28" s="10">
        <v>10.0</v>
      </c>
      <c r="N28" s="10">
        <v>5.0</v>
      </c>
      <c r="O28" s="9" t="s">
        <v>226</v>
      </c>
      <c r="P28" s="10">
        <v>7.0</v>
      </c>
      <c r="Q28" s="10">
        <v>10.0</v>
      </c>
      <c r="R28" s="10">
        <v>8.0</v>
      </c>
      <c r="S28" s="10">
        <v>5.0</v>
      </c>
      <c r="T28" s="9" t="s">
        <v>227</v>
      </c>
      <c r="U28" s="10">
        <v>3.0</v>
      </c>
      <c r="V28" s="10">
        <v>10.0</v>
      </c>
      <c r="W28" s="10">
        <v>10.0</v>
      </c>
      <c r="X28" s="10">
        <v>10.0</v>
      </c>
      <c r="Y28" s="9" t="s">
        <v>228</v>
      </c>
      <c r="Z28" s="9" t="s">
        <v>229</v>
      </c>
      <c r="AA28" s="18"/>
      <c r="AB28" s="9" t="s">
        <v>39</v>
      </c>
      <c r="AC28" s="10" t="b">
        <v>1</v>
      </c>
      <c r="AD28" s="12"/>
      <c r="AE28" s="12"/>
      <c r="AF28" s="13">
        <f t="shared" si="1"/>
        <v>8.625</v>
      </c>
      <c r="AG28" s="13"/>
    </row>
    <row r="29">
      <c r="A29" s="6" t="s">
        <v>230</v>
      </c>
      <c r="B29" s="6" t="s">
        <v>231</v>
      </c>
      <c r="C29" s="7">
        <v>45752.99118055555</v>
      </c>
      <c r="D29" s="8" t="s">
        <v>232</v>
      </c>
      <c r="E29" s="9" t="s">
        <v>188</v>
      </c>
      <c r="F29" s="10">
        <v>9.0</v>
      </c>
      <c r="G29" s="10">
        <v>9.0</v>
      </c>
      <c r="H29" s="10">
        <v>8.0</v>
      </c>
      <c r="I29" s="10">
        <v>9.0</v>
      </c>
      <c r="J29" s="9" t="s">
        <v>233</v>
      </c>
      <c r="K29" s="10">
        <v>9.0</v>
      </c>
      <c r="L29" s="10">
        <v>9.0</v>
      </c>
      <c r="M29" s="10">
        <v>9.0</v>
      </c>
      <c r="N29" s="10">
        <v>9.0</v>
      </c>
      <c r="O29" s="9" t="s">
        <v>65</v>
      </c>
      <c r="P29" s="10">
        <v>9.0</v>
      </c>
      <c r="Q29" s="10">
        <v>9.0</v>
      </c>
      <c r="R29" s="10">
        <v>9.0</v>
      </c>
      <c r="S29" s="10">
        <v>9.0</v>
      </c>
      <c r="T29" s="9" t="s">
        <v>65</v>
      </c>
      <c r="U29" s="10">
        <v>8.0</v>
      </c>
      <c r="V29" s="10">
        <v>8.0</v>
      </c>
      <c r="W29" s="10">
        <v>9.0</v>
      </c>
      <c r="X29" s="10">
        <v>9.0</v>
      </c>
      <c r="Y29" s="9" t="s">
        <v>65</v>
      </c>
      <c r="Z29" s="12"/>
      <c r="AA29" s="18"/>
      <c r="AB29" s="9" t="s">
        <v>39</v>
      </c>
      <c r="AC29" s="10" t="b">
        <v>1</v>
      </c>
      <c r="AD29" s="12"/>
      <c r="AE29" s="12"/>
      <c r="AF29" s="13">
        <f t="shared" si="1"/>
        <v>8.8125</v>
      </c>
      <c r="AG29" s="13"/>
    </row>
    <row r="30">
      <c r="A30" s="6" t="s">
        <v>234</v>
      </c>
      <c r="B30" s="6" t="s">
        <v>235</v>
      </c>
      <c r="C30" s="7">
        <v>45736.757268518515</v>
      </c>
      <c r="D30" s="8" t="s">
        <v>236</v>
      </c>
      <c r="E30" s="9" t="s">
        <v>188</v>
      </c>
      <c r="F30" s="20">
        <f t="shared" ref="F30:I30" si="6">AVERAGE(F31:F36)</f>
        <v>9.166666667</v>
      </c>
      <c r="G30" s="20">
        <f t="shared" si="6"/>
        <v>8.333333333</v>
      </c>
      <c r="H30" s="20">
        <f t="shared" si="6"/>
        <v>8</v>
      </c>
      <c r="I30" s="20">
        <f t="shared" si="6"/>
        <v>7.833333333</v>
      </c>
      <c r="J30" s="21" t="s">
        <v>237</v>
      </c>
      <c r="K30" s="20">
        <f t="shared" ref="K30:N30" si="7">AVERAGE(K31:K36)</f>
        <v>7.416666667</v>
      </c>
      <c r="L30" s="20">
        <f t="shared" si="7"/>
        <v>7.75</v>
      </c>
      <c r="M30" s="20">
        <f t="shared" si="7"/>
        <v>8.75</v>
      </c>
      <c r="N30" s="20">
        <f t="shared" si="7"/>
        <v>7.916666667</v>
      </c>
      <c r="O30" s="21" t="s">
        <v>65</v>
      </c>
      <c r="P30" s="20">
        <f t="shared" ref="P30:S30" si="8">AVERAGE(P31:P36)</f>
        <v>7.75</v>
      </c>
      <c r="Q30" s="20">
        <f t="shared" si="8"/>
        <v>8.166666667</v>
      </c>
      <c r="R30" s="20">
        <f t="shared" si="8"/>
        <v>7.583333333</v>
      </c>
      <c r="S30" s="20">
        <f t="shared" si="8"/>
        <v>8.083333333</v>
      </c>
      <c r="T30" s="21" t="s">
        <v>65</v>
      </c>
      <c r="U30" s="20">
        <f t="shared" ref="U30:X30" si="9">AVERAGE(U31:U36)</f>
        <v>7.333333333</v>
      </c>
      <c r="V30" s="20">
        <f t="shared" si="9"/>
        <v>8.25</v>
      </c>
      <c r="W30" s="20">
        <f t="shared" si="9"/>
        <v>7.75</v>
      </c>
      <c r="X30" s="20">
        <f t="shared" si="9"/>
        <v>7.916666667</v>
      </c>
      <c r="Y30" s="9" t="s">
        <v>65</v>
      </c>
      <c r="Z30" s="9" t="s">
        <v>238</v>
      </c>
      <c r="AA30" s="18"/>
      <c r="AB30" s="9" t="s">
        <v>39</v>
      </c>
      <c r="AC30" s="10" t="b">
        <v>1</v>
      </c>
      <c r="AD30" s="12"/>
      <c r="AE30" s="12"/>
      <c r="AF30" s="13">
        <f t="shared" si="1"/>
        <v>8</v>
      </c>
      <c r="AG30" s="13"/>
    </row>
    <row r="31">
      <c r="A31" s="6" t="s">
        <v>239</v>
      </c>
      <c r="B31" s="15" t="s">
        <v>240</v>
      </c>
      <c r="C31" s="15">
        <v>45769.39114583333</v>
      </c>
      <c r="D31" s="22" t="s">
        <v>241</v>
      </c>
      <c r="E31" s="15" t="s">
        <v>242</v>
      </c>
      <c r="F31" s="15">
        <v>10.0</v>
      </c>
      <c r="G31" s="15">
        <v>10.0</v>
      </c>
      <c r="H31" s="15">
        <v>7.0</v>
      </c>
      <c r="I31" s="15">
        <v>7.0</v>
      </c>
      <c r="J31" s="15" t="s">
        <v>243</v>
      </c>
      <c r="K31" s="15">
        <v>7.0</v>
      </c>
      <c r="L31" s="15">
        <v>8.0</v>
      </c>
      <c r="M31" s="15">
        <v>8.0</v>
      </c>
      <c r="N31" s="15">
        <v>7.0</v>
      </c>
      <c r="O31" s="15" t="s">
        <v>244</v>
      </c>
      <c r="P31" s="15">
        <v>8.0</v>
      </c>
      <c r="Q31" s="15">
        <v>8.0</v>
      </c>
      <c r="R31" s="15">
        <v>7.0</v>
      </c>
      <c r="S31" s="15">
        <v>9.0</v>
      </c>
      <c r="T31" s="15" t="s">
        <v>245</v>
      </c>
      <c r="U31" s="15">
        <v>5.0</v>
      </c>
      <c r="V31" s="15">
        <v>8.0</v>
      </c>
      <c r="W31" s="15">
        <v>6.0</v>
      </c>
      <c r="X31" s="15">
        <v>8.0</v>
      </c>
      <c r="Y31" s="15" t="s">
        <v>65</v>
      </c>
      <c r="Z31" s="15"/>
      <c r="AA31" s="15"/>
      <c r="AB31" s="15" t="s">
        <v>39</v>
      </c>
      <c r="AC31" s="15" t="b">
        <v>1</v>
      </c>
      <c r="AD31" s="15"/>
      <c r="AE31" s="15"/>
      <c r="AF31" s="23">
        <f t="shared" si="1"/>
        <v>7.6875</v>
      </c>
      <c r="AG31" s="13"/>
    </row>
    <row r="32">
      <c r="A32" s="6" t="s">
        <v>246</v>
      </c>
      <c r="B32" s="6" t="s">
        <v>247</v>
      </c>
      <c r="C32" s="7">
        <v>45736.90555555555</v>
      </c>
      <c r="D32" s="24" t="s">
        <v>248</v>
      </c>
      <c r="E32" s="9" t="s">
        <v>242</v>
      </c>
      <c r="F32" s="10">
        <v>10.0</v>
      </c>
      <c r="G32" s="10">
        <v>8.0</v>
      </c>
      <c r="H32" s="10">
        <v>9.0</v>
      </c>
      <c r="I32" s="10">
        <v>9.0</v>
      </c>
      <c r="J32" s="9" t="s">
        <v>249</v>
      </c>
      <c r="K32" s="10">
        <v>7.0</v>
      </c>
      <c r="L32" s="10">
        <v>7.0</v>
      </c>
      <c r="M32" s="10">
        <v>9.0</v>
      </c>
      <c r="N32" s="10">
        <v>9.0</v>
      </c>
      <c r="O32" s="9" t="s">
        <v>250</v>
      </c>
      <c r="P32" s="10">
        <v>8.0</v>
      </c>
      <c r="Q32" s="10">
        <v>8.0</v>
      </c>
      <c r="R32" s="10">
        <v>8.0</v>
      </c>
      <c r="S32" s="10">
        <v>8.0</v>
      </c>
      <c r="T32" s="9" t="s">
        <v>251</v>
      </c>
      <c r="U32" s="10">
        <v>7.0</v>
      </c>
      <c r="V32" s="10">
        <v>8.0</v>
      </c>
      <c r="W32" s="10">
        <v>7.0</v>
      </c>
      <c r="X32" s="10">
        <v>7.0</v>
      </c>
      <c r="Y32" s="9" t="s">
        <v>252</v>
      </c>
      <c r="Z32" s="9" t="s">
        <v>253</v>
      </c>
      <c r="AA32" s="11" t="s">
        <v>254</v>
      </c>
      <c r="AB32" s="9" t="s">
        <v>39</v>
      </c>
      <c r="AC32" s="10" t="b">
        <v>1</v>
      </c>
      <c r="AD32" s="12"/>
      <c r="AE32" s="12"/>
      <c r="AF32" s="13">
        <f t="shared" si="1"/>
        <v>8.0625</v>
      </c>
      <c r="AG32" s="13"/>
    </row>
    <row r="33">
      <c r="A33" s="6" t="s">
        <v>255</v>
      </c>
      <c r="B33" s="6" t="s">
        <v>256</v>
      </c>
      <c r="C33" s="7">
        <v>45738.9637037037</v>
      </c>
      <c r="D33" s="24" t="s">
        <v>144</v>
      </c>
      <c r="E33" s="9" t="s">
        <v>242</v>
      </c>
      <c r="F33" s="10">
        <v>10.0</v>
      </c>
      <c r="G33" s="10">
        <v>9.0</v>
      </c>
      <c r="H33" s="10">
        <v>8.0</v>
      </c>
      <c r="I33" s="10">
        <v>8.0</v>
      </c>
      <c r="J33" s="9" t="s">
        <v>257</v>
      </c>
      <c r="K33" s="10">
        <v>8.0</v>
      </c>
      <c r="L33" s="10">
        <v>7.0</v>
      </c>
      <c r="M33" s="10">
        <v>9.0</v>
      </c>
      <c r="N33" s="10">
        <v>8.0</v>
      </c>
      <c r="O33" s="9" t="s">
        <v>258</v>
      </c>
      <c r="P33" s="10">
        <v>8.0</v>
      </c>
      <c r="Q33" s="10">
        <v>8.0</v>
      </c>
      <c r="R33" s="10">
        <v>7.0</v>
      </c>
      <c r="S33" s="10">
        <v>8.0</v>
      </c>
      <c r="T33" s="9" t="s">
        <v>259</v>
      </c>
      <c r="U33" s="10">
        <v>9.0</v>
      </c>
      <c r="V33" s="10">
        <v>9.0</v>
      </c>
      <c r="W33" s="10">
        <v>8.0</v>
      </c>
      <c r="X33" s="10">
        <v>8.0</v>
      </c>
      <c r="Y33" s="9" t="s">
        <v>260</v>
      </c>
      <c r="Z33" s="12"/>
      <c r="AA33" s="11" t="s">
        <v>261</v>
      </c>
      <c r="AB33" s="9" t="s">
        <v>39</v>
      </c>
      <c r="AC33" s="10" t="b">
        <v>1</v>
      </c>
      <c r="AD33" s="12"/>
      <c r="AE33" s="12"/>
      <c r="AF33" s="13">
        <f t="shared" si="1"/>
        <v>8.25</v>
      </c>
      <c r="AG33" s="13"/>
    </row>
    <row r="34">
      <c r="A34" s="6" t="s">
        <v>262</v>
      </c>
      <c r="B34" s="16" t="s">
        <v>263</v>
      </c>
      <c r="C34" s="17">
        <v>45776.69069444444</v>
      </c>
      <c r="D34" s="24" t="s">
        <v>264</v>
      </c>
      <c r="E34" s="9" t="s">
        <v>242</v>
      </c>
      <c r="F34" s="10">
        <v>7.0</v>
      </c>
      <c r="G34" s="9">
        <v>5.0</v>
      </c>
      <c r="H34" s="9">
        <v>6.0</v>
      </c>
      <c r="I34" s="9">
        <v>5.0</v>
      </c>
      <c r="J34" s="9"/>
      <c r="K34" s="9">
        <v>4.0</v>
      </c>
      <c r="L34" s="10">
        <v>6.0</v>
      </c>
      <c r="M34" s="9">
        <v>8.0</v>
      </c>
      <c r="N34" s="9">
        <v>5.0</v>
      </c>
      <c r="O34" s="9" t="s">
        <v>265</v>
      </c>
      <c r="P34" s="10">
        <v>5.0</v>
      </c>
      <c r="Q34" s="10">
        <v>7.0</v>
      </c>
      <c r="R34" s="9">
        <v>5.0</v>
      </c>
      <c r="S34" s="9">
        <v>6.0</v>
      </c>
      <c r="T34" s="9"/>
      <c r="U34" s="9">
        <v>5.0</v>
      </c>
      <c r="V34" s="9">
        <v>7.0</v>
      </c>
      <c r="W34" s="9">
        <v>7.0</v>
      </c>
      <c r="X34" s="9">
        <v>6.0</v>
      </c>
      <c r="Y34" s="9" t="s">
        <v>65</v>
      </c>
      <c r="Z34" s="9" t="s">
        <v>65</v>
      </c>
      <c r="AA34" s="19" t="s">
        <v>266</v>
      </c>
      <c r="AB34" s="9" t="s">
        <v>39</v>
      </c>
      <c r="AC34" s="9" t="b">
        <v>1</v>
      </c>
      <c r="AD34" s="9"/>
      <c r="AE34" s="9"/>
      <c r="AF34" s="13">
        <f t="shared" si="1"/>
        <v>5.875</v>
      </c>
      <c r="AG34" s="13"/>
    </row>
    <row r="35">
      <c r="A35" s="6" t="s">
        <v>267</v>
      </c>
      <c r="B35" s="6" t="s">
        <v>268</v>
      </c>
      <c r="C35" s="7">
        <v>45741.81107638889</v>
      </c>
      <c r="D35" s="8" t="s">
        <v>269</v>
      </c>
      <c r="E35" s="9" t="s">
        <v>270</v>
      </c>
      <c r="F35" s="14">
        <f t="shared" ref="F35:I35" si="10">AVERAGE(F36:F37)</f>
        <v>9</v>
      </c>
      <c r="G35" s="14">
        <f t="shared" si="10"/>
        <v>9</v>
      </c>
      <c r="H35" s="14">
        <f t="shared" si="10"/>
        <v>9</v>
      </c>
      <c r="I35" s="14">
        <f t="shared" si="10"/>
        <v>9</v>
      </c>
      <c r="J35" s="9" t="s">
        <v>271</v>
      </c>
      <c r="K35" s="14">
        <f t="shared" ref="K35:N35" si="11">AVERAGE(K36:K37)</f>
        <v>9.5</v>
      </c>
      <c r="L35" s="14">
        <f t="shared" si="11"/>
        <v>9.5</v>
      </c>
      <c r="M35" s="14">
        <f t="shared" si="11"/>
        <v>9.5</v>
      </c>
      <c r="N35" s="14">
        <f t="shared" si="11"/>
        <v>9.5</v>
      </c>
      <c r="O35" s="9" t="s">
        <v>272</v>
      </c>
      <c r="P35" s="14">
        <f t="shared" ref="P35:S35" si="12">AVERAGE(P36:P37)</f>
        <v>8.5</v>
      </c>
      <c r="Q35" s="14">
        <f t="shared" si="12"/>
        <v>9</v>
      </c>
      <c r="R35" s="14">
        <f t="shared" si="12"/>
        <v>9.5</v>
      </c>
      <c r="S35" s="14">
        <f t="shared" si="12"/>
        <v>8.5</v>
      </c>
      <c r="T35" s="9" t="s">
        <v>273</v>
      </c>
      <c r="U35" s="14">
        <f t="shared" ref="U35:X35" si="13">AVERAGE(U36:U37)</f>
        <v>9</v>
      </c>
      <c r="V35" s="14">
        <f t="shared" si="13"/>
        <v>8.5</v>
      </c>
      <c r="W35" s="14">
        <f t="shared" si="13"/>
        <v>9.5</v>
      </c>
      <c r="X35" s="14">
        <f t="shared" si="13"/>
        <v>9.5</v>
      </c>
      <c r="Y35" s="9" t="s">
        <v>274</v>
      </c>
      <c r="Z35" s="12"/>
      <c r="AA35" s="18"/>
      <c r="AB35" s="9" t="s">
        <v>39</v>
      </c>
      <c r="AC35" s="10" t="b">
        <v>1</v>
      </c>
      <c r="AD35" s="12"/>
      <c r="AE35" s="12"/>
      <c r="AF35" s="13">
        <f t="shared" si="1"/>
        <v>9.125</v>
      </c>
      <c r="AG35" s="13"/>
    </row>
    <row r="36">
      <c r="A36" s="6" t="s">
        <v>275</v>
      </c>
      <c r="B36" s="6" t="s">
        <v>276</v>
      </c>
      <c r="C36" s="7">
        <v>45740.75263888889</v>
      </c>
      <c r="D36" s="8" t="s">
        <v>277</v>
      </c>
      <c r="E36" s="9" t="s">
        <v>270</v>
      </c>
      <c r="F36" s="10">
        <v>9.0</v>
      </c>
      <c r="G36" s="10">
        <v>9.0</v>
      </c>
      <c r="H36" s="10">
        <v>9.0</v>
      </c>
      <c r="I36" s="10">
        <v>9.0</v>
      </c>
      <c r="J36" s="10" t="s">
        <v>110</v>
      </c>
      <c r="K36" s="10">
        <v>9.0</v>
      </c>
      <c r="L36" s="10">
        <v>9.0</v>
      </c>
      <c r="M36" s="10">
        <v>9.0</v>
      </c>
      <c r="N36" s="10">
        <v>9.0</v>
      </c>
      <c r="O36" s="10" t="s">
        <v>110</v>
      </c>
      <c r="P36" s="10">
        <v>9.0</v>
      </c>
      <c r="Q36" s="10">
        <v>9.0</v>
      </c>
      <c r="R36" s="10">
        <v>9.0</v>
      </c>
      <c r="S36" s="10">
        <v>9.0</v>
      </c>
      <c r="T36" s="10" t="s">
        <v>110</v>
      </c>
      <c r="U36" s="10">
        <v>9.0</v>
      </c>
      <c r="V36" s="10">
        <v>9.0</v>
      </c>
      <c r="W36" s="10">
        <v>9.0</v>
      </c>
      <c r="X36" s="10">
        <v>9.0</v>
      </c>
      <c r="Y36" s="10" t="s">
        <v>110</v>
      </c>
      <c r="Z36" s="12"/>
      <c r="AA36" s="18"/>
      <c r="AB36" s="9" t="s">
        <v>39</v>
      </c>
      <c r="AC36" s="10" t="b">
        <v>1</v>
      </c>
      <c r="AD36" s="12"/>
      <c r="AE36" s="12"/>
      <c r="AF36" s="13">
        <f t="shared" si="1"/>
        <v>9</v>
      </c>
      <c r="AG36" s="13"/>
    </row>
    <row r="37">
      <c r="A37" s="6" t="s">
        <v>278</v>
      </c>
      <c r="B37" s="6" t="s">
        <v>279</v>
      </c>
      <c r="C37" s="7">
        <v>45760.56429398148</v>
      </c>
      <c r="D37" s="8" t="s">
        <v>280</v>
      </c>
      <c r="E37" s="9" t="s">
        <v>270</v>
      </c>
      <c r="F37" s="10">
        <v>9.0</v>
      </c>
      <c r="G37" s="10">
        <v>9.0</v>
      </c>
      <c r="H37" s="10">
        <v>9.0</v>
      </c>
      <c r="I37" s="10">
        <v>9.0</v>
      </c>
      <c r="J37" s="9" t="s">
        <v>281</v>
      </c>
      <c r="K37" s="10">
        <v>10.0</v>
      </c>
      <c r="L37" s="10">
        <v>10.0</v>
      </c>
      <c r="M37" s="10">
        <v>10.0</v>
      </c>
      <c r="N37" s="10">
        <v>10.0</v>
      </c>
      <c r="O37" s="10" t="s">
        <v>110</v>
      </c>
      <c r="P37" s="10">
        <v>8.0</v>
      </c>
      <c r="Q37" s="10">
        <v>9.0</v>
      </c>
      <c r="R37" s="10">
        <v>10.0</v>
      </c>
      <c r="S37" s="10">
        <v>8.0</v>
      </c>
      <c r="T37" s="9" t="s">
        <v>282</v>
      </c>
      <c r="U37" s="12"/>
      <c r="V37" s="10">
        <v>8.0</v>
      </c>
      <c r="W37" s="10">
        <v>10.0</v>
      </c>
      <c r="X37" s="10">
        <v>10.0</v>
      </c>
      <c r="Y37" s="10" t="s">
        <v>110</v>
      </c>
      <c r="Z37" s="9" t="s">
        <v>283</v>
      </c>
      <c r="AA37" s="18"/>
      <c r="AB37" s="9" t="s">
        <v>39</v>
      </c>
      <c r="AC37" s="10" t="b">
        <v>1</v>
      </c>
      <c r="AD37" s="12"/>
      <c r="AE37" s="12"/>
      <c r="AF37" s="13">
        <f t="shared" si="1"/>
        <v>9.266666667</v>
      </c>
      <c r="AG37" s="13"/>
    </row>
    <row r="38">
      <c r="A38" s="6" t="s">
        <v>284</v>
      </c>
      <c r="B38" s="6" t="s">
        <v>285</v>
      </c>
      <c r="C38" s="7">
        <v>45756.61417824074</v>
      </c>
      <c r="D38" s="8" t="s">
        <v>286</v>
      </c>
      <c r="E38" s="9" t="s">
        <v>287</v>
      </c>
      <c r="F38" s="10">
        <v>6.0</v>
      </c>
      <c r="G38" s="10">
        <v>5.0</v>
      </c>
      <c r="H38" s="10">
        <v>7.0</v>
      </c>
      <c r="I38" s="10">
        <v>7.0</v>
      </c>
      <c r="J38" s="9" t="s">
        <v>288</v>
      </c>
      <c r="K38" s="10">
        <v>6.0</v>
      </c>
      <c r="L38" s="10">
        <v>7.0</v>
      </c>
      <c r="M38" s="10">
        <v>5.0</v>
      </c>
      <c r="N38" s="10">
        <v>4.0</v>
      </c>
      <c r="O38" s="9" t="s">
        <v>289</v>
      </c>
      <c r="P38" s="10">
        <v>6.0</v>
      </c>
      <c r="Q38" s="10">
        <v>7.0</v>
      </c>
      <c r="R38" s="10">
        <v>7.0</v>
      </c>
      <c r="S38" s="10">
        <v>3.0</v>
      </c>
      <c r="T38" s="9" t="s">
        <v>38</v>
      </c>
      <c r="U38" s="10">
        <v>5.0</v>
      </c>
      <c r="V38" s="10">
        <v>6.0</v>
      </c>
      <c r="W38" s="10">
        <v>6.0</v>
      </c>
      <c r="X38" s="10">
        <v>9.0</v>
      </c>
      <c r="Y38" s="9" t="s">
        <v>38</v>
      </c>
      <c r="Z38" s="9" t="s">
        <v>38</v>
      </c>
      <c r="AA38" s="11" t="s">
        <v>38</v>
      </c>
      <c r="AB38" s="9" t="s">
        <v>39</v>
      </c>
      <c r="AC38" s="10" t="b">
        <v>1</v>
      </c>
      <c r="AD38" s="12"/>
      <c r="AE38" s="12"/>
      <c r="AF38" s="13">
        <f t="shared" si="1"/>
        <v>6</v>
      </c>
      <c r="AG38" s="13"/>
    </row>
    <row r="39">
      <c r="A39" s="6" t="s">
        <v>290</v>
      </c>
      <c r="B39" s="6" t="s">
        <v>291</v>
      </c>
      <c r="C39" s="7">
        <v>45760.50734953704</v>
      </c>
      <c r="D39" s="8" t="s">
        <v>292</v>
      </c>
      <c r="E39" s="9" t="s">
        <v>287</v>
      </c>
      <c r="F39" s="10">
        <v>5.0</v>
      </c>
      <c r="G39" s="10">
        <v>6.0</v>
      </c>
      <c r="H39" s="10">
        <v>8.0</v>
      </c>
      <c r="I39" s="10">
        <v>6.0</v>
      </c>
      <c r="J39" s="9" t="s">
        <v>293</v>
      </c>
      <c r="K39" s="10">
        <v>8.0</v>
      </c>
      <c r="L39" s="10">
        <v>7.0</v>
      </c>
      <c r="M39" s="10">
        <v>8.0</v>
      </c>
      <c r="N39" s="10">
        <v>7.0</v>
      </c>
      <c r="O39" s="9" t="s">
        <v>294</v>
      </c>
      <c r="P39" s="10">
        <v>7.0</v>
      </c>
      <c r="Q39" s="10">
        <v>7.0</v>
      </c>
      <c r="R39" s="10">
        <v>7.0</v>
      </c>
      <c r="S39" s="10">
        <v>6.0</v>
      </c>
      <c r="T39" s="9" t="s">
        <v>295</v>
      </c>
      <c r="U39" s="10">
        <v>5.0</v>
      </c>
      <c r="V39" s="10">
        <v>6.0</v>
      </c>
      <c r="W39" s="10">
        <v>6.0</v>
      </c>
      <c r="X39" s="10">
        <v>7.0</v>
      </c>
      <c r="Y39" s="9" t="s">
        <v>296</v>
      </c>
      <c r="Z39" s="12"/>
      <c r="AA39" s="18"/>
      <c r="AB39" s="9" t="s">
        <v>39</v>
      </c>
      <c r="AC39" s="10" t="b">
        <v>1</v>
      </c>
      <c r="AD39" s="12"/>
      <c r="AE39" s="12"/>
      <c r="AF39" s="13">
        <f t="shared" si="1"/>
        <v>6.625</v>
      </c>
      <c r="AG39" s="13"/>
    </row>
    <row r="40">
      <c r="A40" s="6" t="s">
        <v>297</v>
      </c>
      <c r="B40" s="6" t="s">
        <v>298</v>
      </c>
      <c r="C40" s="7">
        <v>45754.825208333335</v>
      </c>
      <c r="D40" s="8" t="s">
        <v>299</v>
      </c>
      <c r="E40" s="9" t="s">
        <v>287</v>
      </c>
      <c r="F40" s="10">
        <v>7.0</v>
      </c>
      <c r="G40" s="10">
        <v>7.0</v>
      </c>
      <c r="H40" s="10">
        <v>7.0</v>
      </c>
      <c r="I40" s="10">
        <v>7.0</v>
      </c>
      <c r="J40" s="9" t="s">
        <v>300</v>
      </c>
      <c r="K40" s="10">
        <v>8.0</v>
      </c>
      <c r="L40" s="10">
        <v>7.0</v>
      </c>
      <c r="M40" s="10">
        <v>6.0</v>
      </c>
      <c r="N40" s="10">
        <v>6.0</v>
      </c>
      <c r="O40" s="9" t="s">
        <v>301</v>
      </c>
      <c r="P40" s="10">
        <v>7.0</v>
      </c>
      <c r="Q40" s="10">
        <v>7.0</v>
      </c>
      <c r="R40" s="10">
        <v>7.0</v>
      </c>
      <c r="S40" s="10">
        <v>8.0</v>
      </c>
      <c r="T40" s="9" t="s">
        <v>302</v>
      </c>
      <c r="U40" s="10">
        <v>7.0</v>
      </c>
      <c r="V40" s="10">
        <v>7.0</v>
      </c>
      <c r="W40" s="10">
        <v>7.0</v>
      </c>
      <c r="X40" s="10">
        <v>7.0</v>
      </c>
      <c r="Y40" s="9" t="s">
        <v>303</v>
      </c>
      <c r="Z40" s="12"/>
      <c r="AA40" s="18"/>
      <c r="AB40" s="9" t="s">
        <v>39</v>
      </c>
      <c r="AC40" s="10" t="b">
        <v>1</v>
      </c>
      <c r="AD40" s="12"/>
      <c r="AE40" s="12"/>
      <c r="AF40" s="13">
        <f t="shared" si="1"/>
        <v>7</v>
      </c>
      <c r="AG40" s="13"/>
    </row>
    <row r="41">
      <c r="A41" s="6" t="s">
        <v>304</v>
      </c>
      <c r="B41" s="6" t="s">
        <v>305</v>
      </c>
      <c r="C41" s="7">
        <v>45744.00780092592</v>
      </c>
      <c r="D41" s="8" t="s">
        <v>306</v>
      </c>
      <c r="E41" s="9" t="s">
        <v>287</v>
      </c>
      <c r="F41" s="10">
        <v>6.0</v>
      </c>
      <c r="G41" s="10">
        <v>7.0</v>
      </c>
      <c r="H41" s="10">
        <v>7.0</v>
      </c>
      <c r="I41" s="10">
        <v>7.0</v>
      </c>
      <c r="J41" s="9" t="s">
        <v>307</v>
      </c>
      <c r="K41" s="10">
        <v>8.0</v>
      </c>
      <c r="L41" s="10">
        <v>7.0</v>
      </c>
      <c r="M41" s="10">
        <v>8.0</v>
      </c>
      <c r="N41" s="10">
        <v>5.0</v>
      </c>
      <c r="O41" s="9" t="s">
        <v>308</v>
      </c>
      <c r="P41" s="10">
        <v>6.0</v>
      </c>
      <c r="Q41" s="10">
        <v>8.0</v>
      </c>
      <c r="R41" s="10">
        <v>6.0</v>
      </c>
      <c r="S41" s="10">
        <v>8.0</v>
      </c>
      <c r="T41" s="9" t="s">
        <v>309</v>
      </c>
      <c r="U41" s="10">
        <v>8.0</v>
      </c>
      <c r="V41" s="10">
        <v>5.0</v>
      </c>
      <c r="W41" s="10">
        <v>9.0</v>
      </c>
      <c r="X41" s="10">
        <v>9.0</v>
      </c>
      <c r="Y41" s="9" t="s">
        <v>310</v>
      </c>
      <c r="Z41" s="9" t="s">
        <v>311</v>
      </c>
      <c r="AA41" s="18"/>
      <c r="AB41" s="9" t="s">
        <v>39</v>
      </c>
      <c r="AC41" s="10" t="b">
        <v>1</v>
      </c>
      <c r="AD41" s="12"/>
      <c r="AE41" s="12"/>
      <c r="AF41" s="13">
        <f t="shared" si="1"/>
        <v>7.125</v>
      </c>
      <c r="AG41" s="13"/>
    </row>
    <row r="42">
      <c r="A42" s="6" t="s">
        <v>312</v>
      </c>
      <c r="B42" s="6" t="s">
        <v>313</v>
      </c>
      <c r="C42" s="7">
        <v>45754.533680555556</v>
      </c>
      <c r="D42" s="8" t="s">
        <v>314</v>
      </c>
      <c r="E42" s="9" t="s">
        <v>287</v>
      </c>
      <c r="F42" s="25">
        <v>7.0</v>
      </c>
      <c r="G42" s="25">
        <v>7.0</v>
      </c>
      <c r="H42" s="25">
        <f t="shared" ref="H42:I42" si="14">AVERAGE(H43:H49)</f>
        <v>8.838095238</v>
      </c>
      <c r="I42" s="25">
        <f t="shared" si="14"/>
        <v>8.342857143</v>
      </c>
      <c r="J42" s="10" t="s">
        <v>110</v>
      </c>
      <c r="K42" s="25">
        <f t="shared" ref="K42:M42" si="15">AVERAGE(K43:K49)</f>
        <v>9.323809524</v>
      </c>
      <c r="L42" s="25">
        <f t="shared" si="15"/>
        <v>8.123809524</v>
      </c>
      <c r="M42" s="25">
        <f t="shared" si="15"/>
        <v>9.504761905</v>
      </c>
      <c r="N42" s="25">
        <v>7.0</v>
      </c>
      <c r="O42" s="10" t="s">
        <v>110</v>
      </c>
      <c r="P42" s="25">
        <f t="shared" ref="P42:R42" si="16">AVERAGE(P43:P49)</f>
        <v>8.99047619</v>
      </c>
      <c r="Q42" s="25">
        <f t="shared" si="16"/>
        <v>8.371428571</v>
      </c>
      <c r="R42" s="25">
        <f t="shared" si="16"/>
        <v>8.904761905</v>
      </c>
      <c r="S42" s="25">
        <v>7.0</v>
      </c>
      <c r="T42" s="10" t="s">
        <v>110</v>
      </c>
      <c r="U42" s="25">
        <f t="shared" ref="U42:X42" si="17">AVERAGE(U43:U49)</f>
        <v>6.533333333</v>
      </c>
      <c r="V42" s="25">
        <f t="shared" si="17"/>
        <v>7.552380952</v>
      </c>
      <c r="W42" s="25">
        <f t="shared" si="17"/>
        <v>8.028571429</v>
      </c>
      <c r="X42" s="25">
        <f t="shared" si="17"/>
        <v>9.40952381</v>
      </c>
      <c r="Y42" s="10" t="s">
        <v>110</v>
      </c>
      <c r="Z42" s="9" t="s">
        <v>315</v>
      </c>
      <c r="AA42" s="18"/>
      <c r="AB42" s="9" t="s">
        <v>39</v>
      </c>
      <c r="AC42" s="10" t="b">
        <v>1</v>
      </c>
      <c r="AD42" s="12"/>
      <c r="AE42" s="12"/>
      <c r="AF42" s="13">
        <f t="shared" si="1"/>
        <v>8.120238095</v>
      </c>
      <c r="AG42" s="13"/>
    </row>
    <row r="43">
      <c r="A43" s="6" t="s">
        <v>316</v>
      </c>
      <c r="B43" s="6" t="s">
        <v>317</v>
      </c>
      <c r="C43" s="7">
        <v>45736.75934027778</v>
      </c>
      <c r="D43" s="8" t="s">
        <v>318</v>
      </c>
      <c r="E43" s="9" t="s">
        <v>287</v>
      </c>
      <c r="F43" s="10">
        <v>7.0</v>
      </c>
      <c r="G43" s="10">
        <v>4.0</v>
      </c>
      <c r="H43" s="10">
        <v>10.0</v>
      </c>
      <c r="I43" s="10">
        <v>10.0</v>
      </c>
      <c r="J43" s="9" t="s">
        <v>319</v>
      </c>
      <c r="K43" s="10">
        <v>10.0</v>
      </c>
      <c r="L43" s="10">
        <v>6.0</v>
      </c>
      <c r="M43" s="10">
        <v>10.0</v>
      </c>
      <c r="N43" s="10">
        <v>10.0</v>
      </c>
      <c r="O43" s="9" t="s">
        <v>320</v>
      </c>
      <c r="P43" s="10">
        <v>10.0</v>
      </c>
      <c r="Q43" s="10">
        <v>7.0</v>
      </c>
      <c r="R43" s="10">
        <v>10.0</v>
      </c>
      <c r="S43" s="10">
        <v>8.0</v>
      </c>
      <c r="T43" s="9" t="s">
        <v>321</v>
      </c>
      <c r="U43" s="10">
        <v>7.0</v>
      </c>
      <c r="V43" s="10">
        <v>7.0</v>
      </c>
      <c r="W43" s="10">
        <v>8.0</v>
      </c>
      <c r="X43" s="10">
        <v>9.0</v>
      </c>
      <c r="Y43" s="9" t="s">
        <v>322</v>
      </c>
      <c r="Z43" s="12"/>
      <c r="AA43" s="18"/>
      <c r="AB43" s="9" t="s">
        <v>39</v>
      </c>
      <c r="AC43" s="10" t="b">
        <v>1</v>
      </c>
      <c r="AD43" s="12"/>
      <c r="AE43" s="12"/>
      <c r="AF43" s="13">
        <f t="shared" si="1"/>
        <v>8.3125</v>
      </c>
      <c r="AG43" s="13"/>
    </row>
    <row r="44">
      <c r="A44" s="6" t="s">
        <v>323</v>
      </c>
      <c r="B44" s="6" t="s">
        <v>324</v>
      </c>
      <c r="C44" s="7">
        <v>45754.45469907407</v>
      </c>
      <c r="D44" s="8" t="s">
        <v>325</v>
      </c>
      <c r="E44" s="9" t="s">
        <v>287</v>
      </c>
      <c r="F44" s="10">
        <v>9.0</v>
      </c>
      <c r="G44" s="10">
        <v>9.0</v>
      </c>
      <c r="H44" s="10">
        <v>10.0</v>
      </c>
      <c r="I44" s="10">
        <v>9.0</v>
      </c>
      <c r="J44" s="9" t="s">
        <v>326</v>
      </c>
      <c r="K44" s="10">
        <v>10.0</v>
      </c>
      <c r="L44" s="10">
        <v>10.0</v>
      </c>
      <c r="M44" s="10">
        <v>10.0</v>
      </c>
      <c r="N44" s="10">
        <v>8.0</v>
      </c>
      <c r="O44" s="9" t="s">
        <v>327</v>
      </c>
      <c r="P44" s="10">
        <v>8.0</v>
      </c>
      <c r="Q44" s="10">
        <v>10.0</v>
      </c>
      <c r="R44" s="10">
        <v>8.0</v>
      </c>
      <c r="S44" s="10">
        <v>7.0</v>
      </c>
      <c r="T44" s="9" t="s">
        <v>328</v>
      </c>
      <c r="U44" s="10">
        <v>7.0</v>
      </c>
      <c r="V44" s="10">
        <v>8.0</v>
      </c>
      <c r="W44" s="10">
        <v>9.0</v>
      </c>
      <c r="X44" s="10">
        <v>10.0</v>
      </c>
      <c r="Y44" s="9" t="s">
        <v>329</v>
      </c>
      <c r="Z44" s="9" t="s">
        <v>330</v>
      </c>
      <c r="AA44" s="18"/>
      <c r="AB44" s="9" t="s">
        <v>39</v>
      </c>
      <c r="AC44" s="10" t="b">
        <v>1</v>
      </c>
      <c r="AD44" s="12"/>
      <c r="AE44" s="12"/>
      <c r="AF44" s="13">
        <f t="shared" si="1"/>
        <v>8.875</v>
      </c>
      <c r="AG44" s="13"/>
    </row>
    <row r="45">
      <c r="A45" s="6" t="s">
        <v>331</v>
      </c>
      <c r="B45" s="6" t="s">
        <v>332</v>
      </c>
      <c r="C45" s="7">
        <v>45755.97987268519</v>
      </c>
      <c r="D45" s="8" t="s">
        <v>333</v>
      </c>
      <c r="E45" s="9" t="s">
        <v>334</v>
      </c>
      <c r="F45" s="10">
        <v>10.0</v>
      </c>
      <c r="G45" s="10">
        <v>8.0</v>
      </c>
      <c r="H45" s="10">
        <v>8.0</v>
      </c>
      <c r="I45" s="10">
        <v>5.0</v>
      </c>
      <c r="J45" s="9" t="s">
        <v>335</v>
      </c>
      <c r="K45" s="10">
        <v>9.0</v>
      </c>
      <c r="L45" s="10">
        <v>7.0</v>
      </c>
      <c r="M45" s="10">
        <v>10.0</v>
      </c>
      <c r="N45" s="10">
        <v>10.0</v>
      </c>
      <c r="O45" s="9" t="s">
        <v>336</v>
      </c>
      <c r="P45" s="10">
        <v>10.0</v>
      </c>
      <c r="Q45" s="10">
        <v>8.0</v>
      </c>
      <c r="R45" s="10">
        <v>9.0</v>
      </c>
      <c r="S45" s="10">
        <v>9.0</v>
      </c>
      <c r="T45" s="9" t="s">
        <v>337</v>
      </c>
      <c r="U45" s="10">
        <v>4.0</v>
      </c>
      <c r="V45" s="10">
        <v>8.0</v>
      </c>
      <c r="W45" s="10">
        <v>4.0</v>
      </c>
      <c r="X45" s="10">
        <v>9.0</v>
      </c>
      <c r="Y45" s="9" t="s">
        <v>338</v>
      </c>
      <c r="Z45" s="12"/>
      <c r="AA45" s="18"/>
      <c r="AB45" s="9" t="s">
        <v>39</v>
      </c>
      <c r="AC45" s="10" t="b">
        <v>1</v>
      </c>
      <c r="AD45" s="12"/>
      <c r="AE45" s="12"/>
      <c r="AF45" s="13">
        <f t="shared" si="1"/>
        <v>8</v>
      </c>
      <c r="AG45" s="13"/>
    </row>
    <row r="46">
      <c r="A46" s="15" t="s">
        <v>339</v>
      </c>
      <c r="B46" s="6" t="s">
        <v>340</v>
      </c>
      <c r="C46" s="7">
        <v>45741.815613425926</v>
      </c>
      <c r="D46" s="8" t="s">
        <v>341</v>
      </c>
      <c r="E46" s="9" t="s">
        <v>334</v>
      </c>
      <c r="F46" s="25">
        <f t="shared" ref="F46:I46" si="18">AVERAGE(F47:F49)</f>
        <v>8.866666667</v>
      </c>
      <c r="G46" s="25">
        <f t="shared" si="18"/>
        <v>8.733333333</v>
      </c>
      <c r="H46" s="25">
        <f t="shared" si="18"/>
        <v>8.466666667</v>
      </c>
      <c r="I46" s="25">
        <f t="shared" si="18"/>
        <v>8.6</v>
      </c>
      <c r="J46" s="9" t="s">
        <v>342</v>
      </c>
      <c r="K46" s="25">
        <f t="shared" ref="K46:N46" si="19">AVERAGE(K47:K49)</f>
        <v>9.066666667</v>
      </c>
      <c r="L46" s="25">
        <f t="shared" si="19"/>
        <v>8.466666667</v>
      </c>
      <c r="M46" s="25">
        <f t="shared" si="19"/>
        <v>9.133333333</v>
      </c>
      <c r="N46" s="25">
        <f t="shared" si="19"/>
        <v>9.133333333</v>
      </c>
      <c r="O46" s="9" t="s">
        <v>343</v>
      </c>
      <c r="P46" s="25">
        <f t="shared" ref="P46:S46" si="20">AVERAGE(P47:P49)</f>
        <v>8.733333333</v>
      </c>
      <c r="Q46" s="25">
        <f t="shared" si="20"/>
        <v>8.4</v>
      </c>
      <c r="R46" s="25">
        <f t="shared" si="20"/>
        <v>8.833333333</v>
      </c>
      <c r="S46" s="25">
        <f t="shared" si="20"/>
        <v>8.75</v>
      </c>
      <c r="T46" s="9" t="s">
        <v>344</v>
      </c>
      <c r="U46" s="25">
        <f t="shared" ref="U46:X46" si="21">AVERAGE(U47:U49)</f>
        <v>6.933333333</v>
      </c>
      <c r="V46" s="25">
        <f t="shared" si="21"/>
        <v>7.466666667</v>
      </c>
      <c r="W46" s="25">
        <f t="shared" si="21"/>
        <v>8.8</v>
      </c>
      <c r="X46" s="25">
        <f t="shared" si="21"/>
        <v>9.466666667</v>
      </c>
      <c r="Y46" s="9" t="s">
        <v>345</v>
      </c>
      <c r="Z46" s="9" t="s">
        <v>346</v>
      </c>
      <c r="AA46" s="11" t="s">
        <v>347</v>
      </c>
      <c r="AB46" s="9" t="s">
        <v>39</v>
      </c>
      <c r="AC46" s="10" t="b">
        <v>1</v>
      </c>
      <c r="AD46" s="12"/>
      <c r="AE46" s="12"/>
      <c r="AF46" s="13">
        <f t="shared" si="1"/>
        <v>8.615625</v>
      </c>
      <c r="AG46" s="13"/>
    </row>
    <row r="47">
      <c r="A47" s="6" t="s">
        <v>348</v>
      </c>
      <c r="B47" s="6" t="s">
        <v>349</v>
      </c>
      <c r="C47" s="7">
        <v>45742.27668981482</v>
      </c>
      <c r="D47" s="8" t="s">
        <v>350</v>
      </c>
      <c r="E47" s="9" t="s">
        <v>334</v>
      </c>
      <c r="F47" s="25">
        <f t="shared" ref="F47:I47" si="22">AVERAGE(F48:F52)</f>
        <v>8.6</v>
      </c>
      <c r="G47" s="25">
        <f t="shared" si="22"/>
        <v>8.2</v>
      </c>
      <c r="H47" s="25">
        <f t="shared" si="22"/>
        <v>8.4</v>
      </c>
      <c r="I47" s="25">
        <f t="shared" si="22"/>
        <v>8.8</v>
      </c>
      <c r="J47" s="9" t="s">
        <v>351</v>
      </c>
      <c r="K47" s="25">
        <f t="shared" ref="K47:N47" si="23">AVERAGE(K48:K52)</f>
        <v>9.2</v>
      </c>
      <c r="L47" s="25">
        <f t="shared" si="23"/>
        <v>8.4</v>
      </c>
      <c r="M47" s="25">
        <f t="shared" si="23"/>
        <v>9.4</v>
      </c>
      <c r="N47" s="25">
        <f t="shared" si="23"/>
        <v>9.4</v>
      </c>
      <c r="O47" s="9" t="s">
        <v>352</v>
      </c>
      <c r="P47" s="25">
        <f t="shared" ref="P47:S47" si="24">AVERAGE(P48:P52)</f>
        <v>8.2</v>
      </c>
      <c r="Q47" s="25">
        <f t="shared" si="24"/>
        <v>8.2</v>
      </c>
      <c r="R47" s="25">
        <f t="shared" si="24"/>
        <v>8.5</v>
      </c>
      <c r="S47" s="25">
        <f t="shared" si="24"/>
        <v>8.25</v>
      </c>
      <c r="T47" s="9" t="s">
        <v>353</v>
      </c>
      <c r="U47" s="25">
        <f t="shared" ref="U47:X47" si="25">AVERAGE(U48:U52)</f>
        <v>6.8</v>
      </c>
      <c r="V47" s="25">
        <f t="shared" si="25"/>
        <v>7.4</v>
      </c>
      <c r="W47" s="25">
        <f t="shared" si="25"/>
        <v>8.4</v>
      </c>
      <c r="X47" s="25">
        <f t="shared" si="25"/>
        <v>9.4</v>
      </c>
      <c r="Y47" s="9" t="s">
        <v>354</v>
      </c>
      <c r="Z47" s="9" t="s">
        <v>355</v>
      </c>
      <c r="AA47" s="11" t="s">
        <v>356</v>
      </c>
      <c r="AB47" s="9" t="s">
        <v>39</v>
      </c>
      <c r="AC47" s="10" t="b">
        <v>1</v>
      </c>
      <c r="AD47" s="12"/>
      <c r="AE47" s="12"/>
      <c r="AF47" s="13">
        <f t="shared" si="1"/>
        <v>8.471875</v>
      </c>
      <c r="AG47" s="13"/>
    </row>
    <row r="48">
      <c r="A48" s="6" t="s">
        <v>357</v>
      </c>
      <c r="B48" s="6" t="s">
        <v>358</v>
      </c>
      <c r="C48" s="7">
        <v>45753.41391203704</v>
      </c>
      <c r="D48" s="8" t="s">
        <v>359</v>
      </c>
      <c r="E48" s="9" t="s">
        <v>334</v>
      </c>
      <c r="F48" s="10">
        <v>9.0</v>
      </c>
      <c r="G48" s="10">
        <v>9.0</v>
      </c>
      <c r="H48" s="10">
        <v>8.0</v>
      </c>
      <c r="I48" s="10">
        <v>8.0</v>
      </c>
      <c r="J48" s="9" t="s">
        <v>360</v>
      </c>
      <c r="K48" s="10">
        <v>9.0</v>
      </c>
      <c r="L48" s="10">
        <v>8.0</v>
      </c>
      <c r="M48" s="10">
        <v>9.0</v>
      </c>
      <c r="N48" s="10">
        <v>9.0</v>
      </c>
      <c r="O48" s="9" t="s">
        <v>361</v>
      </c>
      <c r="P48" s="10">
        <v>9.0</v>
      </c>
      <c r="Q48" s="10">
        <v>8.0</v>
      </c>
      <c r="R48" s="10">
        <v>9.0</v>
      </c>
      <c r="S48" s="10">
        <v>9.0</v>
      </c>
      <c r="T48" s="9" t="s">
        <v>362</v>
      </c>
      <c r="U48" s="10">
        <v>8.0</v>
      </c>
      <c r="V48" s="10">
        <v>8.0</v>
      </c>
      <c r="W48" s="10">
        <v>8.0</v>
      </c>
      <c r="X48" s="10">
        <v>9.0</v>
      </c>
      <c r="Y48" s="9" t="s">
        <v>363</v>
      </c>
      <c r="Z48" s="12"/>
      <c r="AA48" s="18"/>
      <c r="AB48" s="9" t="s">
        <v>39</v>
      </c>
      <c r="AC48" s="10" t="b">
        <v>1</v>
      </c>
      <c r="AD48" s="12"/>
      <c r="AE48" s="12"/>
      <c r="AF48" s="13">
        <f t="shared" si="1"/>
        <v>8.5625</v>
      </c>
      <c r="AG48" s="13"/>
    </row>
    <row r="49">
      <c r="A49" s="6" t="s">
        <v>364</v>
      </c>
      <c r="B49" s="6" t="s">
        <v>365</v>
      </c>
      <c r="C49" s="7">
        <v>45736.767476851855</v>
      </c>
      <c r="D49" s="8" t="s">
        <v>366</v>
      </c>
      <c r="E49" s="9" t="s">
        <v>334</v>
      </c>
      <c r="F49" s="14">
        <v>9.0</v>
      </c>
      <c r="G49" s="14">
        <v>9.0</v>
      </c>
      <c r="H49" s="14">
        <v>9.0</v>
      </c>
      <c r="I49" s="14">
        <v>9.0</v>
      </c>
      <c r="J49" s="9" t="s">
        <v>367</v>
      </c>
      <c r="K49" s="14">
        <v>9.0</v>
      </c>
      <c r="L49" s="14">
        <v>9.0</v>
      </c>
      <c r="M49" s="14">
        <v>9.0</v>
      </c>
      <c r="N49" s="14">
        <v>9.0</v>
      </c>
      <c r="O49" s="9" t="s">
        <v>367</v>
      </c>
      <c r="P49" s="14">
        <v>9.0</v>
      </c>
      <c r="Q49" s="14">
        <v>9.0</v>
      </c>
      <c r="R49" s="14">
        <v>9.0</v>
      </c>
      <c r="S49" s="14">
        <v>9.0</v>
      </c>
      <c r="T49" s="9" t="s">
        <v>368</v>
      </c>
      <c r="U49" s="14">
        <v>6.0</v>
      </c>
      <c r="V49" s="14">
        <v>7.0</v>
      </c>
      <c r="W49" s="14">
        <v>10.0</v>
      </c>
      <c r="X49" s="14">
        <v>10.0</v>
      </c>
      <c r="Y49" s="9" t="s">
        <v>369</v>
      </c>
      <c r="Z49" s="12"/>
      <c r="AA49" s="11" t="s">
        <v>370</v>
      </c>
      <c r="AB49" s="9" t="s">
        <v>39</v>
      </c>
      <c r="AC49" s="10" t="b">
        <v>1</v>
      </c>
      <c r="AD49" s="12"/>
      <c r="AE49" s="12"/>
      <c r="AF49" s="13">
        <f t="shared" si="1"/>
        <v>8.8125</v>
      </c>
      <c r="AG49" s="13"/>
    </row>
    <row r="50">
      <c r="A50" s="6" t="s">
        <v>371</v>
      </c>
      <c r="B50" s="6" t="s">
        <v>372</v>
      </c>
      <c r="C50" s="7">
        <v>45756.923530092594</v>
      </c>
      <c r="D50" s="8" t="s">
        <v>373</v>
      </c>
      <c r="E50" s="9" t="s">
        <v>334</v>
      </c>
      <c r="F50" s="10">
        <v>9.0</v>
      </c>
      <c r="G50" s="10">
        <v>9.0</v>
      </c>
      <c r="H50" s="10">
        <v>8.0</v>
      </c>
      <c r="I50" s="10">
        <v>10.0</v>
      </c>
      <c r="J50" s="9" t="s">
        <v>374</v>
      </c>
      <c r="K50" s="10">
        <v>10.0</v>
      </c>
      <c r="L50" s="10">
        <v>8.0</v>
      </c>
      <c r="M50" s="10">
        <v>10.0</v>
      </c>
      <c r="N50" s="10">
        <v>10.0</v>
      </c>
      <c r="O50" s="9" t="s">
        <v>375</v>
      </c>
      <c r="P50" s="10">
        <v>8.0</v>
      </c>
      <c r="Q50" s="10">
        <v>7.0</v>
      </c>
      <c r="R50" s="12"/>
      <c r="S50" s="12"/>
      <c r="T50" s="9" t="s">
        <v>376</v>
      </c>
      <c r="U50" s="10">
        <v>8.0</v>
      </c>
      <c r="V50" s="10">
        <v>8.0</v>
      </c>
      <c r="W50" s="10">
        <v>9.0</v>
      </c>
      <c r="X50" s="10">
        <v>10.0</v>
      </c>
      <c r="Y50" s="9" t="s">
        <v>377</v>
      </c>
      <c r="Z50" s="12"/>
      <c r="AA50" s="18"/>
      <c r="AB50" s="9" t="s">
        <v>39</v>
      </c>
      <c r="AC50" s="10" t="b">
        <v>1</v>
      </c>
      <c r="AD50" s="12"/>
      <c r="AE50" s="12"/>
      <c r="AF50" s="13">
        <f t="shared" si="1"/>
        <v>8.857142857</v>
      </c>
      <c r="AG50" s="13"/>
    </row>
    <row r="51">
      <c r="A51" s="6" t="s">
        <v>378</v>
      </c>
      <c r="B51" s="6" t="s">
        <v>379</v>
      </c>
      <c r="C51" s="7">
        <v>45753.5809375</v>
      </c>
      <c r="D51" s="8" t="s">
        <v>380</v>
      </c>
      <c r="E51" s="9" t="s">
        <v>49</v>
      </c>
      <c r="F51" s="10">
        <v>8.0</v>
      </c>
      <c r="G51" s="10">
        <v>7.0</v>
      </c>
      <c r="H51" s="10">
        <v>8.0</v>
      </c>
      <c r="I51" s="10">
        <v>8.0</v>
      </c>
      <c r="J51" s="9" t="s">
        <v>381</v>
      </c>
      <c r="K51" s="10">
        <v>9.0</v>
      </c>
      <c r="L51" s="10">
        <v>9.0</v>
      </c>
      <c r="M51" s="10">
        <v>10.0</v>
      </c>
      <c r="N51" s="10">
        <v>10.0</v>
      </c>
      <c r="O51" s="10" t="s">
        <v>110</v>
      </c>
      <c r="P51" s="10">
        <v>7.0</v>
      </c>
      <c r="Q51" s="10">
        <v>8.0</v>
      </c>
      <c r="R51" s="10">
        <v>8.0</v>
      </c>
      <c r="S51" s="10">
        <v>8.0</v>
      </c>
      <c r="T51" s="9" t="s">
        <v>382</v>
      </c>
      <c r="U51" s="10">
        <v>6.0</v>
      </c>
      <c r="V51" s="10">
        <v>7.0</v>
      </c>
      <c r="W51" s="10">
        <v>7.0</v>
      </c>
      <c r="X51" s="10">
        <v>9.0</v>
      </c>
      <c r="Y51" s="10" t="s">
        <v>110</v>
      </c>
      <c r="Z51" s="9" t="s">
        <v>383</v>
      </c>
      <c r="AA51" s="18"/>
      <c r="AB51" s="9" t="s">
        <v>39</v>
      </c>
      <c r="AC51" s="10" t="b">
        <v>1</v>
      </c>
      <c r="AD51" s="12"/>
      <c r="AE51" s="12"/>
      <c r="AF51" s="13">
        <f t="shared" si="1"/>
        <v>8.0625</v>
      </c>
      <c r="AG51" s="13"/>
    </row>
    <row r="52">
      <c r="A52" s="6" t="s">
        <v>384</v>
      </c>
      <c r="B52" s="6" t="s">
        <v>385</v>
      </c>
      <c r="C52" s="7">
        <v>45760.49283564815</v>
      </c>
      <c r="D52" s="8" t="s">
        <v>386</v>
      </c>
      <c r="E52" s="9" t="s">
        <v>49</v>
      </c>
      <c r="F52" s="10">
        <v>8.0</v>
      </c>
      <c r="G52" s="10">
        <v>7.0</v>
      </c>
      <c r="H52" s="10">
        <v>9.0</v>
      </c>
      <c r="I52" s="10">
        <v>9.0</v>
      </c>
      <c r="J52" s="9" t="s">
        <v>387</v>
      </c>
      <c r="K52" s="10">
        <v>9.0</v>
      </c>
      <c r="L52" s="10">
        <v>8.0</v>
      </c>
      <c r="M52" s="10">
        <v>9.0</v>
      </c>
      <c r="N52" s="10">
        <v>9.0</v>
      </c>
      <c r="O52" s="9" t="s">
        <v>388</v>
      </c>
      <c r="P52" s="10">
        <v>8.0</v>
      </c>
      <c r="Q52" s="10">
        <v>9.0</v>
      </c>
      <c r="R52" s="10">
        <v>8.0</v>
      </c>
      <c r="S52" s="10">
        <v>7.0</v>
      </c>
      <c r="T52" s="9" t="s">
        <v>38</v>
      </c>
      <c r="U52" s="10">
        <v>6.0</v>
      </c>
      <c r="V52" s="10">
        <v>7.0</v>
      </c>
      <c r="W52" s="10">
        <v>8.0</v>
      </c>
      <c r="X52" s="10">
        <v>9.0</v>
      </c>
      <c r="Y52" s="9" t="s">
        <v>389</v>
      </c>
      <c r="Z52" s="12"/>
      <c r="AA52" s="11" t="s">
        <v>390</v>
      </c>
      <c r="AB52" s="9" t="s">
        <v>39</v>
      </c>
      <c r="AC52" s="10" t="b">
        <v>1</v>
      </c>
      <c r="AD52" s="12"/>
      <c r="AE52" s="12"/>
      <c r="AF52" s="13">
        <f t="shared" si="1"/>
        <v>8.125</v>
      </c>
      <c r="AG52" s="13"/>
    </row>
    <row r="53">
      <c r="A53" s="6" t="s">
        <v>391</v>
      </c>
      <c r="B53" s="6" t="s">
        <v>392</v>
      </c>
      <c r="C53" s="7">
        <v>45754.50478009259</v>
      </c>
      <c r="D53" s="8" t="s">
        <v>393</v>
      </c>
      <c r="E53" s="9" t="s">
        <v>49</v>
      </c>
      <c r="F53" s="10">
        <v>10.0</v>
      </c>
      <c r="G53" s="10">
        <v>8.0</v>
      </c>
      <c r="H53" s="10">
        <v>8.0</v>
      </c>
      <c r="I53" s="10">
        <v>10.0</v>
      </c>
      <c r="J53" s="9" t="s">
        <v>394</v>
      </c>
      <c r="K53" s="10">
        <v>10.0</v>
      </c>
      <c r="L53" s="10">
        <v>8.0</v>
      </c>
      <c r="M53" s="10">
        <v>10.0</v>
      </c>
      <c r="N53" s="10">
        <v>8.0</v>
      </c>
      <c r="O53" s="9" t="s">
        <v>395</v>
      </c>
      <c r="P53" s="10">
        <v>8.0</v>
      </c>
      <c r="Q53" s="10">
        <v>8.0</v>
      </c>
      <c r="R53" s="10">
        <v>8.0</v>
      </c>
      <c r="S53" s="10">
        <v>8.0</v>
      </c>
      <c r="T53" s="9" t="s">
        <v>396</v>
      </c>
      <c r="U53" s="10">
        <v>6.0</v>
      </c>
      <c r="V53" s="10">
        <v>6.0</v>
      </c>
      <c r="W53" s="10">
        <v>8.0</v>
      </c>
      <c r="X53" s="10">
        <v>8.0</v>
      </c>
      <c r="Y53" s="9" t="s">
        <v>397</v>
      </c>
      <c r="Z53" s="9" t="s">
        <v>398</v>
      </c>
      <c r="AA53" s="11" t="s">
        <v>396</v>
      </c>
      <c r="AB53" s="9" t="s">
        <v>39</v>
      </c>
      <c r="AC53" s="10" t="b">
        <v>1</v>
      </c>
      <c r="AD53" s="12"/>
      <c r="AE53" s="12"/>
      <c r="AF53" s="13">
        <f t="shared" si="1"/>
        <v>8.25</v>
      </c>
      <c r="AG53" s="13"/>
    </row>
    <row r="54">
      <c r="A54" s="6" t="s">
        <v>399</v>
      </c>
      <c r="B54" s="6" t="s">
        <v>400</v>
      </c>
      <c r="C54" s="7">
        <v>45737.941782407404</v>
      </c>
      <c r="D54" s="8" t="s">
        <v>401</v>
      </c>
      <c r="E54" s="9" t="s">
        <v>49</v>
      </c>
      <c r="F54" s="25">
        <v>9.0</v>
      </c>
      <c r="G54" s="25">
        <v>8.0</v>
      </c>
      <c r="H54" s="25">
        <v>9.0</v>
      </c>
      <c r="I54" s="25">
        <v>9.0</v>
      </c>
      <c r="J54" s="9" t="s">
        <v>402</v>
      </c>
      <c r="K54" s="25">
        <v>9.0</v>
      </c>
      <c r="L54" s="25">
        <f t="shared" ref="L54:N54" si="26">AVERAGE(L55:L61)</f>
        <v>9.333333333</v>
      </c>
      <c r="M54" s="25">
        <f t="shared" si="26"/>
        <v>9.833333333</v>
      </c>
      <c r="N54" s="25">
        <f t="shared" si="26"/>
        <v>9.666666667</v>
      </c>
      <c r="O54" s="9" t="s">
        <v>403</v>
      </c>
      <c r="P54" s="25">
        <f>AVERAGE(P55:P61)</f>
        <v>9.333333333</v>
      </c>
      <c r="Q54" s="25">
        <v>9.0</v>
      </c>
      <c r="R54" s="25">
        <v>9.0</v>
      </c>
      <c r="S54" s="25">
        <f>AVERAGE(S55:S61)</f>
        <v>8.666666667</v>
      </c>
      <c r="T54" s="9" t="s">
        <v>404</v>
      </c>
      <c r="U54" s="25">
        <v>9.0</v>
      </c>
      <c r="V54" s="25">
        <v>8.0</v>
      </c>
      <c r="W54" s="25">
        <v>8.0</v>
      </c>
      <c r="X54" s="25">
        <v>9.0</v>
      </c>
      <c r="Y54" s="9" t="s">
        <v>405</v>
      </c>
      <c r="Z54" s="9" t="s">
        <v>406</v>
      </c>
      <c r="AA54" s="11" t="s">
        <v>407</v>
      </c>
      <c r="AB54" s="9" t="s">
        <v>39</v>
      </c>
      <c r="AC54" s="10" t="b">
        <v>1</v>
      </c>
      <c r="AD54" s="12"/>
      <c r="AE54" s="12"/>
      <c r="AF54" s="13">
        <f t="shared" si="1"/>
        <v>8.927083333</v>
      </c>
      <c r="AG54" s="13"/>
    </row>
    <row r="55">
      <c r="A55" s="6" t="s">
        <v>408</v>
      </c>
      <c r="B55" s="6" t="s">
        <v>409</v>
      </c>
      <c r="C55" s="7">
        <v>45741.83872685185</v>
      </c>
      <c r="D55" s="8" t="s">
        <v>410</v>
      </c>
      <c r="E55" s="9" t="s">
        <v>49</v>
      </c>
      <c r="F55" s="25">
        <v>9.0</v>
      </c>
      <c r="G55" s="25">
        <v>8.0</v>
      </c>
      <c r="H55" s="25">
        <v>9.0</v>
      </c>
      <c r="I55" s="25">
        <v>9.0</v>
      </c>
      <c r="J55" s="9" t="s">
        <v>411</v>
      </c>
      <c r="K55" s="25">
        <v>9.0</v>
      </c>
      <c r="L55" s="25">
        <f t="shared" ref="L55:N55" si="27">AVERAGE(L56:L61)</f>
        <v>9.333333333</v>
      </c>
      <c r="M55" s="25">
        <f t="shared" si="27"/>
        <v>9.833333333</v>
      </c>
      <c r="N55" s="25">
        <f t="shared" si="27"/>
        <v>9.666666667</v>
      </c>
      <c r="O55" s="9" t="s">
        <v>38</v>
      </c>
      <c r="P55" s="25">
        <f>AVERAGE(P56:P61)</f>
        <v>9.333333333</v>
      </c>
      <c r="Q55" s="25">
        <v>9.0</v>
      </c>
      <c r="R55" s="25">
        <v>9.0</v>
      </c>
      <c r="S55" s="25">
        <f>AVERAGE(S56:S61)</f>
        <v>8.666666667</v>
      </c>
      <c r="T55" s="9" t="s">
        <v>38</v>
      </c>
      <c r="U55" s="25">
        <v>9.0</v>
      </c>
      <c r="V55" s="25">
        <v>8.0</v>
      </c>
      <c r="W55" s="25">
        <v>8.0</v>
      </c>
      <c r="X55" s="25">
        <v>9.0</v>
      </c>
      <c r="Y55" s="9" t="s">
        <v>38</v>
      </c>
      <c r="Z55" s="12"/>
      <c r="AA55" s="18"/>
      <c r="AB55" s="9" t="s">
        <v>39</v>
      </c>
      <c r="AC55" s="10" t="b">
        <v>1</v>
      </c>
      <c r="AD55" s="12"/>
      <c r="AE55" s="12"/>
      <c r="AF55" s="13">
        <f t="shared" si="1"/>
        <v>8.927083333</v>
      </c>
      <c r="AG55" s="13"/>
    </row>
    <row r="56">
      <c r="A56" s="6" t="s">
        <v>412</v>
      </c>
      <c r="B56" s="6" t="s">
        <v>413</v>
      </c>
      <c r="C56" s="7">
        <v>45762.56643518519</v>
      </c>
      <c r="D56" s="8" t="s">
        <v>414</v>
      </c>
      <c r="E56" s="9" t="s">
        <v>49</v>
      </c>
      <c r="F56" s="10">
        <v>8.0</v>
      </c>
      <c r="G56" s="10">
        <v>9.0</v>
      </c>
      <c r="H56" s="10">
        <v>10.0</v>
      </c>
      <c r="I56" s="10">
        <v>9.0</v>
      </c>
      <c r="J56" s="9" t="s">
        <v>415</v>
      </c>
      <c r="K56" s="10">
        <v>10.0</v>
      </c>
      <c r="L56" s="10">
        <v>9.0</v>
      </c>
      <c r="M56" s="10">
        <v>10.0</v>
      </c>
      <c r="N56" s="10">
        <v>10.0</v>
      </c>
      <c r="O56" s="9" t="s">
        <v>38</v>
      </c>
      <c r="P56" s="10">
        <v>10.0</v>
      </c>
      <c r="Q56" s="10">
        <v>10.0</v>
      </c>
      <c r="R56" s="10">
        <v>8.0</v>
      </c>
      <c r="S56" s="10">
        <v>10.0</v>
      </c>
      <c r="T56" s="9" t="s">
        <v>38</v>
      </c>
      <c r="U56" s="10">
        <v>8.0</v>
      </c>
      <c r="V56" s="10">
        <v>10.0</v>
      </c>
      <c r="W56" s="10">
        <v>9.0</v>
      </c>
      <c r="X56" s="10">
        <v>10.0</v>
      </c>
      <c r="Y56" s="9" t="s">
        <v>38</v>
      </c>
      <c r="Z56" s="12"/>
      <c r="AA56" s="18"/>
      <c r="AB56" s="9" t="s">
        <v>39</v>
      </c>
      <c r="AC56" s="10" t="b">
        <v>1</v>
      </c>
      <c r="AD56" s="12"/>
      <c r="AE56" s="12"/>
      <c r="AF56" s="13">
        <f t="shared" si="1"/>
        <v>9.375</v>
      </c>
      <c r="AG56" s="13"/>
    </row>
    <row r="57">
      <c r="A57" s="6" t="s">
        <v>416</v>
      </c>
      <c r="B57" s="6" t="s">
        <v>417</v>
      </c>
      <c r="C57" s="7">
        <v>45754.50069444445</v>
      </c>
      <c r="D57" s="8" t="s">
        <v>418</v>
      </c>
      <c r="E57" s="9" t="s">
        <v>49</v>
      </c>
      <c r="F57" s="10">
        <v>10.0</v>
      </c>
      <c r="G57" s="10">
        <v>10.0</v>
      </c>
      <c r="H57" s="10">
        <v>10.0</v>
      </c>
      <c r="I57" s="10">
        <v>8.0</v>
      </c>
      <c r="J57" s="9" t="s">
        <v>419</v>
      </c>
      <c r="K57" s="10">
        <v>10.0</v>
      </c>
      <c r="L57" s="10">
        <v>10.0</v>
      </c>
      <c r="M57" s="10">
        <v>9.0</v>
      </c>
      <c r="N57" s="10">
        <v>10.0</v>
      </c>
      <c r="O57" s="9" t="s">
        <v>420</v>
      </c>
      <c r="P57" s="10">
        <v>10.0</v>
      </c>
      <c r="Q57" s="10">
        <v>10.0</v>
      </c>
      <c r="R57" s="10">
        <v>10.0</v>
      </c>
      <c r="S57" s="10">
        <v>10.0</v>
      </c>
      <c r="T57" s="9" t="s">
        <v>65</v>
      </c>
      <c r="U57" s="10">
        <v>9.0</v>
      </c>
      <c r="V57" s="10">
        <v>6.0</v>
      </c>
      <c r="W57" s="10">
        <v>10.0</v>
      </c>
      <c r="X57" s="10">
        <v>10.0</v>
      </c>
      <c r="Y57" s="9" t="s">
        <v>421</v>
      </c>
      <c r="Z57" s="9" t="s">
        <v>422</v>
      </c>
      <c r="AA57" s="11" t="s">
        <v>423</v>
      </c>
      <c r="AB57" s="9" t="s">
        <v>39</v>
      </c>
      <c r="AC57" s="10" t="b">
        <v>1</v>
      </c>
      <c r="AD57" s="12"/>
      <c r="AE57" s="12"/>
      <c r="AF57" s="13">
        <f t="shared" si="1"/>
        <v>9.5</v>
      </c>
      <c r="AG57" s="13"/>
    </row>
    <row r="58">
      <c r="A58" s="6" t="s">
        <v>424</v>
      </c>
      <c r="B58" s="6" t="s">
        <v>425</v>
      </c>
      <c r="C58" s="7">
        <v>45754.49471064815</v>
      </c>
      <c r="D58" s="8" t="s">
        <v>426</v>
      </c>
      <c r="E58" s="9" t="s">
        <v>49</v>
      </c>
      <c r="F58" s="10">
        <v>10.0</v>
      </c>
      <c r="G58" s="10">
        <v>9.0</v>
      </c>
      <c r="H58" s="10">
        <v>9.0</v>
      </c>
      <c r="I58" s="10">
        <v>10.0</v>
      </c>
      <c r="J58" s="9" t="s">
        <v>427</v>
      </c>
      <c r="K58" s="10">
        <v>10.0</v>
      </c>
      <c r="L58" s="10">
        <v>9.0</v>
      </c>
      <c r="M58" s="10">
        <v>10.0</v>
      </c>
      <c r="N58" s="10">
        <v>10.0</v>
      </c>
      <c r="O58" s="9" t="s">
        <v>428</v>
      </c>
      <c r="P58" s="10">
        <v>10.0</v>
      </c>
      <c r="Q58" s="10">
        <v>10.0</v>
      </c>
      <c r="R58" s="10">
        <v>10.0</v>
      </c>
      <c r="S58" s="10">
        <v>10.0</v>
      </c>
      <c r="T58" s="9" t="s">
        <v>429</v>
      </c>
      <c r="U58" s="10">
        <v>8.0</v>
      </c>
      <c r="V58" s="10">
        <v>10.0</v>
      </c>
      <c r="W58" s="10">
        <v>10.0</v>
      </c>
      <c r="X58" s="10">
        <v>10.0</v>
      </c>
      <c r="Y58" s="9" t="s">
        <v>430</v>
      </c>
      <c r="Z58" s="12"/>
      <c r="AA58" s="18"/>
      <c r="AB58" s="9" t="s">
        <v>39</v>
      </c>
      <c r="AC58" s="10" t="b">
        <v>1</v>
      </c>
      <c r="AD58" s="12"/>
      <c r="AE58" s="12"/>
      <c r="AF58" s="13">
        <f t="shared" si="1"/>
        <v>9.6875</v>
      </c>
      <c r="AG58" s="13"/>
    </row>
    <row r="59">
      <c r="A59" s="6" t="s">
        <v>431</v>
      </c>
      <c r="B59" s="10" t="s">
        <v>432</v>
      </c>
      <c r="C59" s="10">
        <v>45769.39916666667</v>
      </c>
      <c r="D59" s="14" t="s">
        <v>433</v>
      </c>
      <c r="E59" s="10" t="s">
        <v>434</v>
      </c>
      <c r="F59" s="10">
        <v>9.0</v>
      </c>
      <c r="G59" s="10">
        <v>9.0</v>
      </c>
      <c r="H59" s="10">
        <v>9.0</v>
      </c>
      <c r="I59" s="10">
        <v>9.0</v>
      </c>
      <c r="J59" s="10" t="s">
        <v>435</v>
      </c>
      <c r="K59" s="10">
        <v>8.0</v>
      </c>
      <c r="L59" s="10">
        <v>9.0</v>
      </c>
      <c r="M59" s="10">
        <v>10.0</v>
      </c>
      <c r="N59" s="10">
        <v>10.0</v>
      </c>
      <c r="O59" s="10" t="s">
        <v>436</v>
      </c>
      <c r="P59" s="10">
        <v>9.0</v>
      </c>
      <c r="Q59" s="10">
        <v>9.0</v>
      </c>
      <c r="R59" s="10">
        <v>9.0</v>
      </c>
      <c r="S59" s="10">
        <v>9.0</v>
      </c>
      <c r="T59" s="10" t="s">
        <v>437</v>
      </c>
      <c r="U59" s="10">
        <v>8.0</v>
      </c>
      <c r="V59" s="10">
        <v>8.0</v>
      </c>
      <c r="W59" s="10">
        <v>9.0</v>
      </c>
      <c r="X59" s="10">
        <v>10.0</v>
      </c>
      <c r="Y59" s="10" t="s">
        <v>438</v>
      </c>
      <c r="Z59" s="10"/>
      <c r="AA59" s="15"/>
      <c r="AB59" s="10" t="s">
        <v>39</v>
      </c>
      <c r="AC59" s="10" t="b">
        <v>1</v>
      </c>
      <c r="AD59" s="10"/>
      <c r="AE59" s="10"/>
      <c r="AF59" s="13">
        <f t="shared" si="1"/>
        <v>9</v>
      </c>
      <c r="AG59" s="13"/>
    </row>
    <row r="60">
      <c r="A60" s="6" t="s">
        <v>439</v>
      </c>
      <c r="B60" s="6" t="s">
        <v>440</v>
      </c>
      <c r="C60" s="7">
        <v>45760.50042824074</v>
      </c>
      <c r="D60" s="8" t="s">
        <v>441</v>
      </c>
      <c r="E60" s="9" t="s">
        <v>434</v>
      </c>
      <c r="F60" s="10">
        <v>10.0</v>
      </c>
      <c r="G60" s="10">
        <v>9.0</v>
      </c>
      <c r="H60" s="10">
        <v>9.0</v>
      </c>
      <c r="I60" s="10">
        <v>9.0</v>
      </c>
      <c r="J60" s="9" t="s">
        <v>442</v>
      </c>
      <c r="K60" s="10">
        <v>10.0</v>
      </c>
      <c r="L60" s="10">
        <v>10.0</v>
      </c>
      <c r="M60" s="10">
        <v>10.0</v>
      </c>
      <c r="N60" s="10">
        <v>10.0</v>
      </c>
      <c r="O60" s="9" t="s">
        <v>443</v>
      </c>
      <c r="P60" s="10">
        <v>10.0</v>
      </c>
      <c r="Q60" s="10">
        <v>10.0</v>
      </c>
      <c r="R60" s="10">
        <v>10.0</v>
      </c>
      <c r="S60" s="10">
        <v>8.0</v>
      </c>
      <c r="T60" s="9" t="s">
        <v>444</v>
      </c>
      <c r="U60" s="10">
        <v>9.0</v>
      </c>
      <c r="V60" s="10">
        <v>9.0</v>
      </c>
      <c r="W60" s="10">
        <v>9.0</v>
      </c>
      <c r="X60" s="10">
        <v>10.0</v>
      </c>
      <c r="Y60" s="9" t="s">
        <v>445</v>
      </c>
      <c r="Z60" s="12"/>
      <c r="AA60" s="18"/>
      <c r="AB60" s="9" t="s">
        <v>39</v>
      </c>
      <c r="AC60" s="10" t="b">
        <v>1</v>
      </c>
      <c r="AD60" s="12"/>
      <c r="AE60" s="12"/>
      <c r="AF60" s="13">
        <f t="shared" si="1"/>
        <v>9.5</v>
      </c>
      <c r="AG60" s="13"/>
    </row>
    <row r="61">
      <c r="A61" s="6" t="s">
        <v>446</v>
      </c>
      <c r="B61" s="6" t="s">
        <v>447</v>
      </c>
      <c r="C61" s="7">
        <v>45741.95298611111</v>
      </c>
      <c r="D61" s="8" t="s">
        <v>448</v>
      </c>
      <c r="E61" s="9" t="s">
        <v>449</v>
      </c>
      <c r="F61" s="10">
        <v>8.0</v>
      </c>
      <c r="G61" s="10">
        <v>6.0</v>
      </c>
      <c r="H61" s="10">
        <v>7.0</v>
      </c>
      <c r="I61" s="10">
        <v>9.0</v>
      </c>
      <c r="J61" s="9" t="s">
        <v>450</v>
      </c>
      <c r="K61" s="10">
        <v>10.0</v>
      </c>
      <c r="L61" s="10">
        <v>9.0</v>
      </c>
      <c r="M61" s="10">
        <v>10.0</v>
      </c>
      <c r="N61" s="10">
        <v>8.0</v>
      </c>
      <c r="O61" s="9" t="s">
        <v>451</v>
      </c>
      <c r="P61" s="10">
        <v>7.0</v>
      </c>
      <c r="Q61" s="10">
        <v>6.0</v>
      </c>
      <c r="R61" s="10">
        <v>9.0</v>
      </c>
      <c r="S61" s="10">
        <v>5.0</v>
      </c>
      <c r="T61" s="9" t="s">
        <v>452</v>
      </c>
      <c r="U61" s="10">
        <v>4.0</v>
      </c>
      <c r="V61" s="10">
        <v>6.0</v>
      </c>
      <c r="W61" s="10">
        <v>8.0</v>
      </c>
      <c r="X61" s="10">
        <v>10.0</v>
      </c>
      <c r="Y61" s="9" t="s">
        <v>453</v>
      </c>
      <c r="Z61" s="9" t="s">
        <v>454</v>
      </c>
      <c r="AA61" s="19" t="s">
        <v>455</v>
      </c>
      <c r="AB61" s="9" t="s">
        <v>39</v>
      </c>
      <c r="AC61" s="10" t="b">
        <v>1</v>
      </c>
      <c r="AD61" s="12"/>
      <c r="AE61" s="12"/>
      <c r="AF61" s="13">
        <f t="shared" si="1"/>
        <v>7.625</v>
      </c>
      <c r="AG61" s="13"/>
    </row>
    <row r="62">
      <c r="A62" s="6" t="s">
        <v>456</v>
      </c>
      <c r="B62" s="6" t="s">
        <v>457</v>
      </c>
      <c r="C62" s="7">
        <v>45736.78549768519</v>
      </c>
      <c r="D62" s="8" t="s">
        <v>458</v>
      </c>
      <c r="E62" s="9" t="s">
        <v>449</v>
      </c>
      <c r="F62" s="10">
        <v>9.0</v>
      </c>
      <c r="G62" s="10">
        <v>7.0</v>
      </c>
      <c r="H62" s="10">
        <v>9.0</v>
      </c>
      <c r="I62" s="10">
        <v>4.0</v>
      </c>
      <c r="J62" s="9" t="s">
        <v>459</v>
      </c>
      <c r="K62" s="10">
        <v>9.0</v>
      </c>
      <c r="L62" s="10">
        <v>10.0</v>
      </c>
      <c r="M62" s="10">
        <v>10.0</v>
      </c>
      <c r="N62" s="10">
        <v>10.0</v>
      </c>
      <c r="O62" s="9" t="s">
        <v>460</v>
      </c>
      <c r="P62" s="10">
        <v>8.0</v>
      </c>
      <c r="Q62" s="10">
        <v>10.0</v>
      </c>
      <c r="R62" s="10">
        <v>10.0</v>
      </c>
      <c r="S62" s="10">
        <v>10.0</v>
      </c>
      <c r="T62" s="9" t="s">
        <v>461</v>
      </c>
      <c r="U62" s="10">
        <v>9.0</v>
      </c>
      <c r="V62" s="10">
        <v>5.0</v>
      </c>
      <c r="W62" s="10">
        <v>7.0</v>
      </c>
      <c r="X62" s="10">
        <v>10.0</v>
      </c>
      <c r="Y62" s="9" t="s">
        <v>462</v>
      </c>
      <c r="Z62" s="12"/>
      <c r="AA62" s="18"/>
      <c r="AB62" s="9" t="s">
        <v>39</v>
      </c>
      <c r="AC62" s="10" t="b">
        <v>1</v>
      </c>
      <c r="AD62" s="12"/>
      <c r="AE62" s="12"/>
      <c r="AF62" s="13">
        <f t="shared" si="1"/>
        <v>8.5625</v>
      </c>
      <c r="AG62" s="13"/>
    </row>
    <row r="63">
      <c r="A63" s="6" t="s">
        <v>463</v>
      </c>
      <c r="B63" s="6" t="s">
        <v>464</v>
      </c>
      <c r="C63" s="7">
        <v>45739.57672453704</v>
      </c>
      <c r="D63" s="8" t="s">
        <v>465</v>
      </c>
      <c r="E63" s="9" t="s">
        <v>449</v>
      </c>
      <c r="F63" s="14">
        <f>AVERAGE(F64:F67)</f>
        <v>6.25</v>
      </c>
      <c r="G63" s="14">
        <v>8.0</v>
      </c>
      <c r="H63" s="14">
        <v>9.0</v>
      </c>
      <c r="I63" s="14">
        <v>8.0</v>
      </c>
      <c r="J63" s="9" t="s">
        <v>466</v>
      </c>
      <c r="K63" s="14">
        <v>10.0</v>
      </c>
      <c r="L63" s="14">
        <f t="shared" ref="L63:N63" si="28">AVERAGE(L64:L67)</f>
        <v>7</v>
      </c>
      <c r="M63" s="14">
        <f t="shared" si="28"/>
        <v>5.75</v>
      </c>
      <c r="N63" s="14">
        <f t="shared" si="28"/>
        <v>5.5</v>
      </c>
      <c r="O63" s="9" t="s">
        <v>467</v>
      </c>
      <c r="P63" s="14">
        <f t="shared" ref="P63:R63" si="29">AVERAGE(P64:P67)</f>
        <v>5.75</v>
      </c>
      <c r="Q63" s="14">
        <f t="shared" si="29"/>
        <v>6.25</v>
      </c>
      <c r="R63" s="14">
        <f t="shared" si="29"/>
        <v>6</v>
      </c>
      <c r="S63" s="14">
        <v>9.0</v>
      </c>
      <c r="T63" s="9" t="s">
        <v>86</v>
      </c>
      <c r="U63" s="14">
        <v>8.0</v>
      </c>
      <c r="V63" s="14">
        <v>7.0</v>
      </c>
      <c r="W63" s="14">
        <f t="shared" ref="W63:X63" si="30">AVERAGE(W64:W67)</f>
        <v>6.25</v>
      </c>
      <c r="X63" s="14">
        <f t="shared" si="30"/>
        <v>7.75</v>
      </c>
      <c r="Y63" s="9" t="s">
        <v>468</v>
      </c>
      <c r="Z63" s="9" t="s">
        <v>86</v>
      </c>
      <c r="AA63" s="11" t="s">
        <v>86</v>
      </c>
      <c r="AB63" s="9" t="s">
        <v>39</v>
      </c>
      <c r="AC63" s="10" t="b">
        <v>1</v>
      </c>
      <c r="AD63" s="12"/>
      <c r="AE63" s="12"/>
      <c r="AF63" s="13">
        <f t="shared" si="1"/>
        <v>7.21875</v>
      </c>
      <c r="AG63" s="13"/>
    </row>
    <row r="64">
      <c r="A64" s="6" t="s">
        <v>469</v>
      </c>
      <c r="B64" s="6" t="s">
        <v>470</v>
      </c>
      <c r="C64" s="7">
        <v>45742.57305555556</v>
      </c>
      <c r="D64" s="8" t="s">
        <v>471</v>
      </c>
      <c r="E64" s="9" t="s">
        <v>449</v>
      </c>
      <c r="F64" s="10">
        <v>9.0</v>
      </c>
      <c r="G64" s="10">
        <v>8.0</v>
      </c>
      <c r="H64" s="10">
        <v>9.0</v>
      </c>
      <c r="I64" s="10">
        <v>9.0</v>
      </c>
      <c r="J64" s="9" t="s">
        <v>472</v>
      </c>
      <c r="K64" s="10">
        <v>10.0</v>
      </c>
      <c r="L64" s="10">
        <v>9.0</v>
      </c>
      <c r="M64" s="10">
        <v>10.0</v>
      </c>
      <c r="N64" s="10">
        <v>10.0</v>
      </c>
      <c r="O64" s="9" t="s">
        <v>70</v>
      </c>
      <c r="P64" s="10">
        <v>9.0</v>
      </c>
      <c r="Q64" s="10">
        <v>9.0</v>
      </c>
      <c r="R64" s="10">
        <v>10.0</v>
      </c>
      <c r="S64" s="10">
        <v>9.0</v>
      </c>
      <c r="T64" s="9" t="s">
        <v>38</v>
      </c>
      <c r="U64" s="10">
        <v>9.0</v>
      </c>
      <c r="V64" s="10">
        <v>9.0</v>
      </c>
      <c r="W64" s="10">
        <v>9.0</v>
      </c>
      <c r="X64" s="10">
        <v>10.0</v>
      </c>
      <c r="Y64" s="9" t="s">
        <v>473</v>
      </c>
      <c r="Z64" s="9" t="s">
        <v>474</v>
      </c>
      <c r="AA64" s="11" t="s">
        <v>475</v>
      </c>
      <c r="AB64" s="9" t="s">
        <v>39</v>
      </c>
      <c r="AC64" s="10" t="b">
        <v>1</v>
      </c>
      <c r="AD64" s="12"/>
      <c r="AE64" s="12"/>
      <c r="AF64" s="13">
        <f t="shared" si="1"/>
        <v>9.25</v>
      </c>
      <c r="AG64" s="13"/>
    </row>
    <row r="65">
      <c r="A65" s="6" t="s">
        <v>476</v>
      </c>
      <c r="B65" s="6" t="s">
        <v>477</v>
      </c>
      <c r="C65" s="7">
        <v>45762.26619212963</v>
      </c>
      <c r="D65" s="8" t="s">
        <v>478</v>
      </c>
      <c r="E65" s="9" t="s">
        <v>449</v>
      </c>
      <c r="F65" s="10">
        <v>8.0</v>
      </c>
      <c r="G65" s="10">
        <v>10.0</v>
      </c>
      <c r="H65" s="10">
        <v>10.0</v>
      </c>
      <c r="I65" s="10">
        <v>9.0</v>
      </c>
      <c r="J65" s="9" t="s">
        <v>479</v>
      </c>
      <c r="K65" s="10">
        <v>10.0</v>
      </c>
      <c r="L65" s="10">
        <v>10.0</v>
      </c>
      <c r="M65" s="10">
        <v>10.0</v>
      </c>
      <c r="N65" s="10">
        <v>10.0</v>
      </c>
      <c r="O65" s="9" t="s">
        <v>480</v>
      </c>
      <c r="P65" s="10">
        <v>10.0</v>
      </c>
      <c r="Q65" s="10">
        <v>10.0</v>
      </c>
      <c r="R65" s="10">
        <v>10.0</v>
      </c>
      <c r="S65" s="10">
        <v>10.0</v>
      </c>
      <c r="T65" s="9" t="s">
        <v>481</v>
      </c>
      <c r="U65" s="10">
        <v>8.0</v>
      </c>
      <c r="V65" s="10">
        <v>7.0</v>
      </c>
      <c r="W65" s="10">
        <v>10.0</v>
      </c>
      <c r="X65" s="10">
        <v>10.0</v>
      </c>
      <c r="Y65" s="9" t="s">
        <v>482</v>
      </c>
      <c r="Z65" s="12"/>
      <c r="AA65" s="18"/>
      <c r="AB65" s="9" t="s">
        <v>39</v>
      </c>
      <c r="AC65" s="10" t="b">
        <v>1</v>
      </c>
      <c r="AD65" s="12"/>
      <c r="AE65" s="12"/>
      <c r="AF65" s="13">
        <f t="shared" si="1"/>
        <v>9.5</v>
      </c>
      <c r="AG65" s="13"/>
    </row>
    <row r="66">
      <c r="A66" s="6" t="s">
        <v>483</v>
      </c>
      <c r="B66" s="6" t="s">
        <v>484</v>
      </c>
      <c r="C66" s="7">
        <v>45736.790972222225</v>
      </c>
      <c r="D66" s="8" t="s">
        <v>485</v>
      </c>
      <c r="E66" s="9" t="s">
        <v>486</v>
      </c>
      <c r="F66" s="10">
        <v>3.0</v>
      </c>
      <c r="G66" s="10">
        <v>2.0</v>
      </c>
      <c r="H66" s="10">
        <v>4.0</v>
      </c>
      <c r="I66" s="10">
        <v>1.0</v>
      </c>
      <c r="J66" s="9" t="s">
        <v>487</v>
      </c>
      <c r="K66" s="10">
        <v>4.0</v>
      </c>
      <c r="L66" s="10">
        <v>4.0</v>
      </c>
      <c r="M66" s="10">
        <v>2.0</v>
      </c>
      <c r="N66" s="10">
        <v>1.0</v>
      </c>
      <c r="O66" s="9" t="s">
        <v>488</v>
      </c>
      <c r="P66" s="10">
        <v>2.0</v>
      </c>
      <c r="Q66" s="10">
        <v>4.0</v>
      </c>
      <c r="R66" s="10">
        <v>2.0</v>
      </c>
      <c r="S66" s="10">
        <v>3.0</v>
      </c>
      <c r="T66" s="9" t="s">
        <v>489</v>
      </c>
      <c r="U66" s="10">
        <v>1.0</v>
      </c>
      <c r="V66" s="10">
        <v>1.0</v>
      </c>
      <c r="W66" s="10">
        <v>4.0</v>
      </c>
      <c r="X66" s="10">
        <v>6.0</v>
      </c>
      <c r="Y66" s="9" t="s">
        <v>490</v>
      </c>
      <c r="Z66" s="9" t="s">
        <v>491</v>
      </c>
      <c r="AA66" s="19" t="s">
        <v>492</v>
      </c>
      <c r="AB66" s="9" t="s">
        <v>39</v>
      </c>
      <c r="AC66" s="10" t="b">
        <v>1</v>
      </c>
      <c r="AD66" s="12"/>
      <c r="AE66" s="12"/>
      <c r="AF66" s="13">
        <f t="shared" si="1"/>
        <v>2.75</v>
      </c>
      <c r="AG66" s="13"/>
    </row>
    <row r="67">
      <c r="A67" s="6" t="s">
        <v>493</v>
      </c>
      <c r="B67" s="6" t="s">
        <v>494</v>
      </c>
      <c r="C67" s="7">
        <v>45759.59667824074</v>
      </c>
      <c r="D67" s="8" t="s">
        <v>495</v>
      </c>
      <c r="E67" s="9" t="s">
        <v>486</v>
      </c>
      <c r="F67" s="10">
        <v>5.0</v>
      </c>
      <c r="G67" s="10">
        <v>5.0</v>
      </c>
      <c r="H67" s="10">
        <v>2.0</v>
      </c>
      <c r="I67" s="10">
        <v>2.0</v>
      </c>
      <c r="J67" s="9" t="s">
        <v>496</v>
      </c>
      <c r="K67" s="10">
        <v>5.0</v>
      </c>
      <c r="L67" s="10">
        <v>5.0</v>
      </c>
      <c r="M67" s="10">
        <v>1.0</v>
      </c>
      <c r="N67" s="10">
        <v>1.0</v>
      </c>
      <c r="O67" s="9" t="s">
        <v>497</v>
      </c>
      <c r="P67" s="10">
        <v>2.0</v>
      </c>
      <c r="Q67" s="10">
        <v>2.0</v>
      </c>
      <c r="R67" s="10">
        <v>2.0</v>
      </c>
      <c r="S67" s="10">
        <v>5.0</v>
      </c>
      <c r="T67" s="9" t="s">
        <v>497</v>
      </c>
      <c r="U67" s="10">
        <v>2.0</v>
      </c>
      <c r="V67" s="10">
        <v>2.0</v>
      </c>
      <c r="W67" s="10">
        <v>2.0</v>
      </c>
      <c r="X67" s="10">
        <v>5.0</v>
      </c>
      <c r="Y67" s="9" t="s">
        <v>497</v>
      </c>
      <c r="Z67" s="12"/>
      <c r="AA67" s="18"/>
      <c r="AB67" s="9" t="s">
        <v>39</v>
      </c>
      <c r="AC67" s="10" t="b">
        <v>1</v>
      </c>
      <c r="AD67" s="12"/>
      <c r="AE67" s="12"/>
      <c r="AF67" s="13">
        <f t="shared" si="1"/>
        <v>3</v>
      </c>
      <c r="AG67" s="13"/>
    </row>
    <row r="68">
      <c r="A68" s="6" t="s">
        <v>378</v>
      </c>
      <c r="B68" s="6" t="s">
        <v>498</v>
      </c>
      <c r="C68" s="7">
        <v>45753.433645833335</v>
      </c>
      <c r="D68" s="8" t="s">
        <v>499</v>
      </c>
      <c r="E68" s="9" t="s">
        <v>486</v>
      </c>
      <c r="F68" s="10">
        <v>4.0</v>
      </c>
      <c r="G68" s="10">
        <v>4.0</v>
      </c>
      <c r="H68" s="10">
        <v>4.0</v>
      </c>
      <c r="I68" s="10">
        <v>3.0</v>
      </c>
      <c r="J68" s="9" t="s">
        <v>500</v>
      </c>
      <c r="K68" s="10">
        <v>9.0</v>
      </c>
      <c r="L68" s="10">
        <v>9.0</v>
      </c>
      <c r="M68" s="10">
        <v>9.0</v>
      </c>
      <c r="N68" s="10">
        <v>4.0</v>
      </c>
      <c r="O68" s="9" t="s">
        <v>501</v>
      </c>
      <c r="P68" s="10">
        <v>5.0</v>
      </c>
      <c r="Q68" s="10">
        <v>5.0</v>
      </c>
      <c r="R68" s="10">
        <v>5.0</v>
      </c>
      <c r="S68" s="10">
        <v>2.0</v>
      </c>
      <c r="T68" s="9" t="s">
        <v>502</v>
      </c>
      <c r="U68" s="10">
        <v>4.0</v>
      </c>
      <c r="V68" s="10">
        <v>3.0</v>
      </c>
      <c r="W68" s="10">
        <v>4.0</v>
      </c>
      <c r="X68" s="10">
        <v>9.0</v>
      </c>
      <c r="Y68" s="9" t="s">
        <v>503</v>
      </c>
      <c r="Z68" s="9" t="s">
        <v>504</v>
      </c>
      <c r="AA68" s="19" t="s">
        <v>505</v>
      </c>
      <c r="AB68" s="9" t="s">
        <v>39</v>
      </c>
      <c r="AC68" s="10" t="b">
        <v>1</v>
      </c>
      <c r="AD68" s="12"/>
      <c r="AE68" s="12"/>
      <c r="AF68" s="13">
        <f t="shared" si="1"/>
        <v>5.1875</v>
      </c>
      <c r="AG68" s="26"/>
    </row>
    <row r="69">
      <c r="A69" s="6" t="s">
        <v>384</v>
      </c>
      <c r="B69" s="6" t="s">
        <v>506</v>
      </c>
      <c r="C69" s="7">
        <v>45760.30902777778</v>
      </c>
      <c r="D69" s="8" t="s">
        <v>507</v>
      </c>
      <c r="E69" s="9" t="s">
        <v>486</v>
      </c>
      <c r="F69" s="25">
        <f>AVERAGE(F70:F75)</f>
        <v>8.166666667</v>
      </c>
      <c r="G69" s="25">
        <v>6.0</v>
      </c>
      <c r="H69" s="25">
        <v>6.0</v>
      </c>
      <c r="I69" s="25">
        <v>5.0</v>
      </c>
      <c r="J69" s="9" t="s">
        <v>508</v>
      </c>
      <c r="K69" s="25">
        <v>7.0</v>
      </c>
      <c r="L69" s="25">
        <v>5.0</v>
      </c>
      <c r="M69" s="25">
        <f t="shared" ref="M69:N69" si="31">AVERAGE(M70:M75)</f>
        <v>9</v>
      </c>
      <c r="N69" s="25">
        <f t="shared" si="31"/>
        <v>8.333333333</v>
      </c>
      <c r="O69" s="9" t="s">
        <v>509</v>
      </c>
      <c r="P69" s="25">
        <v>5.0</v>
      </c>
      <c r="Q69" s="25">
        <v>4.0</v>
      </c>
      <c r="R69" s="25">
        <v>4.0</v>
      </c>
      <c r="S69" s="25">
        <f>AVERAGE(S70:S75)</f>
        <v>6.5</v>
      </c>
      <c r="T69" s="9" t="s">
        <v>510</v>
      </c>
      <c r="U69" s="25">
        <v>4.0</v>
      </c>
      <c r="V69" s="25">
        <f t="shared" ref="V69:W69" si="32">AVERAGE(V70:V75)</f>
        <v>7.166666667</v>
      </c>
      <c r="W69" s="25">
        <f t="shared" si="32"/>
        <v>7.666666667</v>
      </c>
      <c r="X69" s="25">
        <v>6.0</v>
      </c>
      <c r="Y69" s="9" t="s">
        <v>511</v>
      </c>
      <c r="Z69" s="9" t="s">
        <v>512</v>
      </c>
      <c r="AA69" s="11" t="s">
        <v>513</v>
      </c>
      <c r="AB69" s="9" t="s">
        <v>39</v>
      </c>
      <c r="AC69" s="10" t="b">
        <v>1</v>
      </c>
      <c r="AD69" s="12"/>
      <c r="AE69" s="12"/>
      <c r="AF69" s="13">
        <f t="shared" si="1"/>
        <v>6.177083333</v>
      </c>
      <c r="AG69" s="26"/>
    </row>
    <row r="70">
      <c r="A70" s="6" t="s">
        <v>514</v>
      </c>
      <c r="B70" s="6" t="s">
        <v>515</v>
      </c>
      <c r="C70" s="7">
        <v>45744.68071759259</v>
      </c>
      <c r="D70" s="8" t="s">
        <v>516</v>
      </c>
      <c r="E70" s="9" t="s">
        <v>486</v>
      </c>
      <c r="F70" s="10">
        <v>8.0</v>
      </c>
      <c r="G70" s="10">
        <v>8.0</v>
      </c>
      <c r="H70" s="10">
        <v>6.0</v>
      </c>
      <c r="I70" s="10">
        <v>5.0</v>
      </c>
      <c r="J70" s="9" t="s">
        <v>517</v>
      </c>
      <c r="K70" s="10">
        <v>10.0</v>
      </c>
      <c r="L70" s="10">
        <v>2.0</v>
      </c>
      <c r="M70" s="10">
        <v>10.0</v>
      </c>
      <c r="N70" s="10">
        <v>9.0</v>
      </c>
      <c r="O70" s="9" t="s">
        <v>518</v>
      </c>
      <c r="P70" s="10">
        <v>7.0</v>
      </c>
      <c r="Q70" s="10">
        <v>5.0</v>
      </c>
      <c r="R70" s="10">
        <v>4.0</v>
      </c>
      <c r="S70" s="10">
        <v>3.0</v>
      </c>
      <c r="T70" s="9" t="s">
        <v>519</v>
      </c>
      <c r="U70" s="10">
        <v>3.0</v>
      </c>
      <c r="V70" s="10">
        <v>7.0</v>
      </c>
      <c r="W70" s="10">
        <v>8.0</v>
      </c>
      <c r="X70" s="10">
        <v>7.0</v>
      </c>
      <c r="Y70" s="9" t="s">
        <v>520</v>
      </c>
      <c r="Z70" s="9" t="s">
        <v>521</v>
      </c>
      <c r="AA70" s="19" t="s">
        <v>522</v>
      </c>
      <c r="AB70" s="9" t="s">
        <v>39</v>
      </c>
      <c r="AC70" s="10" t="b">
        <v>1</v>
      </c>
      <c r="AD70" s="12"/>
      <c r="AE70" s="12"/>
      <c r="AF70" s="13">
        <f t="shared" si="1"/>
        <v>6.375</v>
      </c>
      <c r="AG70" s="26"/>
    </row>
    <row r="71">
      <c r="A71" s="6" t="s">
        <v>523</v>
      </c>
      <c r="B71" s="6" t="s">
        <v>524</v>
      </c>
      <c r="C71" s="7">
        <v>45753.438796296294</v>
      </c>
      <c r="D71" s="8" t="s">
        <v>525</v>
      </c>
      <c r="E71" s="9" t="s">
        <v>486</v>
      </c>
      <c r="F71" s="10">
        <v>8.0</v>
      </c>
      <c r="G71" s="10">
        <v>7.0</v>
      </c>
      <c r="H71" s="10">
        <v>7.0</v>
      </c>
      <c r="I71" s="10">
        <v>6.0</v>
      </c>
      <c r="J71" s="9" t="s">
        <v>396</v>
      </c>
      <c r="K71" s="10">
        <v>9.0</v>
      </c>
      <c r="L71" s="10">
        <v>7.0</v>
      </c>
      <c r="M71" s="10">
        <v>8.0</v>
      </c>
      <c r="N71" s="10">
        <v>7.0</v>
      </c>
      <c r="O71" s="9" t="s">
        <v>396</v>
      </c>
      <c r="P71" s="10">
        <v>6.0</v>
      </c>
      <c r="Q71" s="10">
        <v>6.0</v>
      </c>
      <c r="R71" s="10">
        <v>6.0</v>
      </c>
      <c r="S71" s="10">
        <v>5.0</v>
      </c>
      <c r="T71" s="9" t="s">
        <v>526</v>
      </c>
      <c r="U71" s="10">
        <v>4.0</v>
      </c>
      <c r="V71" s="10">
        <v>6.0</v>
      </c>
      <c r="W71" s="10">
        <v>6.0</v>
      </c>
      <c r="X71" s="10">
        <v>7.0</v>
      </c>
      <c r="Y71" s="9" t="s">
        <v>526</v>
      </c>
      <c r="Z71" s="9" t="s">
        <v>527</v>
      </c>
      <c r="AA71" s="18"/>
      <c r="AB71" s="9" t="s">
        <v>39</v>
      </c>
      <c r="AC71" s="10" t="b">
        <v>1</v>
      </c>
      <c r="AD71" s="12"/>
      <c r="AE71" s="12"/>
      <c r="AF71" s="13">
        <f t="shared" si="1"/>
        <v>6.5625</v>
      </c>
      <c r="AG71" s="26"/>
    </row>
    <row r="72">
      <c r="A72" s="6" t="s">
        <v>528</v>
      </c>
      <c r="B72" s="6" t="s">
        <v>529</v>
      </c>
      <c r="C72" s="7">
        <v>45752.80008101852</v>
      </c>
      <c r="D72" s="8" t="s">
        <v>530</v>
      </c>
      <c r="E72" s="9" t="s">
        <v>486</v>
      </c>
      <c r="F72" s="10">
        <v>8.0</v>
      </c>
      <c r="G72" s="10">
        <v>7.0</v>
      </c>
      <c r="H72" s="10">
        <v>8.0</v>
      </c>
      <c r="I72" s="10">
        <v>7.0</v>
      </c>
      <c r="J72" s="9" t="s">
        <v>531</v>
      </c>
      <c r="K72" s="10">
        <v>9.0</v>
      </c>
      <c r="L72" s="10">
        <v>8.0</v>
      </c>
      <c r="M72" s="10">
        <v>8.0</v>
      </c>
      <c r="N72" s="10">
        <v>8.0</v>
      </c>
      <c r="O72" s="9" t="s">
        <v>367</v>
      </c>
      <c r="P72" s="10">
        <v>6.0</v>
      </c>
      <c r="Q72" s="10">
        <v>5.0</v>
      </c>
      <c r="R72" s="10">
        <v>7.0</v>
      </c>
      <c r="S72" s="10">
        <v>6.0</v>
      </c>
      <c r="T72" s="9" t="s">
        <v>532</v>
      </c>
      <c r="U72" s="10">
        <v>5.0</v>
      </c>
      <c r="V72" s="10">
        <v>5.0</v>
      </c>
      <c r="W72" s="10">
        <v>6.0</v>
      </c>
      <c r="X72" s="10">
        <v>7.0</v>
      </c>
      <c r="Y72" s="9" t="s">
        <v>533</v>
      </c>
      <c r="Z72" s="9" t="s">
        <v>367</v>
      </c>
      <c r="AA72" s="11" t="s">
        <v>367</v>
      </c>
      <c r="AB72" s="9" t="s">
        <v>39</v>
      </c>
      <c r="AC72" s="10" t="b">
        <v>1</v>
      </c>
      <c r="AD72" s="12"/>
      <c r="AE72" s="12"/>
      <c r="AF72" s="13">
        <f t="shared" si="1"/>
        <v>6.875</v>
      </c>
      <c r="AG72" s="26"/>
    </row>
    <row r="73">
      <c r="A73" s="6" t="s">
        <v>534</v>
      </c>
      <c r="B73" s="6" t="s">
        <v>535</v>
      </c>
      <c r="C73" s="7">
        <v>45760.21417824074</v>
      </c>
      <c r="D73" s="8" t="s">
        <v>536</v>
      </c>
      <c r="E73" s="9" t="s">
        <v>537</v>
      </c>
      <c r="F73" s="10">
        <v>7.0</v>
      </c>
      <c r="G73" s="10">
        <v>7.0</v>
      </c>
      <c r="H73" s="10">
        <v>8.0</v>
      </c>
      <c r="I73" s="10">
        <v>9.0</v>
      </c>
      <c r="J73" s="9" t="s">
        <v>538</v>
      </c>
      <c r="K73" s="10">
        <v>9.0</v>
      </c>
      <c r="L73" s="10">
        <v>8.0</v>
      </c>
      <c r="M73" s="10">
        <v>9.0</v>
      </c>
      <c r="N73" s="10">
        <v>7.0</v>
      </c>
      <c r="O73" s="9" t="s">
        <v>539</v>
      </c>
      <c r="P73" s="10">
        <v>8.0</v>
      </c>
      <c r="Q73" s="10">
        <v>9.0</v>
      </c>
      <c r="R73" s="10">
        <v>9.0</v>
      </c>
      <c r="S73" s="10">
        <v>7.0</v>
      </c>
      <c r="T73" s="9" t="s">
        <v>540</v>
      </c>
      <c r="U73" s="10">
        <v>7.0</v>
      </c>
      <c r="V73" s="10">
        <v>7.0</v>
      </c>
      <c r="W73" s="10">
        <v>8.0</v>
      </c>
      <c r="X73" s="10">
        <v>8.0</v>
      </c>
      <c r="Y73" s="9" t="s">
        <v>541</v>
      </c>
      <c r="Z73" s="12"/>
      <c r="AA73" s="19" t="s">
        <v>542</v>
      </c>
      <c r="AB73" s="9" t="s">
        <v>39</v>
      </c>
      <c r="AC73" s="10" t="b">
        <v>1</v>
      </c>
      <c r="AD73" s="12"/>
      <c r="AE73" s="12"/>
      <c r="AF73" s="13">
        <f t="shared" si="1"/>
        <v>7.9375</v>
      </c>
      <c r="AG73" s="26"/>
    </row>
    <row r="74">
      <c r="A74" s="6" t="s">
        <v>67</v>
      </c>
      <c r="B74" s="6" t="s">
        <v>543</v>
      </c>
      <c r="C74" s="7">
        <v>45739.108506944445</v>
      </c>
      <c r="D74" s="8" t="s">
        <v>544</v>
      </c>
      <c r="E74" s="9" t="s">
        <v>537</v>
      </c>
      <c r="F74" s="10">
        <v>9.0</v>
      </c>
      <c r="G74" s="10">
        <v>9.0</v>
      </c>
      <c r="H74" s="10">
        <v>9.0</v>
      </c>
      <c r="I74" s="10">
        <v>9.0</v>
      </c>
      <c r="J74" s="9" t="s">
        <v>545</v>
      </c>
      <c r="K74" s="10">
        <v>9.0</v>
      </c>
      <c r="L74" s="10">
        <v>9.0</v>
      </c>
      <c r="M74" s="10">
        <v>9.0</v>
      </c>
      <c r="N74" s="10">
        <v>9.0</v>
      </c>
      <c r="O74" s="9" t="s">
        <v>546</v>
      </c>
      <c r="P74" s="10">
        <v>9.0</v>
      </c>
      <c r="Q74" s="10">
        <v>9.0</v>
      </c>
      <c r="R74" s="10">
        <v>9.0</v>
      </c>
      <c r="S74" s="10">
        <v>9.0</v>
      </c>
      <c r="T74" s="9" t="s">
        <v>547</v>
      </c>
      <c r="U74" s="10">
        <v>8.0</v>
      </c>
      <c r="V74" s="10">
        <v>9.0</v>
      </c>
      <c r="W74" s="10">
        <v>9.0</v>
      </c>
      <c r="X74" s="10">
        <v>9.0</v>
      </c>
      <c r="Y74" s="9" t="s">
        <v>70</v>
      </c>
      <c r="Z74" s="9" t="s">
        <v>548</v>
      </c>
      <c r="AA74" s="11" t="s">
        <v>38</v>
      </c>
      <c r="AB74" s="9" t="s">
        <v>39</v>
      </c>
      <c r="AC74" s="10" t="b">
        <v>1</v>
      </c>
      <c r="AD74" s="12"/>
      <c r="AE74" s="12"/>
      <c r="AF74" s="13">
        <f t="shared" si="1"/>
        <v>8.9375</v>
      </c>
      <c r="AG74" s="26"/>
    </row>
    <row r="75">
      <c r="A75" s="6" t="s">
        <v>549</v>
      </c>
      <c r="B75" s="6" t="s">
        <v>550</v>
      </c>
      <c r="C75" s="7">
        <v>45762.37856481481</v>
      </c>
      <c r="D75" s="8" t="s">
        <v>551</v>
      </c>
      <c r="E75" s="9" t="s">
        <v>537</v>
      </c>
      <c r="F75" s="10">
        <v>9.0</v>
      </c>
      <c r="G75" s="10">
        <v>9.0</v>
      </c>
      <c r="H75" s="10">
        <v>9.0</v>
      </c>
      <c r="I75" s="10">
        <v>9.0</v>
      </c>
      <c r="J75" s="9" t="s">
        <v>552</v>
      </c>
      <c r="K75" s="10">
        <v>9.0</v>
      </c>
      <c r="L75" s="10">
        <v>9.0</v>
      </c>
      <c r="M75" s="10">
        <v>10.0</v>
      </c>
      <c r="N75" s="10">
        <v>10.0</v>
      </c>
      <c r="O75" s="10" t="s">
        <v>553</v>
      </c>
      <c r="P75" s="10">
        <v>10.0</v>
      </c>
      <c r="Q75" s="10">
        <v>9.0</v>
      </c>
      <c r="R75" s="10">
        <v>9.0</v>
      </c>
      <c r="S75" s="10">
        <v>9.0</v>
      </c>
      <c r="T75" s="10" t="s">
        <v>553</v>
      </c>
      <c r="U75" s="10">
        <v>8.0</v>
      </c>
      <c r="V75" s="10">
        <v>9.0</v>
      </c>
      <c r="W75" s="10">
        <v>9.0</v>
      </c>
      <c r="X75" s="10">
        <v>10.0</v>
      </c>
      <c r="Y75" s="9" t="s">
        <v>554</v>
      </c>
      <c r="Z75" s="9" t="s">
        <v>555</v>
      </c>
      <c r="AA75" s="18"/>
      <c r="AB75" s="9" t="s">
        <v>39</v>
      </c>
      <c r="AC75" s="10" t="b">
        <v>1</v>
      </c>
      <c r="AD75" s="12"/>
      <c r="AE75" s="12"/>
      <c r="AF75" s="13">
        <f t="shared" si="1"/>
        <v>9.1875</v>
      </c>
      <c r="AG75" s="26"/>
    </row>
    <row r="76">
      <c r="A76" s="6" t="s">
        <v>556</v>
      </c>
      <c r="B76" s="6" t="s">
        <v>557</v>
      </c>
      <c r="C76" s="7">
        <v>45742.50550925926</v>
      </c>
      <c r="D76" s="8" t="s">
        <v>558</v>
      </c>
      <c r="E76" s="9" t="s">
        <v>559</v>
      </c>
      <c r="F76" s="10">
        <v>7.0</v>
      </c>
      <c r="G76" s="10">
        <v>4.0</v>
      </c>
      <c r="H76" s="10">
        <v>6.0</v>
      </c>
      <c r="I76" s="10">
        <v>7.0</v>
      </c>
      <c r="J76" s="9" t="s">
        <v>560</v>
      </c>
      <c r="K76" s="10">
        <v>8.0</v>
      </c>
      <c r="L76" s="10">
        <v>7.0</v>
      </c>
      <c r="M76" s="10">
        <v>6.0</v>
      </c>
      <c r="N76" s="10">
        <v>3.0</v>
      </c>
      <c r="O76" s="9" t="s">
        <v>561</v>
      </c>
      <c r="P76" s="10">
        <v>4.0</v>
      </c>
      <c r="Q76" s="10">
        <v>7.0</v>
      </c>
      <c r="R76" s="10">
        <v>3.0</v>
      </c>
      <c r="S76" s="10">
        <v>4.0</v>
      </c>
      <c r="T76" s="9" t="s">
        <v>562</v>
      </c>
      <c r="U76" s="10">
        <v>3.0</v>
      </c>
      <c r="V76" s="10">
        <v>4.0</v>
      </c>
      <c r="W76" s="10">
        <v>5.0</v>
      </c>
      <c r="X76" s="10">
        <v>7.0</v>
      </c>
      <c r="Y76" s="9" t="s">
        <v>563</v>
      </c>
      <c r="Z76" s="9" t="s">
        <v>564</v>
      </c>
      <c r="AA76" s="18"/>
      <c r="AB76" s="9" t="s">
        <v>39</v>
      </c>
      <c r="AC76" s="10" t="b">
        <v>1</v>
      </c>
      <c r="AD76" s="12"/>
      <c r="AE76" s="12"/>
      <c r="AF76" s="13">
        <f t="shared" si="1"/>
        <v>5.3125</v>
      </c>
      <c r="AG76" s="26"/>
    </row>
    <row r="77">
      <c r="A77" s="27"/>
      <c r="B77" s="6" t="s">
        <v>565</v>
      </c>
      <c r="C77" s="7">
        <v>45741.53380787037</v>
      </c>
      <c r="D77" s="8" t="s">
        <v>537</v>
      </c>
      <c r="E77" s="9" t="s">
        <v>559</v>
      </c>
      <c r="F77" s="10">
        <v>9.0</v>
      </c>
      <c r="G77" s="10">
        <v>7.0</v>
      </c>
      <c r="H77" s="10">
        <v>5.0</v>
      </c>
      <c r="I77" s="10">
        <v>5.0</v>
      </c>
      <c r="J77" s="9" t="s">
        <v>65</v>
      </c>
      <c r="K77" s="10">
        <v>5.0</v>
      </c>
      <c r="L77" s="10">
        <v>9.0</v>
      </c>
      <c r="M77" s="10">
        <v>10.0</v>
      </c>
      <c r="N77" s="10">
        <v>2.0</v>
      </c>
      <c r="O77" s="9" t="s">
        <v>65</v>
      </c>
      <c r="P77" s="10">
        <v>5.0</v>
      </c>
      <c r="Q77" s="10">
        <v>8.0</v>
      </c>
      <c r="R77" s="10">
        <v>3.0</v>
      </c>
      <c r="S77" s="10">
        <v>8.0</v>
      </c>
      <c r="T77" s="9" t="s">
        <v>65</v>
      </c>
      <c r="U77" s="10">
        <v>4.0</v>
      </c>
      <c r="V77" s="10">
        <v>7.0</v>
      </c>
      <c r="W77" s="10">
        <v>8.0</v>
      </c>
      <c r="X77" s="10">
        <v>7.0</v>
      </c>
      <c r="Y77" s="9" t="s">
        <v>65</v>
      </c>
      <c r="Z77" s="12"/>
      <c r="AA77" s="18"/>
      <c r="AB77" s="9" t="s">
        <v>39</v>
      </c>
      <c r="AC77" s="10" t="b">
        <v>1</v>
      </c>
      <c r="AD77" s="12"/>
      <c r="AE77" s="12"/>
      <c r="AF77" s="13">
        <f t="shared" si="1"/>
        <v>6.375</v>
      </c>
      <c r="AG77" s="26"/>
    </row>
    <row r="78">
      <c r="A78" s="28" t="s">
        <v>566</v>
      </c>
      <c r="B78" s="29" t="s">
        <v>543</v>
      </c>
      <c r="C78" s="30">
        <v>45739.10612268518</v>
      </c>
      <c r="D78" s="8" t="s">
        <v>544</v>
      </c>
      <c r="E78" s="9" t="s">
        <v>559</v>
      </c>
      <c r="F78" s="14">
        <v>8.0</v>
      </c>
      <c r="G78" s="14">
        <v>7.0</v>
      </c>
      <c r="H78" s="14">
        <v>7.0</v>
      </c>
      <c r="I78" s="14">
        <v>7.0</v>
      </c>
      <c r="J78" s="9" t="s">
        <v>567</v>
      </c>
      <c r="K78" s="14">
        <v>7.0</v>
      </c>
      <c r="L78" s="14">
        <v>8.0</v>
      </c>
      <c r="M78" s="14">
        <v>9.0</v>
      </c>
      <c r="N78" s="14">
        <v>8.0</v>
      </c>
      <c r="O78" s="9" t="s">
        <v>568</v>
      </c>
      <c r="P78" s="14">
        <v>7.0</v>
      </c>
      <c r="Q78" s="14">
        <v>9.0</v>
      </c>
      <c r="R78" s="14">
        <v>7.0</v>
      </c>
      <c r="S78" s="14">
        <v>8.0</v>
      </c>
      <c r="T78" s="9" t="s">
        <v>569</v>
      </c>
      <c r="U78" s="14">
        <v>7.0</v>
      </c>
      <c r="V78" s="14">
        <v>7.8</v>
      </c>
      <c r="W78" s="14">
        <v>7.5</v>
      </c>
      <c r="X78" s="14">
        <v>8.1</v>
      </c>
      <c r="Y78" s="9" t="s">
        <v>70</v>
      </c>
      <c r="Z78" s="9" t="s">
        <v>570</v>
      </c>
      <c r="AA78" s="11" t="s">
        <v>38</v>
      </c>
      <c r="AB78" s="9" t="s">
        <v>39</v>
      </c>
      <c r="AC78" s="10" t="b">
        <v>1</v>
      </c>
      <c r="AD78" s="12"/>
      <c r="AE78" s="12"/>
      <c r="AF78" s="13">
        <f t="shared" si="1"/>
        <v>7.65</v>
      </c>
      <c r="AG78" s="31"/>
    </row>
    <row r="79">
      <c r="A79" s="28" t="s">
        <v>571</v>
      </c>
      <c r="B79" s="29" t="s">
        <v>572</v>
      </c>
      <c r="C79" s="30">
        <v>45756.61541666667</v>
      </c>
      <c r="D79" s="8" t="s">
        <v>573</v>
      </c>
      <c r="E79" s="9" t="s">
        <v>559</v>
      </c>
      <c r="F79" s="10">
        <v>7.0</v>
      </c>
      <c r="G79" s="10">
        <v>6.0</v>
      </c>
      <c r="H79" s="10">
        <v>9.0</v>
      </c>
      <c r="I79" s="10">
        <v>6.0</v>
      </c>
      <c r="J79" s="9" t="s">
        <v>574</v>
      </c>
      <c r="K79" s="10">
        <v>7.0</v>
      </c>
      <c r="L79" s="10">
        <v>7.0</v>
      </c>
      <c r="M79" s="10">
        <v>10.0</v>
      </c>
      <c r="N79" s="10">
        <v>9.0</v>
      </c>
      <c r="O79" s="9" t="s">
        <v>575</v>
      </c>
      <c r="P79" s="10">
        <v>9.0</v>
      </c>
      <c r="Q79" s="10">
        <v>9.0</v>
      </c>
      <c r="R79" s="10">
        <v>9.0</v>
      </c>
      <c r="S79" s="10">
        <v>7.0</v>
      </c>
      <c r="T79" s="9" t="s">
        <v>576</v>
      </c>
      <c r="U79" s="10">
        <v>6.0</v>
      </c>
      <c r="V79" s="10">
        <v>8.0</v>
      </c>
      <c r="W79" s="10">
        <v>8.0</v>
      </c>
      <c r="X79" s="10">
        <v>9.0</v>
      </c>
      <c r="Y79" s="9" t="s">
        <v>577</v>
      </c>
      <c r="Z79" s="12"/>
      <c r="AA79" s="18"/>
      <c r="AB79" s="9" t="s">
        <v>39</v>
      </c>
      <c r="AC79" s="10" t="b">
        <v>1</v>
      </c>
      <c r="AD79" s="12"/>
      <c r="AE79" s="12"/>
      <c r="AF79" s="13">
        <f t="shared" si="1"/>
        <v>7.875</v>
      </c>
      <c r="AG79" s="31"/>
    </row>
    <row r="80">
      <c r="A80" s="28" t="s">
        <v>578</v>
      </c>
      <c r="B80" s="29" t="s">
        <v>579</v>
      </c>
      <c r="C80" s="30">
        <v>45739.751851851855</v>
      </c>
      <c r="D80" s="8" t="s">
        <v>580</v>
      </c>
      <c r="E80" s="9" t="s">
        <v>559</v>
      </c>
      <c r="F80" s="10">
        <v>8.0</v>
      </c>
      <c r="G80" s="10">
        <v>8.0</v>
      </c>
      <c r="H80" s="10">
        <v>7.0</v>
      </c>
      <c r="I80" s="10">
        <v>8.0</v>
      </c>
      <c r="J80" s="9" t="s">
        <v>581</v>
      </c>
      <c r="K80" s="10">
        <v>8.0</v>
      </c>
      <c r="L80" s="10">
        <v>10.0</v>
      </c>
      <c r="M80" s="10">
        <v>10.0</v>
      </c>
      <c r="N80" s="10">
        <v>8.0</v>
      </c>
      <c r="O80" s="9" t="s">
        <v>582</v>
      </c>
      <c r="P80" s="10">
        <v>8.0</v>
      </c>
      <c r="Q80" s="10">
        <v>10.0</v>
      </c>
      <c r="R80" s="10">
        <v>8.0</v>
      </c>
      <c r="S80" s="10">
        <v>10.0</v>
      </c>
      <c r="T80" s="9" t="s">
        <v>583</v>
      </c>
      <c r="U80" s="10">
        <v>9.0</v>
      </c>
      <c r="V80" s="10">
        <v>9.0</v>
      </c>
      <c r="W80" s="10">
        <v>8.0</v>
      </c>
      <c r="X80" s="10">
        <v>9.0</v>
      </c>
      <c r="Y80" s="9" t="s">
        <v>584</v>
      </c>
      <c r="Z80" s="9" t="s">
        <v>585</v>
      </c>
      <c r="AA80" s="11" t="s">
        <v>586</v>
      </c>
      <c r="AB80" s="9" t="s">
        <v>39</v>
      </c>
      <c r="AC80" s="10" t="b">
        <v>1</v>
      </c>
      <c r="AD80" s="12"/>
      <c r="AE80" s="12"/>
      <c r="AF80" s="13">
        <f t="shared" si="1"/>
        <v>8.625</v>
      </c>
      <c r="AG80" s="31"/>
    </row>
    <row r="81">
      <c r="A81" s="32" t="s">
        <v>587</v>
      </c>
      <c r="B81" s="31"/>
      <c r="C81" s="31"/>
      <c r="D81" s="33"/>
      <c r="E81" s="31"/>
      <c r="F81" s="31">
        <f t="shared" ref="F81:I81" si="33">AVERAGE(F2:F80)</f>
        <v>7.987974684</v>
      </c>
      <c r="G81" s="31">
        <f t="shared" si="33"/>
        <v>7.552742616</v>
      </c>
      <c r="H81" s="31">
        <f t="shared" si="33"/>
        <v>8.325376733</v>
      </c>
      <c r="I81" s="31">
        <f t="shared" si="33"/>
        <v>7.67058469</v>
      </c>
      <c r="J81" s="31"/>
      <c r="K81" s="31">
        <f t="shared" ref="K81:N81" si="34">AVERAGE(K2:K80)</f>
        <v>8.477305606</v>
      </c>
      <c r="L81" s="31">
        <f t="shared" si="34"/>
        <v>8.208951175</v>
      </c>
      <c r="M81" s="31">
        <f t="shared" si="34"/>
        <v>8.922845087</v>
      </c>
      <c r="N81" s="31">
        <f t="shared" si="34"/>
        <v>8.034388186</v>
      </c>
      <c r="O81" s="31"/>
      <c r="P81" s="31">
        <f t="shared" ref="P81:S81" si="35">AVERAGE(P2:P80)</f>
        <v>7.680892104</v>
      </c>
      <c r="Q81" s="31">
        <f t="shared" si="35"/>
        <v>7.974532851</v>
      </c>
      <c r="R81" s="31">
        <f t="shared" si="35"/>
        <v>7.701556777</v>
      </c>
      <c r="S81" s="31">
        <f t="shared" si="35"/>
        <v>7.582264957</v>
      </c>
      <c r="T81" s="31"/>
      <c r="U81" s="31">
        <f t="shared" ref="U81:X81" si="36">AVERAGE(U2:U80)</f>
        <v>6.538461538</v>
      </c>
      <c r="V81" s="31">
        <f t="shared" si="36"/>
        <v>7.406781193</v>
      </c>
      <c r="W81" s="31">
        <f t="shared" si="36"/>
        <v>7.755067155</v>
      </c>
      <c r="X81" s="31">
        <f t="shared" si="36"/>
        <v>8.812087912</v>
      </c>
      <c r="Y81" s="31"/>
      <c r="Z81" s="31"/>
      <c r="AA81" s="34"/>
      <c r="AB81" s="31" t="str">
        <f t="shared" ref="AB81:AE81" si="37">AVERAGE(AB2:AB77)</f>
        <v>#DIV/0!</v>
      </c>
      <c r="AC81" s="31" t="str">
        <f t="shared" si="37"/>
        <v>#DIV/0!</v>
      </c>
      <c r="AD81" s="31" t="str">
        <f t="shared" si="37"/>
        <v>#DIV/0!</v>
      </c>
      <c r="AE81" s="31" t="str">
        <f t="shared" si="37"/>
        <v>#DIV/0!</v>
      </c>
      <c r="AF81" s="31">
        <f>AVERAGE(AF2:AF80)</f>
        <v>7.918595539</v>
      </c>
      <c r="AG81" s="31"/>
    </row>
    <row r="82">
      <c r="A82" s="6"/>
      <c r="B82" s="10"/>
      <c r="C82" s="10"/>
      <c r="D82" s="8"/>
      <c r="E82" s="10"/>
      <c r="F82" s="10"/>
      <c r="G82" s="10"/>
      <c r="H82" s="10"/>
      <c r="I82" s="10"/>
      <c r="J82" s="10"/>
      <c r="K82" s="10"/>
      <c r="L82" s="10"/>
      <c r="M82" s="10"/>
      <c r="N82" s="10"/>
      <c r="O82" s="10"/>
      <c r="P82" s="10"/>
      <c r="Q82" s="10"/>
      <c r="R82" s="10"/>
      <c r="S82" s="10"/>
      <c r="T82" s="10"/>
      <c r="U82" s="10"/>
      <c r="V82" s="10"/>
      <c r="W82" s="10"/>
      <c r="X82" s="10"/>
      <c r="Y82" s="10"/>
      <c r="Z82" s="10"/>
      <c r="AA82" s="15"/>
      <c r="AB82" s="10"/>
      <c r="AC82" s="10"/>
      <c r="AD82" s="10"/>
      <c r="AE82" s="10"/>
      <c r="AF82" s="13"/>
      <c r="AG82" s="26"/>
    </row>
  </sheetData>
  <autoFilter ref="$B$1:$AF$82">
    <sortState ref="B1:AF82">
      <sortCondition ref="E1:E82"/>
      <sortCondition ref="AF1:AF82"/>
    </sortState>
  </autoFilter>
  <conditionalFormatting sqref="AF1:AF76 AG1:AG67 AF82">
    <cfRule type="cellIs" dxfId="0" priority="1" operator="lessThanOrEqual">
      <formula>7.19</formula>
    </cfRule>
  </conditionalFormatting>
  <conditionalFormatting sqref="AF1:AF76 AG1:AG67 AF82">
    <cfRule type="cellIs" dxfId="1" priority="2" operator="greaterThanOrEqual">
      <formula>9.45</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0.88"/>
    <col customWidth="1" min="3" max="3" width="35.63"/>
    <col customWidth="1" min="4" max="4" width="33.25"/>
    <col customWidth="1" min="5" max="5" width="25.75"/>
    <col customWidth="1" min="6" max="6" width="36.25"/>
    <col customWidth="1" min="7" max="7" width="45.38"/>
  </cols>
  <sheetData>
    <row r="1">
      <c r="A1" s="35" t="s">
        <v>588</v>
      </c>
      <c r="B1" s="35" t="s">
        <v>589</v>
      </c>
      <c r="C1" s="35" t="s">
        <v>590</v>
      </c>
      <c r="D1" s="35" t="s">
        <v>591</v>
      </c>
      <c r="E1" s="35" t="s">
        <v>592</v>
      </c>
      <c r="F1" s="35" t="s">
        <v>593</v>
      </c>
      <c r="G1" s="35" t="s">
        <v>594</v>
      </c>
      <c r="H1" s="36"/>
      <c r="I1" s="36"/>
      <c r="J1" s="36"/>
      <c r="K1" s="36"/>
      <c r="L1" s="36"/>
      <c r="M1" s="36"/>
      <c r="N1" s="36"/>
      <c r="O1" s="36"/>
      <c r="P1" s="36"/>
      <c r="Q1" s="36"/>
      <c r="R1" s="36"/>
      <c r="S1" s="36"/>
      <c r="T1" s="36"/>
      <c r="U1" s="36"/>
      <c r="V1" s="36"/>
      <c r="W1" s="36"/>
      <c r="X1" s="36"/>
      <c r="Y1" s="36"/>
      <c r="Z1" s="36"/>
    </row>
    <row r="2" ht="75.0" customHeight="1">
      <c r="A2" s="35" t="s">
        <v>595</v>
      </c>
      <c r="B2" s="37" t="s">
        <v>596</v>
      </c>
      <c r="C2" s="37" t="s">
        <v>597</v>
      </c>
      <c r="D2" s="37" t="s">
        <v>598</v>
      </c>
      <c r="E2" s="38" t="s">
        <v>599</v>
      </c>
      <c r="F2" s="37" t="s">
        <v>600</v>
      </c>
      <c r="G2" s="37" t="s">
        <v>601</v>
      </c>
      <c r="H2" s="36"/>
      <c r="I2" s="36"/>
      <c r="J2" s="36"/>
      <c r="K2" s="36"/>
      <c r="L2" s="36"/>
      <c r="M2" s="36"/>
      <c r="N2" s="36"/>
      <c r="O2" s="36"/>
      <c r="P2" s="36"/>
      <c r="Q2" s="36"/>
      <c r="R2" s="36"/>
      <c r="S2" s="36"/>
      <c r="T2" s="36"/>
      <c r="U2" s="36"/>
      <c r="V2" s="36"/>
      <c r="W2" s="36"/>
      <c r="X2" s="36"/>
      <c r="Y2" s="36"/>
      <c r="Z2" s="36"/>
    </row>
    <row r="3" ht="75.0" customHeight="1">
      <c r="A3" s="35" t="s">
        <v>42</v>
      </c>
      <c r="B3" s="37" t="s">
        <v>602</v>
      </c>
      <c r="C3" s="37" t="s">
        <v>603</v>
      </c>
      <c r="D3" s="37" t="s">
        <v>604</v>
      </c>
      <c r="E3" s="38" t="s">
        <v>605</v>
      </c>
      <c r="F3" s="37" t="s">
        <v>606</v>
      </c>
      <c r="G3" s="37" t="s">
        <v>607</v>
      </c>
      <c r="H3" s="36"/>
      <c r="I3" s="36"/>
      <c r="J3" s="36"/>
      <c r="K3" s="36"/>
      <c r="L3" s="36"/>
      <c r="M3" s="36"/>
      <c r="N3" s="36"/>
      <c r="O3" s="36"/>
      <c r="P3" s="36"/>
      <c r="Q3" s="36"/>
      <c r="R3" s="36"/>
      <c r="S3" s="36"/>
      <c r="T3" s="36"/>
      <c r="U3" s="36"/>
      <c r="V3" s="36"/>
      <c r="W3" s="36"/>
      <c r="X3" s="36"/>
      <c r="Y3" s="36"/>
      <c r="Z3" s="36"/>
    </row>
    <row r="4" ht="75.0" customHeight="1">
      <c r="A4" s="35" t="s">
        <v>109</v>
      </c>
      <c r="B4" s="37" t="s">
        <v>608</v>
      </c>
      <c r="C4" s="37" t="s">
        <v>609</v>
      </c>
      <c r="D4" s="37" t="s">
        <v>610</v>
      </c>
      <c r="E4" s="38" t="s">
        <v>611</v>
      </c>
      <c r="F4" s="37" t="s">
        <v>612</v>
      </c>
      <c r="G4" s="37" t="s">
        <v>613</v>
      </c>
      <c r="H4" s="36"/>
      <c r="I4" s="36"/>
      <c r="J4" s="36"/>
      <c r="K4" s="36"/>
      <c r="L4" s="36"/>
      <c r="M4" s="36"/>
      <c r="N4" s="36"/>
      <c r="O4" s="36"/>
      <c r="P4" s="36"/>
      <c r="Q4" s="36"/>
      <c r="R4" s="36"/>
      <c r="S4" s="36"/>
      <c r="T4" s="36"/>
      <c r="U4" s="36"/>
      <c r="V4" s="36"/>
      <c r="W4" s="36"/>
      <c r="X4" s="36"/>
      <c r="Y4" s="36"/>
      <c r="Z4" s="36"/>
    </row>
    <row r="5" ht="75.0" customHeight="1">
      <c r="A5" s="35" t="s">
        <v>134</v>
      </c>
      <c r="B5" s="37" t="s">
        <v>614</v>
      </c>
      <c r="C5" s="37" t="s">
        <v>615</v>
      </c>
      <c r="D5" s="37" t="s">
        <v>616</v>
      </c>
      <c r="E5" s="38" t="s">
        <v>617</v>
      </c>
      <c r="F5" s="37" t="s">
        <v>618</v>
      </c>
      <c r="G5" s="37" t="s">
        <v>619</v>
      </c>
      <c r="H5" s="36"/>
      <c r="I5" s="36"/>
      <c r="J5" s="36"/>
      <c r="K5" s="36"/>
      <c r="L5" s="36"/>
      <c r="M5" s="36"/>
      <c r="N5" s="36"/>
      <c r="O5" s="36"/>
      <c r="P5" s="36"/>
      <c r="Q5" s="36"/>
      <c r="R5" s="36"/>
      <c r="S5" s="36"/>
      <c r="T5" s="36"/>
      <c r="U5" s="36"/>
      <c r="V5" s="36"/>
      <c r="W5" s="36"/>
      <c r="X5" s="36"/>
      <c r="Y5" s="36"/>
      <c r="Z5" s="36"/>
    </row>
    <row r="6" ht="75.0" customHeight="1">
      <c r="A6" s="35" t="s">
        <v>620</v>
      </c>
      <c r="B6" s="37" t="s">
        <v>621</v>
      </c>
      <c r="C6" s="37" t="s">
        <v>622</v>
      </c>
      <c r="D6" s="37" t="s">
        <v>623</v>
      </c>
      <c r="E6" s="38" t="s">
        <v>624</v>
      </c>
      <c r="F6" s="37" t="s">
        <v>625</v>
      </c>
      <c r="G6" s="37" t="s">
        <v>626</v>
      </c>
      <c r="H6" s="36"/>
      <c r="I6" s="36"/>
      <c r="J6" s="36"/>
      <c r="K6" s="36"/>
      <c r="L6" s="36"/>
      <c r="M6" s="36"/>
      <c r="N6" s="36"/>
      <c r="O6" s="36"/>
      <c r="P6" s="36"/>
      <c r="Q6" s="36"/>
      <c r="R6" s="36"/>
      <c r="S6" s="36"/>
      <c r="T6" s="36"/>
      <c r="U6" s="36"/>
      <c r="V6" s="36"/>
      <c r="W6" s="36"/>
      <c r="X6" s="36"/>
      <c r="Y6" s="36"/>
      <c r="Z6" s="36"/>
    </row>
    <row r="7" ht="75.0" customHeight="1">
      <c r="A7" s="35" t="s">
        <v>167</v>
      </c>
      <c r="B7" s="37" t="s">
        <v>627</v>
      </c>
      <c r="C7" s="37" t="s">
        <v>628</v>
      </c>
      <c r="D7" s="37" t="s">
        <v>629</v>
      </c>
      <c r="E7" s="38" t="s">
        <v>630</v>
      </c>
      <c r="F7" s="37" t="s">
        <v>631</v>
      </c>
      <c r="G7" s="37" t="s">
        <v>632</v>
      </c>
      <c r="H7" s="39"/>
      <c r="I7" s="36"/>
      <c r="J7" s="36"/>
      <c r="K7" s="36"/>
      <c r="L7" s="36"/>
      <c r="M7" s="36"/>
      <c r="N7" s="36"/>
      <c r="O7" s="36"/>
      <c r="P7" s="36"/>
      <c r="Q7" s="36"/>
      <c r="R7" s="36"/>
      <c r="S7" s="36"/>
      <c r="T7" s="36"/>
      <c r="U7" s="36"/>
      <c r="V7" s="36"/>
      <c r="W7" s="36"/>
      <c r="X7" s="36"/>
      <c r="Y7" s="36"/>
      <c r="Z7" s="36"/>
    </row>
    <row r="8" ht="75.0" customHeight="1">
      <c r="A8" s="35" t="s">
        <v>144</v>
      </c>
      <c r="B8" s="37" t="s">
        <v>633</v>
      </c>
      <c r="C8" s="37" t="s">
        <v>634</v>
      </c>
      <c r="D8" s="37" t="s">
        <v>635</v>
      </c>
      <c r="E8" s="38" t="s">
        <v>636</v>
      </c>
      <c r="F8" s="37" t="s">
        <v>637</v>
      </c>
      <c r="G8" s="37" t="s">
        <v>638</v>
      </c>
      <c r="H8" s="36"/>
      <c r="I8" s="36"/>
      <c r="J8" s="36"/>
      <c r="K8" s="36"/>
      <c r="L8" s="36"/>
      <c r="M8" s="36"/>
      <c r="N8" s="36"/>
      <c r="O8" s="36"/>
      <c r="P8" s="36"/>
      <c r="Q8" s="36"/>
      <c r="R8" s="36"/>
      <c r="S8" s="36"/>
      <c r="T8" s="36"/>
      <c r="U8" s="36"/>
      <c r="V8" s="36"/>
      <c r="W8" s="36"/>
      <c r="X8" s="36"/>
      <c r="Y8" s="36"/>
      <c r="Z8" s="36"/>
    </row>
    <row r="9" ht="75.0" customHeight="1">
      <c r="A9" s="35" t="s">
        <v>188</v>
      </c>
      <c r="B9" s="37" t="s">
        <v>639</v>
      </c>
      <c r="C9" s="37" t="s">
        <v>640</v>
      </c>
      <c r="D9" s="37" t="s">
        <v>641</v>
      </c>
      <c r="E9" s="38" t="s">
        <v>642</v>
      </c>
      <c r="F9" s="37" t="s">
        <v>643</v>
      </c>
      <c r="G9" s="37" t="s">
        <v>644</v>
      </c>
      <c r="H9" s="36"/>
      <c r="I9" s="36"/>
      <c r="J9" s="36"/>
      <c r="K9" s="36"/>
      <c r="L9" s="36"/>
      <c r="M9" s="36"/>
      <c r="N9" s="36"/>
      <c r="O9" s="36"/>
      <c r="P9" s="36"/>
      <c r="Q9" s="36"/>
      <c r="R9" s="36"/>
      <c r="S9" s="36"/>
      <c r="T9" s="36"/>
      <c r="U9" s="36"/>
      <c r="V9" s="36"/>
      <c r="W9" s="36"/>
      <c r="X9" s="36"/>
      <c r="Y9" s="36"/>
      <c r="Z9" s="36"/>
    </row>
    <row r="10" ht="75.0" customHeight="1">
      <c r="A10" s="35" t="s">
        <v>270</v>
      </c>
      <c r="B10" s="37" t="s">
        <v>645</v>
      </c>
      <c r="C10" s="37" t="s">
        <v>646</v>
      </c>
      <c r="D10" s="37" t="s">
        <v>647</v>
      </c>
      <c r="E10" s="38" t="s">
        <v>648</v>
      </c>
      <c r="F10" s="37" t="s">
        <v>649</v>
      </c>
      <c r="G10" s="37" t="s">
        <v>650</v>
      </c>
      <c r="H10" s="36"/>
      <c r="I10" s="36"/>
      <c r="J10" s="36"/>
      <c r="K10" s="36"/>
      <c r="L10" s="36"/>
      <c r="M10" s="36"/>
      <c r="N10" s="36"/>
      <c r="O10" s="36"/>
      <c r="P10" s="36"/>
      <c r="Q10" s="36"/>
      <c r="R10" s="36"/>
      <c r="S10" s="36"/>
      <c r="T10" s="36"/>
      <c r="U10" s="36"/>
      <c r="V10" s="36"/>
      <c r="W10" s="36"/>
      <c r="X10" s="36"/>
      <c r="Y10" s="36"/>
      <c r="Z10" s="36"/>
    </row>
    <row r="11" ht="75.0" customHeight="1">
      <c r="A11" s="35" t="s">
        <v>287</v>
      </c>
      <c r="B11" s="37" t="s">
        <v>651</v>
      </c>
      <c r="C11" s="37" t="s">
        <v>652</v>
      </c>
      <c r="D11" s="37" t="s">
        <v>653</v>
      </c>
      <c r="E11" s="38" t="s">
        <v>654</v>
      </c>
      <c r="F11" s="37" t="s">
        <v>655</v>
      </c>
      <c r="G11" s="37" t="s">
        <v>656</v>
      </c>
      <c r="H11" s="36"/>
      <c r="I11" s="36"/>
      <c r="J11" s="36"/>
      <c r="K11" s="36"/>
      <c r="L11" s="36"/>
      <c r="M11" s="36"/>
      <c r="N11" s="36"/>
      <c r="O11" s="36"/>
      <c r="P11" s="36"/>
      <c r="Q11" s="36"/>
      <c r="R11" s="36"/>
      <c r="S11" s="36"/>
      <c r="T11" s="36"/>
      <c r="U11" s="36"/>
      <c r="V11" s="36"/>
      <c r="W11" s="36"/>
      <c r="X11" s="36"/>
      <c r="Y11" s="36"/>
      <c r="Z11" s="36"/>
    </row>
    <row r="12" ht="75.0" customHeight="1">
      <c r="A12" s="35" t="s">
        <v>334</v>
      </c>
      <c r="B12" s="37" t="s">
        <v>657</v>
      </c>
      <c r="C12" s="37" t="s">
        <v>658</v>
      </c>
      <c r="D12" s="37" t="s">
        <v>659</v>
      </c>
      <c r="E12" s="38" t="s">
        <v>660</v>
      </c>
      <c r="F12" s="37" t="s">
        <v>661</v>
      </c>
      <c r="G12" s="37" t="s">
        <v>662</v>
      </c>
      <c r="H12" s="36"/>
      <c r="I12" s="36"/>
      <c r="J12" s="36"/>
      <c r="K12" s="36"/>
      <c r="L12" s="36"/>
      <c r="M12" s="36"/>
      <c r="N12" s="36"/>
      <c r="O12" s="36"/>
      <c r="P12" s="36"/>
      <c r="Q12" s="36"/>
      <c r="R12" s="36"/>
      <c r="S12" s="36"/>
      <c r="T12" s="36"/>
      <c r="U12" s="36"/>
      <c r="V12" s="36"/>
      <c r="W12" s="36"/>
      <c r="X12" s="36"/>
      <c r="Y12" s="36"/>
      <c r="Z12" s="36"/>
    </row>
    <row r="13" ht="75.0" customHeight="1">
      <c r="A13" s="35" t="s">
        <v>49</v>
      </c>
      <c r="B13" s="37" t="s">
        <v>663</v>
      </c>
      <c r="C13" s="37" t="s">
        <v>664</v>
      </c>
      <c r="D13" s="37" t="s">
        <v>665</v>
      </c>
      <c r="E13" s="38" t="s">
        <v>666</v>
      </c>
      <c r="F13" s="37" t="s">
        <v>667</v>
      </c>
      <c r="G13" s="37" t="s">
        <v>668</v>
      </c>
      <c r="H13" s="36"/>
      <c r="I13" s="36"/>
      <c r="J13" s="36"/>
      <c r="K13" s="36"/>
      <c r="L13" s="36"/>
      <c r="M13" s="36"/>
      <c r="N13" s="36"/>
      <c r="O13" s="36"/>
      <c r="P13" s="36"/>
      <c r="Q13" s="36"/>
      <c r="R13" s="36"/>
      <c r="S13" s="36"/>
      <c r="T13" s="36"/>
      <c r="U13" s="36"/>
      <c r="V13" s="36"/>
      <c r="W13" s="36"/>
      <c r="X13" s="36"/>
      <c r="Y13" s="36"/>
      <c r="Z13" s="36"/>
    </row>
    <row r="14" ht="75.0" customHeight="1">
      <c r="A14" s="35" t="s">
        <v>434</v>
      </c>
      <c r="B14" s="37" t="s">
        <v>669</v>
      </c>
      <c r="C14" s="37" t="s">
        <v>670</v>
      </c>
      <c r="D14" s="37" t="s">
        <v>671</v>
      </c>
      <c r="E14" s="38" t="s">
        <v>672</v>
      </c>
      <c r="F14" s="37" t="s">
        <v>673</v>
      </c>
      <c r="G14" s="37" t="s">
        <v>674</v>
      </c>
      <c r="H14" s="36"/>
      <c r="I14" s="36"/>
      <c r="J14" s="36"/>
      <c r="K14" s="36"/>
      <c r="L14" s="36"/>
      <c r="M14" s="36"/>
      <c r="N14" s="36"/>
      <c r="O14" s="36"/>
      <c r="P14" s="36"/>
      <c r="Q14" s="36"/>
      <c r="R14" s="36"/>
      <c r="S14" s="36"/>
      <c r="T14" s="36"/>
      <c r="U14" s="36"/>
      <c r="V14" s="36"/>
      <c r="W14" s="36"/>
      <c r="X14" s="36"/>
      <c r="Y14" s="36"/>
      <c r="Z14" s="36"/>
    </row>
    <row r="15" ht="75.0" customHeight="1">
      <c r="A15" s="35" t="s">
        <v>449</v>
      </c>
      <c r="B15" s="37" t="s">
        <v>675</v>
      </c>
      <c r="C15" s="37" t="s">
        <v>676</v>
      </c>
      <c r="D15" s="37" t="s">
        <v>677</v>
      </c>
      <c r="E15" s="38" t="s">
        <v>678</v>
      </c>
      <c r="F15" s="37" t="s">
        <v>679</v>
      </c>
      <c r="G15" s="37" t="s">
        <v>680</v>
      </c>
      <c r="H15" s="36"/>
      <c r="I15" s="36"/>
      <c r="J15" s="36"/>
      <c r="K15" s="36"/>
      <c r="L15" s="36"/>
      <c r="M15" s="36"/>
      <c r="N15" s="36"/>
      <c r="O15" s="36"/>
      <c r="P15" s="36"/>
      <c r="Q15" s="36"/>
      <c r="R15" s="36"/>
      <c r="S15" s="36"/>
      <c r="T15" s="36"/>
      <c r="U15" s="36"/>
      <c r="V15" s="36"/>
      <c r="W15" s="36"/>
      <c r="X15" s="36"/>
      <c r="Y15" s="36"/>
      <c r="Z15" s="36"/>
    </row>
    <row r="16" ht="75.0" customHeight="1">
      <c r="A16" s="35" t="s">
        <v>486</v>
      </c>
      <c r="B16" s="37" t="s">
        <v>681</v>
      </c>
      <c r="C16" s="37" t="s">
        <v>682</v>
      </c>
      <c r="D16" s="37" t="s">
        <v>683</v>
      </c>
      <c r="E16" s="38" t="s">
        <v>684</v>
      </c>
      <c r="F16" s="37" t="s">
        <v>685</v>
      </c>
      <c r="G16" s="37" t="s">
        <v>686</v>
      </c>
      <c r="H16" s="36"/>
      <c r="I16" s="36"/>
      <c r="J16" s="36"/>
      <c r="K16" s="36"/>
      <c r="L16" s="36"/>
      <c r="M16" s="36"/>
      <c r="N16" s="36"/>
      <c r="O16" s="36"/>
      <c r="P16" s="36"/>
      <c r="Q16" s="36"/>
      <c r="R16" s="36"/>
      <c r="S16" s="36"/>
      <c r="T16" s="36"/>
      <c r="U16" s="36"/>
      <c r="V16" s="36"/>
      <c r="W16" s="36"/>
      <c r="X16" s="36"/>
      <c r="Y16" s="36"/>
      <c r="Z16" s="36"/>
    </row>
    <row r="17" ht="75.0" customHeight="1">
      <c r="A17" s="35" t="s">
        <v>537</v>
      </c>
      <c r="B17" s="37" t="s">
        <v>687</v>
      </c>
      <c r="C17" s="37" t="s">
        <v>688</v>
      </c>
      <c r="D17" s="37" t="s">
        <v>689</v>
      </c>
      <c r="E17" s="38" t="s">
        <v>690</v>
      </c>
      <c r="F17" s="37" t="s">
        <v>691</v>
      </c>
      <c r="G17" s="37" t="s">
        <v>692</v>
      </c>
      <c r="H17" s="36"/>
      <c r="I17" s="36"/>
      <c r="J17" s="36"/>
      <c r="K17" s="36"/>
      <c r="L17" s="36"/>
      <c r="M17" s="36"/>
      <c r="N17" s="36"/>
      <c r="O17" s="36"/>
      <c r="P17" s="36"/>
      <c r="Q17" s="36"/>
      <c r="R17" s="36"/>
      <c r="S17" s="36"/>
      <c r="T17" s="36"/>
      <c r="U17" s="36"/>
      <c r="V17" s="36"/>
      <c r="W17" s="36"/>
      <c r="X17" s="36"/>
      <c r="Y17" s="36"/>
      <c r="Z17" s="36"/>
    </row>
    <row r="18" ht="75.0" customHeight="1">
      <c r="A18" s="35" t="s">
        <v>693</v>
      </c>
      <c r="B18" s="37" t="s">
        <v>694</v>
      </c>
      <c r="C18" s="37" t="s">
        <v>695</v>
      </c>
      <c r="D18" s="37" t="s">
        <v>696</v>
      </c>
      <c r="E18" s="38" t="s">
        <v>697</v>
      </c>
      <c r="F18" s="37" t="s">
        <v>698</v>
      </c>
      <c r="G18" s="37" t="s">
        <v>699</v>
      </c>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4.25"/>
    <col customWidth="1" min="2" max="2" width="18.38"/>
    <col customWidth="1" min="7" max="7" width="13.88"/>
    <col customWidth="1" min="8" max="8" width="103.0"/>
    <col hidden="1" min="9" max="9" width="12.63"/>
    <col customWidth="1" hidden="1" min="10" max="10" width="18.38"/>
    <col hidden="1" min="11" max="15" width="12.63"/>
  </cols>
  <sheetData>
    <row r="1">
      <c r="A1" s="40"/>
      <c r="B1" s="41" t="s">
        <v>700</v>
      </c>
      <c r="G1" s="42"/>
      <c r="H1" s="43"/>
      <c r="I1" s="44"/>
      <c r="J1" s="44" t="s">
        <v>701</v>
      </c>
    </row>
    <row r="2">
      <c r="A2" s="45"/>
      <c r="B2" s="46" t="s">
        <v>702</v>
      </c>
      <c r="C2" s="47"/>
      <c r="D2" s="48">
        <v>8.2</v>
      </c>
      <c r="E2" s="49"/>
      <c r="F2" s="50">
        <v>7.91</v>
      </c>
      <c r="G2" s="51"/>
      <c r="H2" s="52"/>
      <c r="I2" s="53"/>
      <c r="J2" s="54" t="s">
        <v>702</v>
      </c>
      <c r="K2" s="55"/>
      <c r="L2" s="55">
        <v>8.0</v>
      </c>
      <c r="M2" s="54"/>
      <c r="N2" s="55">
        <v>7.91</v>
      </c>
      <c r="O2" s="56"/>
    </row>
    <row r="3">
      <c r="A3" s="45"/>
      <c r="B3" s="57" t="s">
        <v>703</v>
      </c>
      <c r="C3" s="58"/>
      <c r="D3" s="59">
        <v>85.0</v>
      </c>
      <c r="E3" s="60"/>
      <c r="F3" s="61">
        <v>85.0</v>
      </c>
      <c r="G3" s="62"/>
      <c r="H3" s="63"/>
      <c r="I3" s="64"/>
      <c r="J3" s="54" t="s">
        <v>703</v>
      </c>
      <c r="K3" s="58"/>
      <c r="L3" s="58">
        <v>85.0</v>
      </c>
      <c r="M3" s="54"/>
      <c r="N3" s="58">
        <v>85.0</v>
      </c>
      <c r="O3" s="65"/>
    </row>
    <row r="4">
      <c r="A4" s="45"/>
      <c r="B4" s="66" t="s">
        <v>704</v>
      </c>
      <c r="C4" s="64"/>
      <c r="D4" s="67">
        <v>10.0</v>
      </c>
      <c r="E4" s="68"/>
      <c r="F4" s="69">
        <v>5.0</v>
      </c>
      <c r="G4" s="70"/>
      <c r="H4" s="71"/>
      <c r="I4" s="36"/>
      <c r="J4" s="72" t="s">
        <v>705</v>
      </c>
      <c r="K4" s="64"/>
      <c r="L4" s="64">
        <v>10.0</v>
      </c>
      <c r="M4" s="72"/>
      <c r="N4" s="64">
        <v>5.0</v>
      </c>
      <c r="O4" s="73"/>
    </row>
    <row r="5">
      <c r="A5" s="45"/>
      <c r="B5" s="74" t="s">
        <v>706</v>
      </c>
      <c r="C5" s="75"/>
      <c r="D5" s="76">
        <v>23.0</v>
      </c>
      <c r="E5" s="76"/>
      <c r="F5" s="77">
        <v>20.0</v>
      </c>
      <c r="G5" s="70"/>
      <c r="H5" s="71"/>
      <c r="I5" s="36"/>
      <c r="J5" s="54" t="s">
        <v>707</v>
      </c>
      <c r="K5" s="54"/>
      <c r="L5" s="54">
        <v>23.0</v>
      </c>
      <c r="M5" s="54"/>
      <c r="N5" s="54">
        <v>20.0</v>
      </c>
      <c r="O5" s="78"/>
    </row>
    <row r="6">
      <c r="A6" s="45"/>
      <c r="B6" s="79"/>
      <c r="C6" s="79"/>
      <c r="D6" s="80"/>
      <c r="E6" s="80"/>
      <c r="F6" s="80"/>
      <c r="G6" s="36"/>
      <c r="H6" s="81"/>
      <c r="I6" s="36"/>
      <c r="J6" s="54"/>
      <c r="K6" s="54"/>
      <c r="L6" s="36"/>
      <c r="M6" s="36"/>
      <c r="N6" s="36"/>
      <c r="O6" s="82"/>
    </row>
    <row r="7">
      <c r="A7" s="45"/>
      <c r="B7" s="83"/>
      <c r="C7" s="83"/>
      <c r="D7" s="36"/>
      <c r="E7" s="36"/>
      <c r="F7" s="36"/>
      <c r="G7" s="36"/>
      <c r="H7" s="81"/>
      <c r="I7" s="36"/>
      <c r="J7" s="83"/>
      <c r="K7" s="83"/>
      <c r="L7" s="36"/>
      <c r="M7" s="36"/>
      <c r="N7" s="36"/>
      <c r="O7" s="84"/>
    </row>
    <row r="8">
      <c r="A8" s="45"/>
      <c r="B8" s="85"/>
      <c r="C8" s="86"/>
      <c r="D8" s="87"/>
      <c r="E8" s="86" t="s">
        <v>708</v>
      </c>
      <c r="F8" s="86"/>
      <c r="G8" s="87"/>
      <c r="H8" s="88"/>
      <c r="I8" s="87"/>
      <c r="J8" s="85"/>
      <c r="K8" s="86" t="s">
        <v>708</v>
      </c>
      <c r="L8" s="87"/>
      <c r="M8" s="87"/>
      <c r="N8" s="87"/>
      <c r="O8" s="89"/>
    </row>
    <row r="9">
      <c r="A9" s="45"/>
      <c r="B9" s="90"/>
      <c r="C9" s="91" t="s">
        <v>701</v>
      </c>
      <c r="D9" s="92"/>
      <c r="E9" s="93" t="s">
        <v>709</v>
      </c>
      <c r="F9" s="94"/>
      <c r="G9" s="95" t="s">
        <v>710</v>
      </c>
      <c r="H9" s="95" t="s">
        <v>711</v>
      </c>
      <c r="I9" s="82"/>
      <c r="J9" s="96"/>
      <c r="K9" s="97" t="s">
        <v>701</v>
      </c>
      <c r="L9" s="98"/>
      <c r="M9" s="97" t="s">
        <v>709</v>
      </c>
      <c r="N9" s="94"/>
      <c r="O9" s="99"/>
    </row>
    <row r="10">
      <c r="A10" s="45"/>
      <c r="B10" s="100" t="s">
        <v>712</v>
      </c>
      <c r="C10" s="101" t="s">
        <v>29</v>
      </c>
      <c r="D10" s="102" t="s">
        <v>713</v>
      </c>
      <c r="E10" s="103" t="s">
        <v>29</v>
      </c>
      <c r="F10" s="102" t="s">
        <v>713</v>
      </c>
      <c r="G10" s="104"/>
      <c r="H10" s="105"/>
      <c r="I10" s="84"/>
      <c r="J10" s="106" t="s">
        <v>712</v>
      </c>
      <c r="K10" s="49" t="s">
        <v>714</v>
      </c>
      <c r="L10" s="107" t="s">
        <v>713</v>
      </c>
      <c r="M10" s="49" t="s">
        <v>714</v>
      </c>
      <c r="N10" s="107" t="s">
        <v>713</v>
      </c>
      <c r="O10" s="99"/>
    </row>
    <row r="11">
      <c r="A11" s="45"/>
      <c r="B11" s="108" t="s">
        <v>241</v>
      </c>
      <c r="C11" s="109">
        <v>6.9375</v>
      </c>
      <c r="D11" s="110">
        <v>7.0</v>
      </c>
      <c r="E11" s="111" t="s">
        <v>110</v>
      </c>
      <c r="F11" s="110">
        <v>1.0</v>
      </c>
      <c r="G11" s="112"/>
      <c r="H11" s="113" t="s">
        <v>715</v>
      </c>
      <c r="I11" s="89"/>
      <c r="J11" s="114" t="s">
        <v>241</v>
      </c>
      <c r="K11" s="115">
        <v>6.9375</v>
      </c>
      <c r="L11" s="116">
        <v>7.0</v>
      </c>
      <c r="M11" s="60" t="s">
        <v>110</v>
      </c>
      <c r="N11" s="116">
        <v>1.0</v>
      </c>
      <c r="O11" s="117" t="s">
        <v>716</v>
      </c>
    </row>
    <row r="12" ht="31.5" customHeight="1">
      <c r="A12" s="45"/>
      <c r="B12" s="118" t="s">
        <v>717</v>
      </c>
      <c r="C12" s="119">
        <v>9.25</v>
      </c>
      <c r="D12" s="120">
        <v>2.0</v>
      </c>
      <c r="E12" s="121" t="s">
        <v>110</v>
      </c>
      <c r="F12" s="120">
        <v>1.0</v>
      </c>
      <c r="G12" s="122"/>
      <c r="H12" s="123" t="s">
        <v>718</v>
      </c>
      <c r="I12" s="89"/>
      <c r="J12" s="114" t="s">
        <v>717</v>
      </c>
      <c r="K12" s="115">
        <v>9.25</v>
      </c>
      <c r="L12" s="116">
        <v>2.0</v>
      </c>
      <c r="M12" s="60" t="s">
        <v>110</v>
      </c>
      <c r="N12" s="116">
        <v>1.0</v>
      </c>
      <c r="O12" s="117" t="s">
        <v>719</v>
      </c>
    </row>
    <row r="13" ht="21.0" customHeight="1">
      <c r="A13" s="45"/>
      <c r="B13" s="118" t="s">
        <v>720</v>
      </c>
      <c r="C13" s="119">
        <v>9.40625</v>
      </c>
      <c r="D13" s="120">
        <v>2.0</v>
      </c>
      <c r="E13" s="121" t="s">
        <v>110</v>
      </c>
      <c r="F13" s="120">
        <v>0.0</v>
      </c>
      <c r="G13" s="122"/>
      <c r="H13" s="123" t="s">
        <v>721</v>
      </c>
      <c r="I13" s="89"/>
      <c r="J13" s="114" t="s">
        <v>720</v>
      </c>
      <c r="K13" s="115">
        <v>9.40625</v>
      </c>
      <c r="L13" s="116">
        <v>2.0</v>
      </c>
      <c r="M13" s="60" t="s">
        <v>110</v>
      </c>
      <c r="N13" s="116">
        <v>0.0</v>
      </c>
      <c r="O13" s="117"/>
    </row>
    <row r="14" ht="30.0" customHeight="1">
      <c r="A14" s="45"/>
      <c r="B14" s="118" t="s">
        <v>722</v>
      </c>
      <c r="C14" s="119">
        <v>9.041666666666666</v>
      </c>
      <c r="D14" s="120">
        <v>3.0</v>
      </c>
      <c r="E14" s="121" t="s">
        <v>110</v>
      </c>
      <c r="F14" s="120">
        <v>1.0</v>
      </c>
      <c r="G14" s="122"/>
      <c r="H14" s="123" t="s">
        <v>723</v>
      </c>
      <c r="I14" s="89"/>
      <c r="J14" s="114" t="s">
        <v>722</v>
      </c>
      <c r="K14" s="115">
        <v>9.041666666666666</v>
      </c>
      <c r="L14" s="116">
        <v>3.0</v>
      </c>
      <c r="M14" s="60" t="s">
        <v>110</v>
      </c>
      <c r="N14" s="116">
        <v>1.0</v>
      </c>
      <c r="O14" s="117"/>
    </row>
    <row r="15" ht="21.0" customHeight="1">
      <c r="A15" s="45"/>
      <c r="B15" s="118" t="s">
        <v>724</v>
      </c>
      <c r="C15" s="119">
        <v>7.390625</v>
      </c>
      <c r="D15" s="120">
        <v>4.0</v>
      </c>
      <c r="E15" s="124">
        <v>9.33</v>
      </c>
      <c r="F15" s="120">
        <v>3.0</v>
      </c>
      <c r="G15" s="125" t="s">
        <v>725</v>
      </c>
      <c r="H15" s="126" t="s">
        <v>726</v>
      </c>
      <c r="I15" s="89"/>
      <c r="J15" s="114" t="s">
        <v>724</v>
      </c>
      <c r="K15" s="115">
        <v>7.390625</v>
      </c>
      <c r="L15" s="116">
        <v>4.0</v>
      </c>
      <c r="M15" s="127">
        <v>9.33</v>
      </c>
      <c r="N15" s="116">
        <v>3.0</v>
      </c>
      <c r="O15" s="117"/>
    </row>
    <row r="16" ht="35.25" customHeight="1">
      <c r="A16" s="45"/>
      <c r="B16" s="118" t="s">
        <v>113</v>
      </c>
      <c r="C16" s="119">
        <v>7.4375</v>
      </c>
      <c r="D16" s="120">
        <v>3.0</v>
      </c>
      <c r="E16" s="124">
        <v>9.25</v>
      </c>
      <c r="F16" s="120">
        <v>2.0</v>
      </c>
      <c r="G16" s="125" t="s">
        <v>725</v>
      </c>
      <c r="H16" s="123" t="s">
        <v>727</v>
      </c>
      <c r="I16" s="89"/>
      <c r="J16" s="114" t="s">
        <v>113</v>
      </c>
      <c r="K16" s="115">
        <v>7.4375</v>
      </c>
      <c r="L16" s="116">
        <v>3.0</v>
      </c>
      <c r="M16" s="127">
        <v>9.25</v>
      </c>
      <c r="N16" s="116">
        <v>2.0</v>
      </c>
      <c r="O16" s="117"/>
    </row>
    <row r="17" ht="59.25" customHeight="1">
      <c r="A17" s="45"/>
      <c r="B17" s="118" t="s">
        <v>134</v>
      </c>
      <c r="C17" s="119">
        <v>9.071428571428571</v>
      </c>
      <c r="D17" s="120">
        <v>7.0</v>
      </c>
      <c r="E17" s="128">
        <v>9.09</v>
      </c>
      <c r="F17" s="120">
        <v>2.0</v>
      </c>
      <c r="G17" s="122"/>
      <c r="H17" s="129" t="s">
        <v>728</v>
      </c>
      <c r="I17" s="89"/>
      <c r="J17" s="114" t="s">
        <v>134</v>
      </c>
      <c r="K17" s="115">
        <v>9.071428571428571</v>
      </c>
      <c r="L17" s="116">
        <v>7.0</v>
      </c>
      <c r="M17" s="127">
        <v>9.09</v>
      </c>
      <c r="N17" s="116">
        <v>2.0</v>
      </c>
      <c r="O17" s="117"/>
    </row>
    <row r="18" ht="21.0" customHeight="1">
      <c r="A18" s="45"/>
      <c r="B18" s="118" t="s">
        <v>270</v>
      </c>
      <c r="C18" s="119" t="s">
        <v>110</v>
      </c>
      <c r="D18" s="120"/>
      <c r="E18" s="130">
        <v>9.01</v>
      </c>
      <c r="F18" s="120">
        <v>3.0</v>
      </c>
      <c r="G18" s="122"/>
      <c r="H18" s="123" t="s">
        <v>729</v>
      </c>
      <c r="I18" s="89"/>
      <c r="J18" s="114" t="s">
        <v>270</v>
      </c>
      <c r="K18" s="115" t="s">
        <v>110</v>
      </c>
      <c r="L18" s="116"/>
      <c r="M18" s="127">
        <v>9.01</v>
      </c>
      <c r="N18" s="116">
        <v>3.0</v>
      </c>
      <c r="O18" s="117"/>
    </row>
    <row r="19" ht="21.0" customHeight="1">
      <c r="A19" s="45"/>
      <c r="B19" s="118" t="s">
        <v>49</v>
      </c>
      <c r="C19" s="119">
        <v>8.140625</v>
      </c>
      <c r="D19" s="120">
        <v>8.0</v>
      </c>
      <c r="E19" s="131">
        <v>8.8</v>
      </c>
      <c r="F19" s="120">
        <v>8.0</v>
      </c>
      <c r="G19" s="132" t="s">
        <v>716</v>
      </c>
      <c r="H19" s="123" t="s">
        <v>730</v>
      </c>
      <c r="I19" s="89"/>
      <c r="J19" s="114" t="s">
        <v>49</v>
      </c>
      <c r="K19" s="115">
        <v>8.140625</v>
      </c>
      <c r="L19" s="116">
        <v>8.0</v>
      </c>
      <c r="M19" s="115">
        <v>8.8</v>
      </c>
      <c r="N19" s="116">
        <v>8.0</v>
      </c>
      <c r="O19" s="117"/>
    </row>
    <row r="20">
      <c r="A20" s="45"/>
      <c r="B20" s="118" t="s">
        <v>731</v>
      </c>
      <c r="C20" s="119" t="s">
        <v>110</v>
      </c>
      <c r="D20" s="120"/>
      <c r="E20" s="131">
        <v>8.76</v>
      </c>
      <c r="F20" s="120">
        <v>5.0</v>
      </c>
      <c r="G20" s="122"/>
      <c r="H20" s="123" t="s">
        <v>732</v>
      </c>
      <c r="I20" s="89"/>
      <c r="J20" s="114" t="s">
        <v>731</v>
      </c>
      <c r="K20" s="115" t="s">
        <v>110</v>
      </c>
      <c r="L20" s="116"/>
      <c r="M20" s="115">
        <v>8.76</v>
      </c>
      <c r="N20" s="116">
        <v>5.0</v>
      </c>
      <c r="O20" s="117"/>
    </row>
    <row r="21" ht="21.0" customHeight="1">
      <c r="A21" s="45"/>
      <c r="B21" s="118" t="s">
        <v>195</v>
      </c>
      <c r="C21" s="119">
        <v>8.6875</v>
      </c>
      <c r="D21" s="120">
        <v>3.0</v>
      </c>
      <c r="E21" s="131">
        <v>8.51</v>
      </c>
      <c r="F21" s="120">
        <v>6.0</v>
      </c>
      <c r="G21" s="122"/>
      <c r="H21" s="123" t="s">
        <v>733</v>
      </c>
      <c r="I21" s="89"/>
      <c r="J21" s="114" t="s">
        <v>195</v>
      </c>
      <c r="K21" s="115">
        <v>8.6875</v>
      </c>
      <c r="L21" s="116">
        <v>3.0</v>
      </c>
      <c r="M21" s="115">
        <v>8.51</v>
      </c>
      <c r="N21" s="116">
        <v>6.0</v>
      </c>
      <c r="O21" s="117"/>
    </row>
    <row r="22">
      <c r="A22" s="45"/>
      <c r="B22" s="118" t="s">
        <v>42</v>
      </c>
      <c r="C22" s="119">
        <v>8.229166666666666</v>
      </c>
      <c r="D22" s="120">
        <v>6.0</v>
      </c>
      <c r="E22" s="131">
        <v>8.28</v>
      </c>
      <c r="F22" s="120">
        <v>6.0</v>
      </c>
      <c r="G22" s="122"/>
      <c r="H22" s="123" t="s">
        <v>734</v>
      </c>
      <c r="I22" s="89"/>
      <c r="J22" s="114" t="s">
        <v>42</v>
      </c>
      <c r="K22" s="115">
        <v>8.229166666666666</v>
      </c>
      <c r="L22" s="116">
        <v>6.0</v>
      </c>
      <c r="M22" s="115">
        <v>8.28</v>
      </c>
      <c r="N22" s="116">
        <v>6.0</v>
      </c>
      <c r="O22" s="117"/>
    </row>
    <row r="23" ht="74.25" customHeight="1">
      <c r="A23" s="45"/>
      <c r="B23" s="118" t="s">
        <v>109</v>
      </c>
      <c r="C23" s="119">
        <v>7.88</v>
      </c>
      <c r="D23" s="120">
        <v>7.0</v>
      </c>
      <c r="E23" s="131">
        <v>7.51</v>
      </c>
      <c r="F23" s="120">
        <v>5.0</v>
      </c>
      <c r="G23" s="133" t="s">
        <v>719</v>
      </c>
      <c r="H23" s="123" t="s">
        <v>735</v>
      </c>
      <c r="I23" s="89"/>
      <c r="J23" s="114"/>
      <c r="K23" s="115"/>
      <c r="L23" s="116"/>
      <c r="M23" s="115"/>
      <c r="N23" s="116"/>
      <c r="O23" s="117"/>
    </row>
    <row r="24" hidden="1">
      <c r="A24" s="45"/>
      <c r="B24" s="134" t="s">
        <v>736</v>
      </c>
      <c r="C24" s="119">
        <v>7.67</v>
      </c>
      <c r="D24" s="120">
        <v>7.0</v>
      </c>
      <c r="E24" s="131">
        <v>7.66</v>
      </c>
      <c r="F24" s="120">
        <v>2.0</v>
      </c>
      <c r="G24" s="122"/>
      <c r="H24" s="135" t="s">
        <v>110</v>
      </c>
      <c r="I24" s="89"/>
      <c r="J24" s="136" t="s">
        <v>736</v>
      </c>
      <c r="K24" s="115">
        <v>7.67</v>
      </c>
      <c r="L24" s="116">
        <v>7.0</v>
      </c>
      <c r="M24" s="115">
        <v>7.66</v>
      </c>
      <c r="N24" s="116">
        <v>2.0</v>
      </c>
      <c r="O24" s="117"/>
    </row>
    <row r="25" ht="34.5" customHeight="1">
      <c r="A25" s="45"/>
      <c r="B25" s="118" t="s">
        <v>242</v>
      </c>
      <c r="C25" s="119">
        <v>8.09375</v>
      </c>
      <c r="D25" s="120">
        <v>6.0</v>
      </c>
      <c r="E25" s="131">
        <v>7.47</v>
      </c>
      <c r="F25" s="120">
        <v>4.0</v>
      </c>
      <c r="G25" s="133" t="s">
        <v>719</v>
      </c>
      <c r="H25" s="137" t="s">
        <v>737</v>
      </c>
      <c r="I25" s="89"/>
      <c r="J25" s="114" t="s">
        <v>242</v>
      </c>
      <c r="K25" s="115">
        <v>8.09375</v>
      </c>
      <c r="L25" s="116">
        <v>6.0</v>
      </c>
      <c r="M25" s="115">
        <v>7.47</v>
      </c>
      <c r="N25" s="116">
        <v>4.0</v>
      </c>
      <c r="O25" s="117"/>
    </row>
    <row r="26" ht="21.0" customHeight="1">
      <c r="A26" s="45"/>
      <c r="B26" s="118" t="s">
        <v>188</v>
      </c>
      <c r="C26" s="119" t="s">
        <v>110</v>
      </c>
      <c r="D26" s="120"/>
      <c r="E26" s="131">
        <v>7.47</v>
      </c>
      <c r="F26" s="120">
        <v>4.0</v>
      </c>
      <c r="G26" s="122"/>
      <c r="H26" s="123" t="s">
        <v>738</v>
      </c>
      <c r="I26" s="89"/>
      <c r="J26" s="114" t="s">
        <v>188</v>
      </c>
      <c r="K26" s="115" t="s">
        <v>110</v>
      </c>
      <c r="L26" s="116"/>
      <c r="M26" s="115">
        <v>7.47</v>
      </c>
      <c r="N26" s="116">
        <v>4.0</v>
      </c>
      <c r="O26" s="117"/>
    </row>
    <row r="27" ht="21.0" customHeight="1">
      <c r="A27" s="45"/>
      <c r="B27" s="118" t="s">
        <v>144</v>
      </c>
      <c r="C27" s="119" t="s">
        <v>110</v>
      </c>
      <c r="D27" s="120"/>
      <c r="E27" s="138">
        <v>7.46</v>
      </c>
      <c r="F27" s="120">
        <v>4.0</v>
      </c>
      <c r="G27" s="122"/>
      <c r="H27" s="137" t="s">
        <v>739</v>
      </c>
      <c r="I27" s="89"/>
      <c r="J27" s="114" t="s">
        <v>144</v>
      </c>
      <c r="K27" s="115" t="s">
        <v>110</v>
      </c>
      <c r="L27" s="116"/>
      <c r="M27" s="115">
        <v>7.46</v>
      </c>
      <c r="N27" s="116">
        <v>4.0</v>
      </c>
      <c r="O27" s="117"/>
    </row>
    <row r="28" ht="33.75" customHeight="1">
      <c r="A28" s="45"/>
      <c r="B28" s="118" t="s">
        <v>516</v>
      </c>
      <c r="C28" s="119">
        <v>7.71875</v>
      </c>
      <c r="D28" s="120">
        <v>4.0</v>
      </c>
      <c r="E28" s="131">
        <v>7.34</v>
      </c>
      <c r="F28" s="120">
        <v>7.0</v>
      </c>
      <c r="G28" s="133" t="s">
        <v>719</v>
      </c>
      <c r="H28" s="137" t="s">
        <v>740</v>
      </c>
      <c r="I28" s="70"/>
      <c r="J28" s="114" t="s">
        <v>516</v>
      </c>
      <c r="K28" s="115">
        <v>7.71875</v>
      </c>
      <c r="L28" s="116">
        <v>4.0</v>
      </c>
      <c r="M28" s="115">
        <v>7.34</v>
      </c>
      <c r="N28" s="116">
        <v>7.0</v>
      </c>
      <c r="O28" s="117"/>
    </row>
    <row r="29" ht="32.25" customHeight="1">
      <c r="A29" s="45"/>
      <c r="B29" s="139" t="s">
        <v>741</v>
      </c>
      <c r="C29" s="119">
        <v>7.29375</v>
      </c>
      <c r="D29" s="120">
        <v>10.0</v>
      </c>
      <c r="E29" s="131">
        <v>7.19</v>
      </c>
      <c r="F29" s="120">
        <v>4.0</v>
      </c>
      <c r="G29" s="140" t="s">
        <v>719</v>
      </c>
      <c r="H29" s="123" t="s">
        <v>742</v>
      </c>
      <c r="I29" s="89"/>
      <c r="J29" s="141" t="s">
        <v>741</v>
      </c>
      <c r="K29" s="115">
        <v>7.29375</v>
      </c>
      <c r="L29" s="116">
        <v>10.0</v>
      </c>
      <c r="M29" s="115">
        <v>7.19</v>
      </c>
      <c r="N29" s="116">
        <v>4.0</v>
      </c>
      <c r="O29" s="117"/>
    </row>
    <row r="30" ht="24.0" customHeight="1">
      <c r="A30" s="45"/>
      <c r="B30" s="118" t="s">
        <v>537</v>
      </c>
      <c r="C30" s="119" t="s">
        <v>110</v>
      </c>
      <c r="D30" s="120"/>
      <c r="E30" s="131">
        <v>7.17</v>
      </c>
      <c r="F30" s="120">
        <v>5.0</v>
      </c>
      <c r="G30" s="122"/>
      <c r="H30" s="137" t="s">
        <v>743</v>
      </c>
      <c r="I30" s="89"/>
      <c r="J30" s="114" t="s">
        <v>537</v>
      </c>
      <c r="K30" s="115" t="s">
        <v>110</v>
      </c>
      <c r="L30" s="116"/>
      <c r="M30" s="115">
        <v>7.17</v>
      </c>
      <c r="N30" s="116">
        <v>5.0</v>
      </c>
      <c r="O30" s="117"/>
    </row>
    <row r="31" hidden="1">
      <c r="A31" s="45"/>
      <c r="B31" s="134" t="s">
        <v>744</v>
      </c>
      <c r="C31" s="119">
        <v>6.35</v>
      </c>
      <c r="D31" s="120">
        <v>3.0</v>
      </c>
      <c r="E31" s="131">
        <v>6.66</v>
      </c>
      <c r="F31" s="120">
        <v>2.0</v>
      </c>
      <c r="G31" s="142"/>
      <c r="H31" s="143" t="s">
        <v>110</v>
      </c>
      <c r="I31" s="144"/>
      <c r="J31" s="136" t="s">
        <v>744</v>
      </c>
      <c r="K31" s="115">
        <v>6.35</v>
      </c>
      <c r="L31" s="116">
        <v>3.0</v>
      </c>
      <c r="M31" s="115">
        <v>6.66</v>
      </c>
      <c r="N31" s="116">
        <v>2.0</v>
      </c>
      <c r="O31" s="117"/>
    </row>
    <row r="32" ht="43.5" customHeight="1">
      <c r="A32" s="45"/>
      <c r="B32" s="145" t="s">
        <v>486</v>
      </c>
      <c r="C32" s="146">
        <v>8.5</v>
      </c>
      <c r="D32" s="147">
        <v>7.0</v>
      </c>
      <c r="E32" s="148">
        <v>5.22</v>
      </c>
      <c r="F32" s="147">
        <v>7.0</v>
      </c>
      <c r="G32" s="149" t="s">
        <v>745</v>
      </c>
      <c r="H32" s="150" t="s">
        <v>746</v>
      </c>
      <c r="I32" s="151"/>
      <c r="J32" s="152" t="s">
        <v>486</v>
      </c>
      <c r="K32" s="153">
        <v>8.5</v>
      </c>
      <c r="L32" s="154">
        <v>7.0</v>
      </c>
      <c r="M32" s="153">
        <v>5.22</v>
      </c>
      <c r="N32" s="154">
        <v>7.0</v>
      </c>
      <c r="O32" s="117"/>
    </row>
    <row r="33">
      <c r="A33" s="40"/>
      <c r="B33" s="80"/>
      <c r="C33" s="80"/>
      <c r="D33" s="80"/>
      <c r="E33" s="80"/>
      <c r="F33" s="80"/>
      <c r="G33" s="155"/>
      <c r="H33" s="156"/>
      <c r="I33" s="82"/>
      <c r="J33" s="157"/>
      <c r="K33" s="158"/>
      <c r="L33" s="159"/>
      <c r="M33" s="158"/>
      <c r="N33" s="159"/>
      <c r="O33" s="89"/>
    </row>
    <row r="34">
      <c r="A34" s="160"/>
      <c r="B34" s="36"/>
      <c r="C34" s="36"/>
      <c r="D34" s="36"/>
      <c r="E34" s="36"/>
      <c r="F34" s="36"/>
      <c r="G34" s="161"/>
      <c r="H34" s="162"/>
      <c r="I34" s="84"/>
      <c r="J34" s="80"/>
      <c r="K34" s="80"/>
      <c r="L34" s="80"/>
      <c r="M34" s="80"/>
      <c r="N34" s="80"/>
      <c r="O34" s="89"/>
    </row>
    <row r="35">
      <c r="A35" s="45"/>
      <c r="B35" s="163" t="s">
        <v>747</v>
      </c>
      <c r="C35" s="163" t="s">
        <v>748</v>
      </c>
      <c r="D35" s="164" t="s">
        <v>749</v>
      </c>
      <c r="E35" s="164" t="s">
        <v>750</v>
      </c>
      <c r="F35" s="163" t="s">
        <v>751</v>
      </c>
      <c r="G35" s="165"/>
      <c r="H35" s="162"/>
      <c r="I35" s="82"/>
      <c r="J35" s="158"/>
      <c r="K35" s="158"/>
      <c r="L35" s="166"/>
      <c r="M35" s="166"/>
      <c r="N35" s="158"/>
      <c r="O35" s="89"/>
    </row>
    <row r="36">
      <c r="A36" s="45"/>
      <c r="B36" s="87"/>
      <c r="C36" s="87"/>
      <c r="D36" s="167"/>
      <c r="E36" s="167"/>
      <c r="F36" s="86" t="s">
        <v>708</v>
      </c>
      <c r="G36" s="168"/>
      <c r="H36" s="169"/>
      <c r="I36" s="151"/>
      <c r="J36" s="87"/>
      <c r="K36" s="87"/>
      <c r="L36" s="167"/>
      <c r="M36" s="167"/>
      <c r="N36" s="87"/>
      <c r="O36" s="89"/>
    </row>
    <row r="37">
      <c r="A37" s="45"/>
      <c r="B37" s="100" t="s">
        <v>752</v>
      </c>
      <c r="C37" s="170"/>
      <c r="D37" s="171"/>
      <c r="E37" s="172" t="s">
        <v>701</v>
      </c>
      <c r="F37" s="102" t="s">
        <v>709</v>
      </c>
      <c r="G37" s="173" t="s">
        <v>753</v>
      </c>
      <c r="H37" s="174"/>
      <c r="I37" s="84"/>
      <c r="J37" s="175" t="s">
        <v>752</v>
      </c>
      <c r="K37" s="176"/>
      <c r="L37" s="177"/>
      <c r="M37" s="49" t="s">
        <v>701</v>
      </c>
      <c r="N37" s="107" t="s">
        <v>709</v>
      </c>
      <c r="O37" s="178"/>
    </row>
    <row r="38">
      <c r="A38" s="45"/>
      <c r="B38" s="179" t="s">
        <v>12</v>
      </c>
      <c r="C38" s="180"/>
      <c r="D38" s="181"/>
      <c r="E38" s="182">
        <v>9.160919540229886</v>
      </c>
      <c r="F38" s="183">
        <v>8.922845087402049</v>
      </c>
      <c r="G38" s="184" t="s">
        <v>719</v>
      </c>
      <c r="H38" s="185"/>
      <c r="I38" s="89"/>
      <c r="J38" s="186" t="s">
        <v>5</v>
      </c>
      <c r="K38" s="187"/>
      <c r="L38" s="188"/>
      <c r="M38" s="115">
        <v>8.25287356321839</v>
      </c>
      <c r="N38" s="189">
        <v>7.987974683544303</v>
      </c>
      <c r="O38" s="190"/>
    </row>
    <row r="39">
      <c r="A39" s="45"/>
      <c r="B39" s="186" t="s">
        <v>23</v>
      </c>
      <c r="C39" s="187"/>
      <c r="D39" s="188"/>
      <c r="E39" s="115">
        <v>8.611764705882353</v>
      </c>
      <c r="F39" s="191">
        <v>8.812087912087913</v>
      </c>
      <c r="G39" s="132" t="s">
        <v>716</v>
      </c>
      <c r="H39" s="192"/>
      <c r="I39" s="89"/>
      <c r="J39" s="186" t="s">
        <v>13</v>
      </c>
      <c r="K39" s="187"/>
      <c r="L39" s="188"/>
      <c r="M39" s="115">
        <v>8.435294117647059</v>
      </c>
      <c r="N39" s="189">
        <v>8.03438818565401</v>
      </c>
      <c r="O39" s="190"/>
    </row>
    <row r="40">
      <c r="A40" s="45"/>
      <c r="B40" s="186" t="s">
        <v>10</v>
      </c>
      <c r="C40" s="187"/>
      <c r="D40" s="188"/>
      <c r="E40" s="115">
        <v>8.632183908045977</v>
      </c>
      <c r="F40" s="191">
        <v>8.477305605786619</v>
      </c>
      <c r="G40" s="193" t="s">
        <v>719</v>
      </c>
      <c r="H40" s="192"/>
      <c r="I40" s="89"/>
      <c r="J40" s="186" t="s">
        <v>15</v>
      </c>
      <c r="K40" s="187"/>
      <c r="L40" s="188"/>
      <c r="M40" s="115">
        <v>7.9655172413793105</v>
      </c>
      <c r="N40" s="189">
        <v>7.680892103676913</v>
      </c>
      <c r="O40" s="190"/>
    </row>
    <row r="41">
      <c r="A41" s="45"/>
      <c r="B41" s="186" t="s">
        <v>7</v>
      </c>
      <c r="C41" s="187"/>
      <c r="D41" s="188"/>
      <c r="E41" s="115">
        <v>8.517241379310345</v>
      </c>
      <c r="F41" s="191">
        <v>8.32537673297167</v>
      </c>
      <c r="G41" s="193" t="s">
        <v>719</v>
      </c>
      <c r="H41" s="192"/>
      <c r="I41" s="89"/>
      <c r="J41" s="186" t="s">
        <v>8</v>
      </c>
      <c r="K41" s="187"/>
      <c r="L41" s="188"/>
      <c r="M41" s="115">
        <v>8.011494252873563</v>
      </c>
      <c r="N41" s="189">
        <v>7.670584689572033</v>
      </c>
      <c r="O41" s="190"/>
    </row>
    <row r="42">
      <c r="A42" s="45"/>
      <c r="B42" s="186" t="s">
        <v>11</v>
      </c>
      <c r="C42" s="187"/>
      <c r="D42" s="188"/>
      <c r="E42" s="115">
        <v>8.476744186046512</v>
      </c>
      <c r="F42" s="191">
        <v>8.20895117540687</v>
      </c>
      <c r="G42" s="193" t="s">
        <v>719</v>
      </c>
      <c r="H42" s="192"/>
      <c r="I42" s="89"/>
      <c r="J42" s="186" t="s">
        <v>7</v>
      </c>
      <c r="K42" s="187"/>
      <c r="L42" s="188"/>
      <c r="M42" s="115">
        <v>8.517241379310345</v>
      </c>
      <c r="N42" s="189">
        <v>8.32537673297167</v>
      </c>
      <c r="O42" s="190"/>
    </row>
    <row r="43">
      <c r="A43" s="45"/>
      <c r="B43" s="186" t="s">
        <v>13</v>
      </c>
      <c r="C43" s="187"/>
      <c r="D43" s="188"/>
      <c r="E43" s="115">
        <v>8.435294117647059</v>
      </c>
      <c r="F43" s="194">
        <v>8.03438818565401</v>
      </c>
      <c r="G43" s="193" t="s">
        <v>719</v>
      </c>
      <c r="H43" s="192"/>
      <c r="I43" s="89"/>
      <c r="J43" s="186" t="s">
        <v>6</v>
      </c>
      <c r="K43" s="187"/>
      <c r="L43" s="188"/>
      <c r="M43" s="115">
        <v>7.988505747126437</v>
      </c>
      <c r="N43" s="189">
        <v>7.552742616033756</v>
      </c>
      <c r="O43" s="190"/>
    </row>
    <row r="44">
      <c r="A44" s="45"/>
      <c r="B44" s="186" t="s">
        <v>5</v>
      </c>
      <c r="C44" s="187"/>
      <c r="D44" s="188"/>
      <c r="E44" s="115">
        <v>8.25287356321839</v>
      </c>
      <c r="F44" s="194">
        <v>7.987974683544303</v>
      </c>
      <c r="G44" s="193" t="s">
        <v>719</v>
      </c>
      <c r="H44" s="192"/>
      <c r="I44" s="89"/>
      <c r="J44" s="186" t="s">
        <v>11</v>
      </c>
      <c r="K44" s="187"/>
      <c r="L44" s="188"/>
      <c r="M44" s="115">
        <v>8.476744186046512</v>
      </c>
      <c r="N44" s="189">
        <v>8.20895117540687</v>
      </c>
      <c r="O44" s="190"/>
    </row>
    <row r="45">
      <c r="A45" s="45"/>
      <c r="B45" s="186" t="s">
        <v>16</v>
      </c>
      <c r="C45" s="187"/>
      <c r="D45" s="188"/>
      <c r="E45" s="115">
        <v>8.563218390804598</v>
      </c>
      <c r="F45" s="194">
        <v>7.9745328511151286</v>
      </c>
      <c r="G45" s="193" t="s">
        <v>719</v>
      </c>
      <c r="H45" s="192"/>
      <c r="I45" s="89"/>
      <c r="J45" s="186" t="s">
        <v>22</v>
      </c>
      <c r="K45" s="187"/>
      <c r="L45" s="188"/>
      <c r="M45" s="115">
        <v>8.034883720930232</v>
      </c>
      <c r="N45" s="189">
        <v>7.755067155067154</v>
      </c>
      <c r="O45" s="190"/>
    </row>
    <row r="46">
      <c r="A46" s="45"/>
      <c r="B46" s="186" t="s">
        <v>22</v>
      </c>
      <c r="C46" s="187"/>
      <c r="D46" s="188"/>
      <c r="E46" s="195">
        <v>8.034883720930232</v>
      </c>
      <c r="F46" s="194">
        <v>7.755067155067154</v>
      </c>
      <c r="G46" s="193" t="s">
        <v>719</v>
      </c>
      <c r="H46" s="192"/>
      <c r="I46" s="89"/>
      <c r="J46" s="186" t="s">
        <v>20</v>
      </c>
      <c r="K46" s="187"/>
      <c r="L46" s="188"/>
      <c r="M46" s="115">
        <v>6.764705882352941</v>
      </c>
      <c r="N46" s="189">
        <v>6.538461538461539</v>
      </c>
      <c r="O46" s="190"/>
    </row>
    <row r="47">
      <c r="A47" s="45"/>
      <c r="B47" s="186" t="s">
        <v>17</v>
      </c>
      <c r="C47" s="187"/>
      <c r="D47" s="188"/>
      <c r="E47" s="115">
        <v>8.25287356321839</v>
      </c>
      <c r="F47" s="194">
        <v>7.701556776556776</v>
      </c>
      <c r="G47" s="193" t="s">
        <v>719</v>
      </c>
      <c r="H47" s="192"/>
      <c r="I47" s="89"/>
      <c r="J47" s="186" t="s">
        <v>21</v>
      </c>
      <c r="K47" s="187"/>
      <c r="L47" s="188"/>
      <c r="M47" s="115">
        <v>7.390804597701149</v>
      </c>
      <c r="N47" s="189">
        <v>7.406781193490052</v>
      </c>
      <c r="O47" s="190"/>
    </row>
    <row r="48">
      <c r="A48" s="45"/>
      <c r="B48" s="186" t="s">
        <v>15</v>
      </c>
      <c r="C48" s="187"/>
      <c r="D48" s="188"/>
      <c r="E48" s="195">
        <v>7.9655172413793105</v>
      </c>
      <c r="F48" s="194">
        <v>7.680892103676913</v>
      </c>
      <c r="G48" s="193" t="s">
        <v>719</v>
      </c>
      <c r="H48" s="192"/>
      <c r="I48" s="89"/>
      <c r="J48" s="186" t="s">
        <v>23</v>
      </c>
      <c r="K48" s="187"/>
      <c r="L48" s="188"/>
      <c r="M48" s="115">
        <v>8.611764705882353</v>
      </c>
      <c r="N48" s="189">
        <v>8.812087912087913</v>
      </c>
      <c r="O48" s="190"/>
    </row>
    <row r="49">
      <c r="A49" s="45"/>
      <c r="B49" s="186" t="s">
        <v>8</v>
      </c>
      <c r="C49" s="187"/>
      <c r="D49" s="188"/>
      <c r="E49" s="195">
        <v>8.011494252873563</v>
      </c>
      <c r="F49" s="194">
        <v>7.670584689572033</v>
      </c>
      <c r="G49" s="193" t="s">
        <v>719</v>
      </c>
      <c r="H49" s="192"/>
      <c r="I49" s="89"/>
      <c r="J49" s="186" t="s">
        <v>16</v>
      </c>
      <c r="K49" s="187"/>
      <c r="L49" s="188"/>
      <c r="M49" s="115">
        <v>8.563218390804598</v>
      </c>
      <c r="N49" s="189">
        <v>7.9745328511151286</v>
      </c>
      <c r="O49" s="190"/>
    </row>
    <row r="50">
      <c r="A50" s="45"/>
      <c r="B50" s="186" t="s">
        <v>18</v>
      </c>
      <c r="C50" s="187"/>
      <c r="D50" s="188"/>
      <c r="E50" s="195">
        <v>8.022988505747126</v>
      </c>
      <c r="F50" s="196">
        <v>7.582264957264958</v>
      </c>
      <c r="G50" s="193" t="s">
        <v>719</v>
      </c>
      <c r="H50" s="192"/>
      <c r="I50" s="89"/>
      <c r="J50" s="186" t="s">
        <v>18</v>
      </c>
      <c r="K50" s="187"/>
      <c r="L50" s="188"/>
      <c r="M50" s="115">
        <v>8.022988505747126</v>
      </c>
      <c r="N50" s="189">
        <v>7.582264957264958</v>
      </c>
      <c r="O50" s="190"/>
    </row>
    <row r="51">
      <c r="A51" s="45"/>
      <c r="B51" s="186" t="s">
        <v>6</v>
      </c>
      <c r="C51" s="187"/>
      <c r="D51" s="188"/>
      <c r="E51" s="195">
        <v>7.988505747126437</v>
      </c>
      <c r="F51" s="196">
        <v>7.552742616033756</v>
      </c>
      <c r="G51" s="193" t="s">
        <v>719</v>
      </c>
      <c r="H51" s="192"/>
      <c r="I51" s="89"/>
      <c r="J51" s="186" t="s">
        <v>17</v>
      </c>
      <c r="K51" s="187"/>
      <c r="L51" s="188"/>
      <c r="M51" s="115">
        <v>8.25287356321839</v>
      </c>
      <c r="N51" s="189">
        <v>7.701556776556776</v>
      </c>
      <c r="O51" s="190"/>
    </row>
    <row r="52">
      <c r="A52" s="45"/>
      <c r="B52" s="186" t="s">
        <v>21</v>
      </c>
      <c r="C52" s="187"/>
      <c r="D52" s="188"/>
      <c r="E52" s="197">
        <v>7.390804597701149</v>
      </c>
      <c r="F52" s="196">
        <v>7.406781193490052</v>
      </c>
      <c r="G52" s="122"/>
      <c r="H52" s="198"/>
      <c r="I52" s="89"/>
      <c r="J52" s="186" t="s">
        <v>12</v>
      </c>
      <c r="K52" s="187"/>
      <c r="L52" s="188"/>
      <c r="M52" s="115">
        <v>9.160919540229886</v>
      </c>
      <c r="N52" s="189">
        <v>8.922845087402049</v>
      </c>
      <c r="O52" s="190"/>
    </row>
    <row r="53">
      <c r="A53" s="45"/>
      <c r="B53" s="199" t="s">
        <v>20</v>
      </c>
      <c r="C53" s="200"/>
      <c r="D53" s="201"/>
      <c r="E53" s="202">
        <v>6.764705882352941</v>
      </c>
      <c r="F53" s="203">
        <v>6.538461538461539</v>
      </c>
      <c r="G53" s="204" t="s">
        <v>719</v>
      </c>
      <c r="H53" s="205"/>
      <c r="I53" s="151"/>
      <c r="J53" s="199" t="s">
        <v>10</v>
      </c>
      <c r="K53" s="200"/>
      <c r="L53" s="201"/>
      <c r="M53" s="153">
        <v>8.632183908045977</v>
      </c>
      <c r="N53" s="206">
        <v>8.477305605786619</v>
      </c>
      <c r="O53" s="190"/>
    </row>
    <row r="54">
      <c r="A54" s="45"/>
      <c r="B54" s="159"/>
      <c r="D54" s="42"/>
      <c r="E54" s="158"/>
      <c r="F54" s="207"/>
      <c r="G54" s="208"/>
      <c r="H54" s="209"/>
      <c r="I54" s="82"/>
      <c r="J54" s="159"/>
      <c r="L54" s="42"/>
      <c r="M54" s="158"/>
      <c r="N54" s="207"/>
      <c r="O54" s="207"/>
    </row>
    <row r="55">
      <c r="A55" s="45"/>
      <c r="B55" s="210" t="s">
        <v>754</v>
      </c>
      <c r="C55" s="176"/>
      <c r="D55" s="177"/>
      <c r="E55" s="211">
        <v>8.66</v>
      </c>
      <c r="F55" s="212">
        <f>AVERAGE(F38:F41)</f>
        <v>8.634403835</v>
      </c>
      <c r="G55" s="213" t="s">
        <v>719</v>
      </c>
      <c r="H55" s="214"/>
      <c r="I55" s="84"/>
      <c r="J55" s="210" t="s">
        <v>754</v>
      </c>
      <c r="K55" s="176"/>
      <c r="L55" s="177"/>
      <c r="M55" s="215">
        <v>8.66</v>
      </c>
      <c r="N55" s="216">
        <v>7.843459915611815</v>
      </c>
      <c r="O55" s="217"/>
    </row>
    <row r="56">
      <c r="A56" s="45"/>
      <c r="B56" s="218" t="s">
        <v>755</v>
      </c>
      <c r="C56" s="187"/>
      <c r="D56" s="188"/>
      <c r="E56" s="219">
        <v>8.201149425287356</v>
      </c>
      <c r="F56" s="220">
        <f>AVERAGE(F42:F45)</f>
        <v>8.051461724</v>
      </c>
      <c r="G56" s="193" t="s">
        <v>719</v>
      </c>
      <c r="H56" s="192"/>
      <c r="I56" s="89"/>
      <c r="J56" s="218" t="s">
        <v>755</v>
      </c>
      <c r="K56" s="187"/>
      <c r="L56" s="188"/>
      <c r="M56" s="219">
        <v>8.201149425287356</v>
      </c>
      <c r="N56" s="221">
        <v>7.960534419869862</v>
      </c>
      <c r="O56" s="217"/>
    </row>
    <row r="57">
      <c r="A57" s="45"/>
      <c r="B57" s="218" t="s">
        <v>756</v>
      </c>
      <c r="C57" s="187"/>
      <c r="D57" s="188"/>
      <c r="E57" s="219">
        <v>8.17</v>
      </c>
      <c r="F57" s="222">
        <f>AVERAGE(F46:F49)</f>
        <v>7.702025181</v>
      </c>
      <c r="G57" s="193" t="s">
        <v>719</v>
      </c>
      <c r="H57" s="192"/>
      <c r="I57" s="89"/>
      <c r="J57" s="218" t="s">
        <v>756</v>
      </c>
      <c r="K57" s="187"/>
      <c r="L57" s="188"/>
      <c r="M57" s="219">
        <v>8.17</v>
      </c>
      <c r="N57" s="221">
        <v>7.682965873788659</v>
      </c>
      <c r="O57" s="217"/>
    </row>
    <row r="58">
      <c r="A58" s="223"/>
      <c r="B58" s="224" t="s">
        <v>757</v>
      </c>
      <c r="C58" s="200"/>
      <c r="D58" s="201"/>
      <c r="E58" s="225">
        <v>7.74</v>
      </c>
      <c r="F58" s="226">
        <f>AVERAGE(F50:F53)</f>
        <v>7.270062576</v>
      </c>
      <c r="G58" s="227" t="s">
        <v>716</v>
      </c>
      <c r="H58" s="228"/>
      <c r="I58" s="151"/>
      <c r="J58" s="224" t="s">
        <v>757</v>
      </c>
      <c r="K58" s="200"/>
      <c r="L58" s="201"/>
      <c r="M58" s="229">
        <v>7.74</v>
      </c>
      <c r="N58" s="230">
        <v>8.1709931067526</v>
      </c>
      <c r="O58" s="217"/>
    </row>
  </sheetData>
  <mergeCells count="51">
    <mergeCell ref="B1:G1"/>
    <mergeCell ref="C9:D9"/>
    <mergeCell ref="E9:F9"/>
    <mergeCell ref="G9:G10"/>
    <mergeCell ref="H9:H10"/>
    <mergeCell ref="K9:L9"/>
    <mergeCell ref="M9:N9"/>
    <mergeCell ref="B37:D37"/>
    <mergeCell ref="J37:L37"/>
    <mergeCell ref="B38:D38"/>
    <mergeCell ref="J38:L38"/>
    <mergeCell ref="B39:D39"/>
    <mergeCell ref="J39:L39"/>
    <mergeCell ref="J40:L40"/>
    <mergeCell ref="B40:D40"/>
    <mergeCell ref="B41:D41"/>
    <mergeCell ref="B42:D42"/>
    <mergeCell ref="B43:D43"/>
    <mergeCell ref="B44:D44"/>
    <mergeCell ref="B45:D45"/>
    <mergeCell ref="B46:D46"/>
    <mergeCell ref="J41:L41"/>
    <mergeCell ref="J42:L42"/>
    <mergeCell ref="J43:L43"/>
    <mergeCell ref="J44:L44"/>
    <mergeCell ref="J45:L45"/>
    <mergeCell ref="J46:L46"/>
    <mergeCell ref="J47:L47"/>
    <mergeCell ref="B54:D54"/>
    <mergeCell ref="B55:D55"/>
    <mergeCell ref="B56:D56"/>
    <mergeCell ref="B57:D57"/>
    <mergeCell ref="B58:D58"/>
    <mergeCell ref="B47:D47"/>
    <mergeCell ref="B48:D48"/>
    <mergeCell ref="B49:D49"/>
    <mergeCell ref="B50:D50"/>
    <mergeCell ref="B51:D51"/>
    <mergeCell ref="B52:D52"/>
    <mergeCell ref="B53:D53"/>
    <mergeCell ref="J55:L55"/>
    <mergeCell ref="J56:L56"/>
    <mergeCell ref="J57:L57"/>
    <mergeCell ref="J58:L58"/>
    <mergeCell ref="J48:L48"/>
    <mergeCell ref="J49:L49"/>
    <mergeCell ref="J50:L50"/>
    <mergeCell ref="J51:L51"/>
    <mergeCell ref="J52:L52"/>
    <mergeCell ref="J53:L53"/>
    <mergeCell ref="J54:L54"/>
  </mergeCells>
  <conditionalFormatting sqref="E11:E14 E19:E32">
    <cfRule type="cellIs" dxfId="2" priority="1" operator="greaterThanOrEqual">
      <formula>9.2</formula>
    </cfRule>
  </conditionalFormatting>
  <conditionalFormatting sqref="E11:E14 E19:E32">
    <cfRule type="cellIs" dxfId="3" priority="2" operator="between">
      <formula>8.31</formula>
      <formula>9.19</formula>
    </cfRule>
  </conditionalFormatting>
  <conditionalFormatting sqref="E11:E14 E19:E32">
    <cfRule type="cellIs" dxfId="4" priority="3" operator="between">
      <formula>7.48</formula>
      <formula>8.3</formula>
    </cfRule>
  </conditionalFormatting>
  <conditionalFormatting sqref="E11:E14 E19:E32">
    <cfRule type="cellIs" dxfId="0" priority="4" operator="between">
      <formula>6.4</formula>
      <formula>7.47</formula>
    </cfRule>
  </conditionalFormatting>
  <conditionalFormatting sqref="E11:E14 E19:E32">
    <cfRule type="cellIs" dxfId="5" priority="5" operator="between">
      <formula>6.4</formula>
      <formula>0.01</formula>
    </cfRule>
  </conditionalFormatting>
  <conditionalFormatting sqref="C11:C36">
    <cfRule type="cellIs" dxfId="5" priority="6" operator="between">
      <formula>6.5</formula>
      <formula>0.01</formula>
    </cfRule>
  </conditionalFormatting>
  <conditionalFormatting sqref="C11:C36">
    <cfRule type="cellIs" dxfId="0" priority="7" operator="between">
      <formula>6.4</formula>
      <formula>6.94</formula>
    </cfRule>
  </conditionalFormatting>
  <conditionalFormatting sqref="C11:C36">
    <cfRule type="cellIs" dxfId="4" priority="8" operator="between">
      <formula>6.95</formula>
      <formula>8.2</formula>
    </cfRule>
  </conditionalFormatting>
  <conditionalFormatting sqref="C11:C36">
    <cfRule type="cellIs" dxfId="3" priority="9" operator="between">
      <formula>8.1</formula>
      <formula>9.1</formula>
    </cfRule>
  </conditionalFormatting>
  <conditionalFormatting sqref="C11:C36">
    <cfRule type="cellIs" dxfId="2" priority="10" operator="greaterThanOrEqual">
      <formula>9.1</formula>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hidden="1" min="1" max="3" width="12.63"/>
    <col customWidth="1" min="4" max="4" width="16.0"/>
    <col customWidth="1" min="5" max="5" width="12.63"/>
    <col customWidth="1" hidden="1" min="6" max="6" width="12.63"/>
    <col customWidth="1" min="7" max="7" width="12.63"/>
    <col customWidth="1" min="8" max="8" width="6.5"/>
    <col customWidth="1" min="9" max="9" width="37.63"/>
    <col customWidth="1" min="10" max="10" width="11.25"/>
    <col customWidth="1" min="11" max="11" width="5.5"/>
    <col customWidth="1" min="12" max="12" width="13.38"/>
    <col customWidth="1" min="13" max="13" width="13.5"/>
  </cols>
  <sheetData>
    <row r="1">
      <c r="A1" s="231"/>
      <c r="B1" s="231"/>
      <c r="C1" s="232"/>
      <c r="D1" s="54"/>
      <c r="E1" s="55"/>
      <c r="F1" s="233"/>
      <c r="G1" s="72"/>
      <c r="H1" s="53"/>
      <c r="I1" s="36"/>
      <c r="J1" s="36"/>
      <c r="K1" s="36"/>
      <c r="L1" s="234"/>
      <c r="M1" s="235"/>
      <c r="N1" s="235"/>
      <c r="O1" s="236"/>
    </row>
    <row r="2">
      <c r="A2" s="231"/>
      <c r="B2" s="231"/>
      <c r="C2" s="232"/>
      <c r="D2" s="54" t="s">
        <v>702</v>
      </c>
      <c r="E2" s="55">
        <v>7.91</v>
      </c>
      <c r="F2" s="233"/>
      <c r="G2" s="72"/>
      <c r="H2" s="53"/>
      <c r="I2" s="36"/>
      <c r="J2" s="36"/>
      <c r="K2" s="36"/>
      <c r="L2" s="237"/>
      <c r="M2" s="238"/>
      <c r="N2" s="238"/>
      <c r="O2" s="239"/>
    </row>
    <row r="3">
      <c r="A3" s="231"/>
      <c r="B3" s="231"/>
      <c r="C3" s="232"/>
      <c r="D3" s="54" t="s">
        <v>703</v>
      </c>
      <c r="E3" s="58">
        <v>85.0</v>
      </c>
      <c r="F3" s="58"/>
      <c r="G3" s="72" t="s">
        <v>758</v>
      </c>
      <c r="H3" s="64">
        <v>5.0</v>
      </c>
      <c r="I3" s="36"/>
      <c r="J3" s="36"/>
      <c r="K3" s="36"/>
      <c r="L3" s="70"/>
      <c r="M3" s="36"/>
      <c r="N3" s="36"/>
      <c r="O3" s="240"/>
    </row>
    <row r="4">
      <c r="A4" s="231" t="s">
        <v>707</v>
      </c>
      <c r="B4" s="241">
        <f>IFERROR(__xludf.DUMMYFUNCTION("COUNTUNIQUE('بعد تعديل المجاملين - أغسطس 202'!E:E)"),26.0)</f>
        <v>26</v>
      </c>
      <c r="C4" s="232"/>
      <c r="D4" s="54" t="s">
        <v>707</v>
      </c>
      <c r="E4" s="54">
        <v>20.0</v>
      </c>
      <c r="F4" s="242"/>
      <c r="G4" s="36"/>
      <c r="H4" s="36"/>
      <c r="I4" s="36"/>
      <c r="J4" s="36"/>
      <c r="K4" s="36"/>
      <c r="L4" s="70"/>
      <c r="M4" s="36"/>
      <c r="N4" s="36"/>
      <c r="O4" s="240"/>
    </row>
    <row r="5">
      <c r="A5" s="231" t="s">
        <v>759</v>
      </c>
      <c r="B5" s="243">
        <f>'بعد تعديل المجاملين - أغسطس 202'!AF99</f>
        <v>8.060546875</v>
      </c>
      <c r="C5" s="232"/>
      <c r="D5" s="83"/>
      <c r="E5" s="83"/>
      <c r="F5" s="233"/>
      <c r="G5" s="36"/>
      <c r="H5" s="36"/>
      <c r="I5" s="244"/>
      <c r="J5" s="36"/>
      <c r="K5" s="36"/>
      <c r="L5" s="70"/>
      <c r="M5" s="36"/>
      <c r="N5" s="36"/>
      <c r="O5" s="240"/>
    </row>
    <row r="6">
      <c r="A6" s="245"/>
      <c r="B6" s="245"/>
      <c r="C6" s="232"/>
      <c r="D6" s="85"/>
      <c r="E6" s="86" t="s">
        <v>708</v>
      </c>
      <c r="F6" s="86"/>
      <c r="G6" s="87"/>
      <c r="H6" s="36"/>
      <c r="I6" s="87"/>
      <c r="J6" s="86" t="s">
        <v>708</v>
      </c>
      <c r="K6" s="83"/>
      <c r="L6" s="246"/>
      <c r="M6" s="87"/>
      <c r="N6" s="86" t="s">
        <v>708</v>
      </c>
      <c r="O6" s="247"/>
    </row>
    <row r="7">
      <c r="A7" s="248" t="s">
        <v>712</v>
      </c>
      <c r="B7" s="248" t="s">
        <v>29</v>
      </c>
      <c r="C7" s="248" t="s">
        <v>713</v>
      </c>
      <c r="D7" s="106" t="s">
        <v>712</v>
      </c>
      <c r="E7" s="49" t="s">
        <v>760</v>
      </c>
      <c r="F7" s="249" t="s">
        <v>761</v>
      </c>
      <c r="G7" s="107" t="s">
        <v>713</v>
      </c>
      <c r="H7" s="89"/>
      <c r="I7" s="106" t="s">
        <v>752</v>
      </c>
      <c r="J7" s="107" t="s">
        <v>29</v>
      </c>
      <c r="K7" s="89"/>
      <c r="L7" s="250" t="s">
        <v>762</v>
      </c>
      <c r="M7" s="251"/>
      <c r="N7" s="94"/>
      <c r="O7" s="252"/>
    </row>
    <row r="8">
      <c r="A8" s="253" t="str">
        <f t="array" ref="A8:A25">UNIQUE('تقييم القادة مايو 2025 - معتمد'!E3:E100)</f>
        <v>أسيل باعبدالله</v>
      </c>
      <c r="B8" s="254">
        <f>AVERAGEIF('تقييم القادة مايو 2025 - معتمد'!E$2:E$100,A8,'تقييم القادة مايو 2025 - معتمد'!AF$2:AF$100)</f>
        <v>7.1875</v>
      </c>
      <c r="C8" s="254"/>
      <c r="D8" s="114" t="s">
        <v>724</v>
      </c>
      <c r="E8" s="219">
        <v>9.33</v>
      </c>
      <c r="F8" s="255"/>
      <c r="G8" s="116">
        <v>3.0</v>
      </c>
      <c r="H8" s="89"/>
      <c r="I8" s="256" t="s">
        <v>12</v>
      </c>
      <c r="J8" s="257">
        <v>8.922845087402049</v>
      </c>
      <c r="K8" s="89"/>
      <c r="L8" s="258" t="s">
        <v>763</v>
      </c>
      <c r="M8" s="259" t="s">
        <v>764</v>
      </c>
      <c r="N8" s="260" t="s">
        <v>765</v>
      </c>
      <c r="O8" s="252"/>
    </row>
    <row r="9">
      <c r="A9" s="253" t="s">
        <v>42</v>
      </c>
      <c r="B9" s="254">
        <f>AVERAGEIF('تقييم القادة مايو 2025 - معتمد'!E$2:E$100,A9,'تقييم القادة مايو 2025 - معتمد'!AF$2:AF$100)</f>
        <v>8.165277778</v>
      </c>
      <c r="C9" s="261"/>
      <c r="D9" s="114" t="s">
        <v>113</v>
      </c>
      <c r="E9" s="219">
        <v>9.25</v>
      </c>
      <c r="F9" s="255"/>
      <c r="G9" s="116">
        <v>2.0</v>
      </c>
      <c r="H9" s="89"/>
      <c r="I9" s="256" t="s">
        <v>23</v>
      </c>
      <c r="J9" s="257">
        <v>8.812087912087913</v>
      </c>
      <c r="K9" s="89"/>
      <c r="L9" s="262" t="s">
        <v>485</v>
      </c>
      <c r="M9" s="263" t="s">
        <v>486</v>
      </c>
      <c r="N9" s="264">
        <v>2.75</v>
      </c>
      <c r="O9" s="252"/>
    </row>
    <row r="10">
      <c r="A10" s="253" t="s">
        <v>109</v>
      </c>
      <c r="B10" s="254">
        <f>AVERAGEIF('تقييم القادة مايو 2025 - معتمد'!E$2:E$100,A10,'تقييم القادة مايو 2025 - معتمد'!AF$2:AF$100)</f>
        <v>7.5125</v>
      </c>
      <c r="C10" s="261"/>
      <c r="D10" s="114" t="s">
        <v>134</v>
      </c>
      <c r="E10" s="219">
        <v>9.09</v>
      </c>
      <c r="F10" s="255"/>
      <c r="G10" s="116">
        <v>2.0</v>
      </c>
      <c r="H10" s="89"/>
      <c r="I10" s="256" t="s">
        <v>10</v>
      </c>
      <c r="J10" s="265">
        <v>8.477305605786619</v>
      </c>
      <c r="K10" s="89"/>
      <c r="L10" s="262" t="s">
        <v>495</v>
      </c>
      <c r="M10" s="263" t="s">
        <v>486</v>
      </c>
      <c r="N10" s="264">
        <v>3.0</v>
      </c>
      <c r="O10" s="252"/>
    </row>
    <row r="11">
      <c r="A11" s="253" t="s">
        <v>144</v>
      </c>
      <c r="B11" s="254">
        <f>AVERAGEIF('تقييم القادة مايو 2025 - معتمد'!E$2:E$100,A11,'تقييم القادة مايو 2025 - معتمد'!AF$2:AF$100)</f>
        <v>7.541666667</v>
      </c>
      <c r="C11" s="261"/>
      <c r="D11" s="114" t="s">
        <v>270</v>
      </c>
      <c r="E11" s="219">
        <v>9.01</v>
      </c>
      <c r="F11" s="255"/>
      <c r="G11" s="116">
        <v>3.0</v>
      </c>
      <c r="H11" s="89"/>
      <c r="I11" s="256" t="s">
        <v>7</v>
      </c>
      <c r="J11" s="265">
        <v>8.32537673297167</v>
      </c>
      <c r="K11" s="89"/>
      <c r="L11" s="262" t="s">
        <v>499</v>
      </c>
      <c r="M11" s="263" t="s">
        <v>486</v>
      </c>
      <c r="N11" s="264">
        <v>5.1875</v>
      </c>
      <c r="O11" s="252"/>
    </row>
    <row r="12">
      <c r="A12" s="253" t="s">
        <v>167</v>
      </c>
      <c r="B12" s="254">
        <f>AVERAGEIF('تقييم القادة مايو 2025 - معتمد'!E$2:E$100,A12,'تقييم القادة مايو 2025 - معتمد'!AF$2:AF$100)</f>
        <v>9.333333333</v>
      </c>
      <c r="C12" s="261"/>
      <c r="D12" s="114" t="s">
        <v>49</v>
      </c>
      <c r="E12" s="219">
        <v>8.8</v>
      </c>
      <c r="F12" s="255"/>
      <c r="G12" s="116">
        <v>8.0</v>
      </c>
      <c r="H12" s="89"/>
      <c r="I12" s="256" t="s">
        <v>11</v>
      </c>
      <c r="J12" s="265">
        <v>8.20895117540687</v>
      </c>
      <c r="K12" s="89"/>
      <c r="L12" s="262" t="s">
        <v>558</v>
      </c>
      <c r="M12" s="266" t="s">
        <v>559</v>
      </c>
      <c r="N12" s="264">
        <v>5.3125</v>
      </c>
      <c r="O12" s="252"/>
    </row>
    <row r="13">
      <c r="A13" s="253" t="s">
        <v>134</v>
      </c>
      <c r="B13" s="254">
        <f>AVERAGEIF('تقييم القادة مايو 2025 - معتمد'!E$2:E$100,A13,'تقييم القادة مايو 2025 - معتمد'!AF$2:AF$100)</f>
        <v>9.09375</v>
      </c>
      <c r="C13" s="261"/>
      <c r="D13" s="114" t="s">
        <v>731</v>
      </c>
      <c r="E13" s="219">
        <v>8.76</v>
      </c>
      <c r="F13" s="255"/>
      <c r="G13" s="116">
        <v>5.0</v>
      </c>
      <c r="H13" s="89"/>
      <c r="I13" s="256" t="s">
        <v>13</v>
      </c>
      <c r="J13" s="267">
        <v>8.03438818565401</v>
      </c>
      <c r="K13" s="89"/>
      <c r="L13" s="262" t="s">
        <v>32</v>
      </c>
      <c r="M13" s="268" t="s">
        <v>33</v>
      </c>
      <c r="N13" s="269">
        <v>5.3125</v>
      </c>
      <c r="O13" s="252"/>
    </row>
    <row r="14">
      <c r="A14" s="253" t="s">
        <v>188</v>
      </c>
      <c r="B14" s="254">
        <f>AVERAGEIF('تقييم القادة مايو 2025 - معتمد'!E$2:E$100,A14,'تقييم القادة مايو 2025 - معتمد'!AF$2:AF$100)</f>
        <v>8.411805556</v>
      </c>
      <c r="C14" s="261"/>
      <c r="D14" s="114" t="s">
        <v>537</v>
      </c>
      <c r="E14" s="219">
        <v>8.69</v>
      </c>
      <c r="F14" s="255"/>
      <c r="G14" s="116">
        <v>3.0</v>
      </c>
      <c r="H14" s="89"/>
      <c r="I14" s="256" t="s">
        <v>5</v>
      </c>
      <c r="J14" s="267">
        <v>7.987974683544303</v>
      </c>
      <c r="K14" s="89"/>
      <c r="L14" s="262" t="s">
        <v>507</v>
      </c>
      <c r="M14" s="263" t="s">
        <v>486</v>
      </c>
      <c r="N14" s="264">
        <v>5.708333333333333</v>
      </c>
      <c r="O14" s="252"/>
    </row>
    <row r="15">
      <c r="A15" s="253" t="s">
        <v>242</v>
      </c>
      <c r="B15" s="254">
        <f>AVERAGEIF('تقييم القادة مايو 2025 - معتمد'!E$2:E$100,A15,'تقييم القادة مايو 2025 - معتمد'!AF$2:AF$100)</f>
        <v>7.46875</v>
      </c>
      <c r="C15" s="261"/>
      <c r="D15" s="114" t="s">
        <v>188</v>
      </c>
      <c r="E15" s="219">
        <v>8.58</v>
      </c>
      <c r="F15" s="255"/>
      <c r="G15" s="116">
        <v>6.0</v>
      </c>
      <c r="H15" s="89"/>
      <c r="I15" s="256" t="s">
        <v>16</v>
      </c>
      <c r="J15" s="267">
        <v>7.9745328511151286</v>
      </c>
      <c r="K15" s="89"/>
      <c r="L15" s="262" t="s">
        <v>286</v>
      </c>
      <c r="M15" s="270" t="s">
        <v>287</v>
      </c>
      <c r="N15" s="264">
        <v>6.0</v>
      </c>
      <c r="O15" s="252"/>
    </row>
    <row r="16">
      <c r="A16" s="253" t="s">
        <v>270</v>
      </c>
      <c r="B16" s="254">
        <f>AVERAGEIF('تقييم القادة مايو 2025 - معتمد'!E$2:E$100,A16,'تقييم القادة مايو 2025 - معتمد'!AF$2:AF$100)</f>
        <v>9.130555556</v>
      </c>
      <c r="C16" s="261"/>
      <c r="D16" s="114" t="s">
        <v>195</v>
      </c>
      <c r="E16" s="219">
        <v>8.51</v>
      </c>
      <c r="F16" s="255"/>
      <c r="G16" s="116">
        <v>6.0</v>
      </c>
      <c r="H16" s="89"/>
      <c r="I16" s="256" t="s">
        <v>22</v>
      </c>
      <c r="J16" s="267">
        <v>7.755067155067154</v>
      </c>
      <c r="K16" s="89"/>
      <c r="L16" s="262" t="s">
        <v>143</v>
      </c>
      <c r="M16" s="270" t="s">
        <v>144</v>
      </c>
      <c r="N16" s="264">
        <v>6.0</v>
      </c>
      <c r="O16" s="252"/>
    </row>
    <row r="17">
      <c r="A17" s="253" t="s">
        <v>287</v>
      </c>
      <c r="B17" s="254">
        <f>AVERAGEIF('تقييم القادة مايو 2025 - معتمد'!E$2:E$100,A17,'تقييم القادة مايو 2025 - معتمد'!AF$2:AF$100)</f>
        <v>7.436819728</v>
      </c>
      <c r="C17" s="261"/>
      <c r="D17" s="114" t="s">
        <v>42</v>
      </c>
      <c r="E17" s="219">
        <v>8.28</v>
      </c>
      <c r="F17" s="255"/>
      <c r="G17" s="116">
        <v>6.0</v>
      </c>
      <c r="H17" s="89"/>
      <c r="I17" s="256" t="s">
        <v>17</v>
      </c>
      <c r="J17" s="267">
        <v>7.701556776556776</v>
      </c>
      <c r="K17" s="89"/>
      <c r="L17" s="262" t="s">
        <v>108</v>
      </c>
      <c r="M17" s="271" t="s">
        <v>109</v>
      </c>
      <c r="N17" s="264">
        <v>6.1875</v>
      </c>
      <c r="O17" s="252"/>
    </row>
    <row r="18">
      <c r="A18" s="253" t="s">
        <v>334</v>
      </c>
      <c r="B18" s="254">
        <f>AVERAGEIF('تقييم القادة مايو 2025 - معتمد'!E$2:E$100,A18,'تقييم القادة مايو 2025 - معتمد'!AF$2:AF$100)</f>
        <v>8.55327381</v>
      </c>
      <c r="C18" s="261"/>
      <c r="D18" s="272" t="s">
        <v>736</v>
      </c>
      <c r="E18" s="219">
        <v>7.66</v>
      </c>
      <c r="F18" s="255"/>
      <c r="G18" s="116">
        <v>2.0</v>
      </c>
      <c r="H18" s="89"/>
      <c r="I18" s="256" t="s">
        <v>15</v>
      </c>
      <c r="J18" s="267">
        <v>7.680892103676913</v>
      </c>
      <c r="K18" s="89"/>
      <c r="L18" s="262" t="s">
        <v>537</v>
      </c>
      <c r="M18" s="266" t="s">
        <v>559</v>
      </c>
      <c r="N18" s="264">
        <v>6.375</v>
      </c>
      <c r="O18" s="252"/>
    </row>
    <row r="19">
      <c r="A19" s="253" t="s">
        <v>49</v>
      </c>
      <c r="B19" s="254">
        <f>AVERAGEIF('تقييم القادة مايو 2025 - معتمد'!E$2:E$100,A19,'تقييم القادة مايو 2025 - معتمد'!AF$2:AF$100)</f>
        <v>8.856770833</v>
      </c>
      <c r="C19" s="261"/>
      <c r="D19" s="114" t="s">
        <v>109</v>
      </c>
      <c r="E19" s="219">
        <v>7.51</v>
      </c>
      <c r="F19" s="255"/>
      <c r="G19" s="116">
        <v>5.0</v>
      </c>
      <c r="H19" s="89"/>
      <c r="I19" s="256" t="s">
        <v>8</v>
      </c>
      <c r="J19" s="267">
        <v>7.670584689572033</v>
      </c>
      <c r="K19" s="89"/>
      <c r="L19" s="262" t="s">
        <v>516</v>
      </c>
      <c r="M19" s="263" t="s">
        <v>486</v>
      </c>
      <c r="N19" s="264">
        <v>6.375</v>
      </c>
      <c r="O19" s="252"/>
    </row>
    <row r="20">
      <c r="A20" s="253" t="s">
        <v>434</v>
      </c>
      <c r="B20" s="254">
        <f>AVERAGEIF('تقييم القادة مايو 2025 - معتمد'!E$2:E$100,A20,'تقييم القادة مايو 2025 - معتمد'!AF$2:AF$100)</f>
        <v>9.25</v>
      </c>
      <c r="C20" s="261"/>
      <c r="D20" s="114" t="s">
        <v>242</v>
      </c>
      <c r="E20" s="219">
        <v>7.47</v>
      </c>
      <c r="F20" s="255"/>
      <c r="G20" s="116">
        <v>4.0</v>
      </c>
      <c r="H20" s="89"/>
      <c r="I20" s="256" t="s">
        <v>18</v>
      </c>
      <c r="J20" s="273">
        <v>7.582264957264958</v>
      </c>
      <c r="K20" s="89"/>
      <c r="L20" s="262" t="s">
        <v>525</v>
      </c>
      <c r="M20" s="263" t="s">
        <v>486</v>
      </c>
      <c r="N20" s="264">
        <v>6.5625</v>
      </c>
      <c r="O20" s="252"/>
    </row>
    <row r="21">
      <c r="A21" s="253" t="s">
        <v>449</v>
      </c>
      <c r="B21" s="254">
        <f>AVERAGEIF('تقييم القادة مايو 2025 - معتمد'!E$2:E$100,A21,'تقييم القادة مايو 2025 - معتمد'!AF$2:AF$100)</f>
        <v>8.43125</v>
      </c>
      <c r="C21" s="261"/>
      <c r="D21" s="114" t="s">
        <v>144</v>
      </c>
      <c r="E21" s="219">
        <v>7.46</v>
      </c>
      <c r="F21" s="255"/>
      <c r="G21" s="116">
        <v>4.0</v>
      </c>
      <c r="H21" s="89"/>
      <c r="I21" s="256" t="s">
        <v>6</v>
      </c>
      <c r="J21" s="273">
        <v>7.552742616033756</v>
      </c>
      <c r="K21" s="89"/>
      <c r="L21" s="262" t="s">
        <v>292</v>
      </c>
      <c r="M21" s="270" t="s">
        <v>287</v>
      </c>
      <c r="N21" s="264">
        <v>6.625</v>
      </c>
      <c r="O21" s="252"/>
    </row>
    <row r="22">
      <c r="A22" s="253" t="s">
        <v>486</v>
      </c>
      <c r="B22" s="254">
        <f>AVERAGEIF('تقييم القادة مايو 2025 - معتمد'!E$2:E$100,A22,'تقييم القادة مايو 2025 - معتمد'!AF$2:AF$100)</f>
        <v>5.275297619</v>
      </c>
      <c r="C22" s="261"/>
      <c r="D22" s="114" t="s">
        <v>516</v>
      </c>
      <c r="E22" s="219">
        <v>7.34</v>
      </c>
      <c r="F22" s="255"/>
      <c r="G22" s="116">
        <v>7.0</v>
      </c>
      <c r="H22" s="89"/>
      <c r="I22" s="256" t="s">
        <v>21</v>
      </c>
      <c r="J22" s="273">
        <v>7.406781193490052</v>
      </c>
      <c r="K22" s="89"/>
      <c r="L22" s="262" t="s">
        <v>530</v>
      </c>
      <c r="M22" s="263" t="s">
        <v>486</v>
      </c>
      <c r="N22" s="264">
        <v>6.875</v>
      </c>
      <c r="O22" s="252"/>
    </row>
    <row r="23">
      <c r="A23" s="253" t="s">
        <v>537</v>
      </c>
      <c r="B23" s="254">
        <f>AVERAGEIF('تقييم القادة مايو 2025 - معتمد'!E$2:E$100,A23,'تقييم القادة مايو 2025 - معتمد'!AF$2:AF$100)</f>
        <v>8.6875</v>
      </c>
      <c r="C23" s="261"/>
      <c r="D23" s="141" t="s">
        <v>741</v>
      </c>
      <c r="E23" s="219">
        <v>7.19</v>
      </c>
      <c r="F23" s="255"/>
      <c r="G23" s="116">
        <v>4.0</v>
      </c>
      <c r="H23" s="89"/>
      <c r="I23" s="274" t="s">
        <v>20</v>
      </c>
      <c r="J23" s="275">
        <v>6.538461538461539</v>
      </c>
      <c r="K23" s="89"/>
      <c r="L23" s="262" t="s">
        <v>299</v>
      </c>
      <c r="M23" s="270" t="s">
        <v>287</v>
      </c>
      <c r="N23" s="264">
        <v>7.0</v>
      </c>
      <c r="O23" s="252"/>
    </row>
    <row r="24">
      <c r="A24" s="253" t="s">
        <v>559</v>
      </c>
      <c r="B24" s="254">
        <f>AVERAGEIF('تقييم القادة مايو 2025 - معتمد'!E$2:E$100,A24,'تقييم القادة مايو 2025 - معتمد'!AF$2:AF$100)</f>
        <v>7.1675</v>
      </c>
      <c r="C24" s="261"/>
      <c r="D24" s="114" t="s">
        <v>32</v>
      </c>
      <c r="E24" s="219">
        <v>7.17</v>
      </c>
      <c r="F24" s="255"/>
      <c r="G24" s="116">
        <v>5.0</v>
      </c>
      <c r="H24" s="70"/>
      <c r="I24" s="158"/>
      <c r="J24" s="158"/>
      <c r="K24" s="276"/>
      <c r="L24" s="262" t="s">
        <v>306</v>
      </c>
      <c r="M24" s="270" t="s">
        <v>287</v>
      </c>
      <c r="N24" s="264">
        <v>7.125</v>
      </c>
      <c r="O24" s="252"/>
    </row>
    <row r="25">
      <c r="A25" s="254"/>
      <c r="B25" s="254"/>
      <c r="C25" s="261"/>
      <c r="D25" s="272" t="s">
        <v>744</v>
      </c>
      <c r="E25" s="219">
        <v>6.66</v>
      </c>
      <c r="F25" s="255"/>
      <c r="G25" s="116">
        <v>2.0</v>
      </c>
      <c r="H25" s="89"/>
      <c r="I25" s="46" t="s">
        <v>754</v>
      </c>
      <c r="J25" s="277">
        <f>AVERAGE(J8:J11)</f>
        <v>8.634403835</v>
      </c>
      <c r="K25" s="89"/>
      <c r="L25" s="278" t="s">
        <v>486</v>
      </c>
      <c r="M25" s="279" t="s">
        <v>33</v>
      </c>
      <c r="N25" s="280">
        <v>7.0</v>
      </c>
      <c r="O25" s="252"/>
    </row>
    <row r="26">
      <c r="A26" s="253"/>
      <c r="B26" s="254"/>
      <c r="C26" s="261"/>
      <c r="D26" s="152" t="s">
        <v>486</v>
      </c>
      <c r="E26" s="229">
        <v>5.22</v>
      </c>
      <c r="F26" s="281"/>
      <c r="G26" s="154">
        <v>7.0</v>
      </c>
      <c r="H26" s="89"/>
      <c r="I26" s="57" t="s">
        <v>755</v>
      </c>
      <c r="J26" s="221">
        <f>AVERAGE(J12:J15)</f>
        <v>8.051461724</v>
      </c>
      <c r="K26" s="89"/>
      <c r="L26" s="282" t="s">
        <v>264</v>
      </c>
      <c r="M26" s="283" t="s">
        <v>242</v>
      </c>
      <c r="N26" s="284">
        <v>5.56</v>
      </c>
      <c r="O26" s="252"/>
    </row>
    <row r="27">
      <c r="A27" s="253"/>
      <c r="B27" s="254"/>
      <c r="C27" s="261"/>
      <c r="D27" s="80"/>
      <c r="E27" s="80"/>
      <c r="F27" s="80"/>
      <c r="G27" s="80"/>
      <c r="H27" s="144"/>
      <c r="I27" s="57" t="s">
        <v>756</v>
      </c>
      <c r="J27" s="221">
        <f>AVERAGE(J16:J19)</f>
        <v>7.702025181</v>
      </c>
      <c r="K27" s="285"/>
      <c r="L27" s="286"/>
      <c r="M27" s="287"/>
      <c r="N27" s="288"/>
      <c r="O27" s="247"/>
    </row>
    <row r="28">
      <c r="A28" s="253"/>
      <c r="B28" s="254"/>
      <c r="C28" s="261"/>
      <c r="D28" s="289"/>
      <c r="E28" s="290"/>
      <c r="F28" s="291"/>
      <c r="G28" s="292"/>
      <c r="H28" s="89"/>
      <c r="I28" s="74" t="s">
        <v>757</v>
      </c>
      <c r="J28" s="293">
        <f>AVERAGE(J20:J23)</f>
        <v>7.270062576</v>
      </c>
      <c r="K28" s="70"/>
      <c r="L28" s="294"/>
      <c r="M28" s="295"/>
      <c r="N28" s="295"/>
      <c r="O28" s="247"/>
    </row>
    <row r="29">
      <c r="A29" s="253"/>
      <c r="B29" s="254"/>
      <c r="C29" s="261"/>
      <c r="D29" s="36"/>
      <c r="E29" s="36"/>
      <c r="F29" s="36"/>
      <c r="G29" s="36"/>
      <c r="H29" s="70"/>
      <c r="I29" s="80"/>
      <c r="J29" s="80"/>
      <c r="K29" s="36"/>
      <c r="L29" s="294"/>
      <c r="M29" s="295"/>
      <c r="N29" s="295"/>
      <c r="O29" s="247"/>
    </row>
    <row r="30">
      <c r="A30" s="253"/>
      <c r="B30" s="254"/>
      <c r="C30" s="261"/>
      <c r="D30" s="36"/>
      <c r="E30" s="36"/>
      <c r="F30" s="36"/>
      <c r="G30" s="36"/>
      <c r="H30" s="296"/>
      <c r="I30" s="36"/>
      <c r="J30" s="36"/>
      <c r="K30" s="36"/>
      <c r="L30" s="294"/>
      <c r="M30" s="295"/>
      <c r="N30" s="295"/>
      <c r="O30" s="247"/>
    </row>
    <row r="31">
      <c r="A31" s="253"/>
      <c r="B31" s="254"/>
      <c r="C31" s="261"/>
      <c r="D31" s="36"/>
      <c r="E31" s="36"/>
      <c r="F31" s="36"/>
      <c r="G31" s="36"/>
      <c r="H31" s="42"/>
      <c r="I31" s="36"/>
      <c r="J31" s="36"/>
      <c r="K31" s="36"/>
      <c r="L31" s="285"/>
      <c r="M31" s="36"/>
      <c r="N31" s="36"/>
      <c r="O31" s="247"/>
    </row>
    <row r="32">
      <c r="A32" s="253"/>
      <c r="B32" s="254"/>
      <c r="C32" s="261"/>
      <c r="D32" s="36"/>
      <c r="E32" s="36"/>
      <c r="F32" s="36"/>
      <c r="G32" s="36"/>
      <c r="H32" s="181"/>
      <c r="I32" s="36"/>
      <c r="J32" s="36"/>
      <c r="K32" s="36"/>
      <c r="L32" s="70"/>
      <c r="M32" s="36"/>
      <c r="N32" s="36"/>
      <c r="O32" s="247"/>
    </row>
    <row r="33">
      <c r="A33" s="253"/>
      <c r="B33" s="254"/>
      <c r="C33" s="297"/>
      <c r="D33" s="36"/>
      <c r="E33" s="36"/>
      <c r="F33" s="36"/>
      <c r="G33" s="36"/>
      <c r="H33" s="36"/>
      <c r="I33" s="36"/>
      <c r="J33" s="36"/>
      <c r="K33" s="36"/>
      <c r="L33" s="160"/>
      <c r="M33" s="298"/>
      <c r="N33" s="298"/>
      <c r="O33" s="240"/>
    </row>
  </sheetData>
  <mergeCells count="2">
    <mergeCell ref="L7:N7"/>
    <mergeCell ref="H30:H32"/>
  </mergeCells>
  <conditionalFormatting sqref="E8:E33 F27">
    <cfRule type="cellIs" dxfId="2" priority="1" operator="greaterThanOrEqual">
      <formula>9.2</formula>
    </cfRule>
  </conditionalFormatting>
  <conditionalFormatting sqref="E8:E33 F27">
    <cfRule type="cellIs" dxfId="3" priority="2" operator="between">
      <formula>8.31</formula>
      <formula>9.19</formula>
    </cfRule>
  </conditionalFormatting>
  <conditionalFormatting sqref="E8:E33 F27">
    <cfRule type="cellIs" dxfId="4" priority="3" operator="between">
      <formula>7.35</formula>
      <formula>8.3</formula>
    </cfRule>
  </conditionalFormatting>
  <conditionalFormatting sqref="E8:E33 F27">
    <cfRule type="cellIs" dxfId="0" priority="4" operator="between">
      <formula>6.4</formula>
      <formula>7.34</formula>
    </cfRule>
  </conditionalFormatting>
  <conditionalFormatting sqref="E8:E33 F27">
    <cfRule type="cellIs" dxfId="5" priority="5" operator="between">
      <formula>6.4</formula>
      <formula>0.01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hidden="1" min="1" max="3" width="12.63"/>
    <col customWidth="1" min="4" max="4" width="3.63"/>
    <col customWidth="1" min="5" max="5" width="17.88"/>
    <col customWidth="1" min="6" max="6" width="17.5"/>
    <col customWidth="1" min="7" max="7" width="9.63"/>
    <col customWidth="1" min="9" max="9" width="6.5"/>
    <col customWidth="1" min="10" max="10" width="37.63"/>
    <col customWidth="1" min="11" max="11" width="11.25"/>
    <col customWidth="1" min="12" max="12" width="5.5"/>
    <col customWidth="1" min="13" max="13" width="13.38"/>
    <col customWidth="1" min="14" max="14" width="13.5"/>
  </cols>
  <sheetData>
    <row r="1">
      <c r="A1" s="231"/>
      <c r="B1" s="231"/>
      <c r="C1" s="232"/>
      <c r="D1" s="299"/>
      <c r="E1" s="54"/>
      <c r="F1" s="55"/>
      <c r="G1" s="233"/>
      <c r="H1" s="72"/>
      <c r="I1" s="53"/>
      <c r="J1" s="36"/>
      <c r="K1" s="36"/>
      <c r="L1" s="36"/>
      <c r="M1" s="234"/>
      <c r="N1" s="235"/>
      <c r="O1" s="235"/>
      <c r="P1" s="236"/>
    </row>
    <row r="2">
      <c r="A2" s="231"/>
      <c r="B2" s="231"/>
      <c r="C2" s="232"/>
      <c r="D2" s="299"/>
      <c r="E2" s="54" t="s">
        <v>702</v>
      </c>
      <c r="F2" s="55">
        <v>8.198905309250136</v>
      </c>
      <c r="G2" s="233"/>
      <c r="H2" s="72" t="s">
        <v>766</v>
      </c>
      <c r="I2" s="53">
        <v>8.0</v>
      </c>
      <c r="J2" s="36"/>
      <c r="K2" s="36"/>
      <c r="L2" s="36"/>
      <c r="M2" s="300"/>
      <c r="N2" s="301"/>
      <c r="O2" s="301"/>
      <c r="P2" s="302"/>
    </row>
    <row r="3">
      <c r="A3" s="231"/>
      <c r="B3" s="231"/>
      <c r="C3" s="232"/>
      <c r="D3" s="299"/>
      <c r="E3" s="54" t="s">
        <v>703</v>
      </c>
      <c r="F3" s="58">
        <v>95.0</v>
      </c>
      <c r="G3" s="58"/>
      <c r="H3" s="72" t="s">
        <v>758</v>
      </c>
      <c r="I3" s="64">
        <v>10.0</v>
      </c>
      <c r="J3" s="36"/>
      <c r="K3" s="36"/>
      <c r="L3" s="36"/>
      <c r="M3" s="303"/>
      <c r="N3" s="235"/>
      <c r="O3" s="235"/>
      <c r="P3" s="236"/>
    </row>
    <row r="4">
      <c r="A4" s="231" t="s">
        <v>707</v>
      </c>
      <c r="B4" s="241">
        <f>IFERROR(__xludf.DUMMYFUNCTION("COUNTUNIQUE('بعد تعديل المجاملين - أغسطس 202'!E:E)"),26.0)</f>
        <v>26</v>
      </c>
      <c r="C4" s="232"/>
      <c r="D4" s="299"/>
      <c r="E4" s="54" t="s">
        <v>707</v>
      </c>
      <c r="F4" s="54">
        <v>23.0</v>
      </c>
      <c r="G4" s="242"/>
      <c r="H4" s="36"/>
      <c r="I4" s="36"/>
      <c r="J4" s="36"/>
      <c r="K4" s="36"/>
      <c r="L4" s="36"/>
      <c r="M4" s="304"/>
      <c r="N4" s="235"/>
      <c r="O4" s="235"/>
      <c r="P4" s="236"/>
    </row>
    <row r="5">
      <c r="A5" s="231" t="s">
        <v>759</v>
      </c>
      <c r="B5" s="243">
        <f>'بعد تعديل المجاملين - أغسطس 202'!AF99</f>
        <v>8.060546875</v>
      </c>
      <c r="C5" s="232"/>
      <c r="D5" s="299"/>
      <c r="E5" s="83"/>
      <c r="F5" s="83"/>
      <c r="G5" s="233"/>
      <c r="H5" s="36"/>
      <c r="I5" s="36"/>
      <c r="J5" s="244"/>
      <c r="K5" s="36"/>
      <c r="L5" s="36"/>
      <c r="M5" s="300"/>
      <c r="N5" s="301"/>
      <c r="O5" s="301"/>
      <c r="P5" s="305"/>
    </row>
    <row r="6">
      <c r="A6" s="245"/>
      <c r="B6" s="245"/>
      <c r="C6" s="232"/>
      <c r="D6" s="299"/>
      <c r="E6" s="85"/>
      <c r="F6" s="86" t="s">
        <v>708</v>
      </c>
      <c r="G6" s="86"/>
      <c r="H6" s="87"/>
      <c r="I6" s="36"/>
      <c r="J6" s="87"/>
      <c r="K6" s="86" t="s">
        <v>708</v>
      </c>
      <c r="L6" s="83"/>
      <c r="M6" s="300"/>
      <c r="N6" s="301"/>
      <c r="O6" s="306" t="s">
        <v>708</v>
      </c>
      <c r="P6" s="307"/>
    </row>
    <row r="7">
      <c r="A7" s="248" t="s">
        <v>712</v>
      </c>
      <c r="B7" s="248" t="s">
        <v>29</v>
      </c>
      <c r="C7" s="248" t="s">
        <v>713</v>
      </c>
      <c r="D7" s="308"/>
      <c r="E7" s="309" t="s">
        <v>712</v>
      </c>
      <c r="F7" s="310" t="s">
        <v>767</v>
      </c>
      <c r="G7" s="311" t="s">
        <v>761</v>
      </c>
      <c r="H7" s="312" t="s">
        <v>713</v>
      </c>
      <c r="I7" s="89"/>
      <c r="J7" s="309" t="s">
        <v>752</v>
      </c>
      <c r="K7" s="312" t="s">
        <v>29</v>
      </c>
      <c r="L7" s="70"/>
      <c r="M7" s="313" t="s">
        <v>768</v>
      </c>
      <c r="N7" s="314"/>
      <c r="O7" s="315"/>
      <c r="P7" s="307"/>
    </row>
    <row r="8">
      <c r="A8" s="253" t="str">
        <f t="array" ref="A8:A32">UNIQUE('بعد تعديل المجاملين - أغسطس 202'!E3:E98)</f>
        <v>أسيل باعبدالله - فريق التسويق</v>
      </c>
      <c r="B8" s="254">
        <f>AVERAGEIF('بعد تعديل المجاملين - أغسطس 202'!E$3:E$98,A8,'بعد تعديل المجاملين - أغسطس 202'!AF$3:AF$98)</f>
        <v>6.354166667</v>
      </c>
      <c r="C8" s="261">
        <v>10.0</v>
      </c>
      <c r="D8" s="308"/>
      <c r="E8" s="316" t="s">
        <v>720</v>
      </c>
      <c r="F8" s="115">
        <v>9.40625</v>
      </c>
      <c r="G8" s="255"/>
      <c r="H8" s="317">
        <v>2.0</v>
      </c>
      <c r="I8" s="89"/>
      <c r="J8" s="318" t="s">
        <v>12</v>
      </c>
      <c r="K8" s="319">
        <v>9.160919540229886</v>
      </c>
      <c r="L8" s="70"/>
      <c r="M8" s="320" t="s">
        <v>763</v>
      </c>
      <c r="N8" s="321" t="s">
        <v>764</v>
      </c>
      <c r="O8" s="322" t="s">
        <v>765</v>
      </c>
      <c r="P8" s="307"/>
    </row>
    <row r="9">
      <c r="A9" s="253" t="s">
        <v>769</v>
      </c>
      <c r="B9" s="254">
        <f>AVERAGEIF('بعد تعديل المجاملين - أغسطس 202'!E$3:E$98,A9,'بعد تعديل المجاملين - أغسطس 202'!AF$3:AF$98)</f>
        <v>7.669642857</v>
      </c>
      <c r="C9" s="261">
        <v>4.0</v>
      </c>
      <c r="D9" s="308"/>
      <c r="E9" s="316" t="s">
        <v>717</v>
      </c>
      <c r="F9" s="115">
        <v>9.25</v>
      </c>
      <c r="G9" s="255"/>
      <c r="H9" s="317">
        <v>2.0</v>
      </c>
      <c r="I9" s="89"/>
      <c r="J9" s="318" t="s">
        <v>10</v>
      </c>
      <c r="K9" s="323">
        <v>8.632183908045977</v>
      </c>
      <c r="L9" s="70"/>
      <c r="M9" s="324" t="s">
        <v>286</v>
      </c>
      <c r="N9" s="325" t="s">
        <v>516</v>
      </c>
      <c r="O9" s="326">
        <v>7.1875</v>
      </c>
      <c r="P9" s="307"/>
    </row>
    <row r="10">
      <c r="A10" s="253" t="s">
        <v>770</v>
      </c>
      <c r="B10" s="254">
        <f>AVERAGEIF('بعد تعديل المجاملين - أغسطس 202'!E$3:E$98,A10,'بعد تعديل المجاملين - أغسطس 202'!AF$3:AF$98)</f>
        <v>7.875</v>
      </c>
      <c r="C10" s="261">
        <v>3.0</v>
      </c>
      <c r="D10" s="308"/>
      <c r="E10" s="316" t="s">
        <v>771</v>
      </c>
      <c r="F10" s="115">
        <v>9.125</v>
      </c>
      <c r="G10" s="255">
        <v>1.0</v>
      </c>
      <c r="H10" s="317">
        <v>2.0</v>
      </c>
      <c r="I10" s="89"/>
      <c r="J10" s="318" t="s">
        <v>23</v>
      </c>
      <c r="K10" s="323">
        <v>8.611764705882353</v>
      </c>
      <c r="L10" s="70"/>
      <c r="M10" s="324" t="s">
        <v>720</v>
      </c>
      <c r="N10" s="325" t="s">
        <v>242</v>
      </c>
      <c r="O10" s="326">
        <v>7.125</v>
      </c>
      <c r="P10" s="307"/>
    </row>
    <row r="11">
      <c r="A11" s="253" t="s">
        <v>42</v>
      </c>
      <c r="B11" s="254">
        <f>AVERAGEIF('بعد تعديل المجاملين - أغسطس 202'!E$3:E$98,A11,'بعد تعديل المجاملين - أغسطس 202'!AF$3:AF$98)</f>
        <v>8.208333333</v>
      </c>
      <c r="C11" s="261">
        <v>5.0</v>
      </c>
      <c r="D11" s="308"/>
      <c r="E11" s="316" t="s">
        <v>134</v>
      </c>
      <c r="F11" s="115">
        <v>9.071428571428571</v>
      </c>
      <c r="G11" s="255">
        <v>1.0</v>
      </c>
      <c r="H11" s="317">
        <v>7.0</v>
      </c>
      <c r="I11" s="89"/>
      <c r="J11" s="318" t="s">
        <v>16</v>
      </c>
      <c r="K11" s="323">
        <v>8.563218390804598</v>
      </c>
      <c r="L11" s="70"/>
      <c r="M11" s="324" t="s">
        <v>772</v>
      </c>
      <c r="N11" s="327" t="s">
        <v>516</v>
      </c>
      <c r="O11" s="326">
        <v>7.0</v>
      </c>
      <c r="P11" s="307"/>
    </row>
    <row r="12">
      <c r="A12" s="253" t="s">
        <v>241</v>
      </c>
      <c r="B12" s="254">
        <f>AVERAGEIF('بعد تعديل المجاملين - أغسطس 202'!E$3:E$98,A12,'بعد تعديل المجاملين - أغسطس 202'!AF$3:AF$98)</f>
        <v>6.9375</v>
      </c>
      <c r="C12" s="261">
        <v>7.0</v>
      </c>
      <c r="D12" s="308"/>
      <c r="E12" s="316" t="s">
        <v>722</v>
      </c>
      <c r="F12" s="115">
        <v>9.041666666666666</v>
      </c>
      <c r="G12" s="255">
        <v>1.0</v>
      </c>
      <c r="H12" s="317">
        <v>3.0</v>
      </c>
      <c r="I12" s="89"/>
      <c r="J12" s="318" t="s">
        <v>7</v>
      </c>
      <c r="K12" s="328">
        <v>8.517241379310345</v>
      </c>
      <c r="L12" s="70"/>
      <c r="M12" s="324" t="s">
        <v>773</v>
      </c>
      <c r="N12" s="327" t="s">
        <v>49</v>
      </c>
      <c r="O12" s="326">
        <v>7.0</v>
      </c>
      <c r="P12" s="307"/>
    </row>
    <row r="13">
      <c r="A13" s="253" t="s">
        <v>774</v>
      </c>
      <c r="B13" s="254">
        <f>AVERAGEIF('بعد تعديل المجاملين - أغسطس 202'!E$3:E$98,A13,'بعد تعديل المجاملين - أغسطس 202'!AF$3:AF$98)</f>
        <v>9.375</v>
      </c>
      <c r="C13" s="261">
        <v>1.0</v>
      </c>
      <c r="D13" s="308"/>
      <c r="E13" s="316" t="s">
        <v>775</v>
      </c>
      <c r="F13" s="115">
        <v>8.785416666666666</v>
      </c>
      <c r="G13" s="255"/>
      <c r="H13" s="317">
        <v>4.0</v>
      </c>
      <c r="I13" s="89"/>
      <c r="J13" s="318" t="s">
        <v>11</v>
      </c>
      <c r="K13" s="328">
        <v>8.476744186046512</v>
      </c>
      <c r="L13" s="70"/>
      <c r="M13" s="324" t="s">
        <v>525</v>
      </c>
      <c r="N13" s="327" t="s">
        <v>486</v>
      </c>
      <c r="O13" s="326">
        <v>7.0</v>
      </c>
      <c r="P13" s="307"/>
    </row>
    <row r="14">
      <c r="A14" s="253" t="s">
        <v>717</v>
      </c>
      <c r="B14" s="254">
        <f>AVERAGEIF('بعد تعديل المجاملين - أغسطس 202'!E$3:E$98,A14,'بعد تعديل المجاملين - أغسطس 202'!AF$3:AF$98)</f>
        <v>9.25</v>
      </c>
      <c r="C14" s="261">
        <v>4.0</v>
      </c>
      <c r="D14" s="308"/>
      <c r="E14" s="316" t="s">
        <v>195</v>
      </c>
      <c r="F14" s="115">
        <v>8.6875</v>
      </c>
      <c r="G14" s="255">
        <v>1.0</v>
      </c>
      <c r="H14" s="317">
        <v>3.0</v>
      </c>
      <c r="I14" s="89"/>
      <c r="J14" s="318" t="s">
        <v>13</v>
      </c>
      <c r="K14" s="328">
        <v>8.435294117647059</v>
      </c>
      <c r="L14" s="70"/>
      <c r="M14" s="329" t="s">
        <v>776</v>
      </c>
      <c r="N14" s="330" t="s">
        <v>49</v>
      </c>
      <c r="O14" s="326">
        <v>6.75</v>
      </c>
      <c r="P14" s="307"/>
    </row>
    <row r="15">
      <c r="A15" s="253" t="s">
        <v>530</v>
      </c>
      <c r="B15" s="254">
        <f>AVERAGEIF('بعد تعديل المجاملين - أغسطس 202'!E$3:E$98,A15,'بعد تعديل المجاملين - أغسطس 202'!AF$3:AF$98)</f>
        <v>7.833333333</v>
      </c>
      <c r="C15" s="261">
        <v>7.0</v>
      </c>
      <c r="D15" s="308"/>
      <c r="E15" s="316" t="s">
        <v>486</v>
      </c>
      <c r="F15" s="115">
        <v>8.5</v>
      </c>
      <c r="G15" s="255">
        <v>1.0</v>
      </c>
      <c r="H15" s="317">
        <v>7.0</v>
      </c>
      <c r="I15" s="89"/>
      <c r="J15" s="318" t="s">
        <v>5</v>
      </c>
      <c r="K15" s="328">
        <v>8.25287356321839</v>
      </c>
      <c r="L15" s="70"/>
      <c r="M15" s="324" t="s">
        <v>530</v>
      </c>
      <c r="N15" s="325" t="s">
        <v>33</v>
      </c>
      <c r="O15" s="326">
        <v>6.6875</v>
      </c>
      <c r="P15" s="307"/>
    </row>
    <row r="16">
      <c r="A16" s="253" t="s">
        <v>777</v>
      </c>
      <c r="B16" s="254">
        <f>AVERAGEIF('بعد تعديل المجاملين - أغسطس 202'!E$3:E$98,A16,'بعد تعديل المجاملين - أغسطس 202'!AF$3:AF$98)</f>
        <v>8.5</v>
      </c>
      <c r="C16" s="261">
        <v>6.0</v>
      </c>
      <c r="D16" s="308"/>
      <c r="E16" s="316" t="s">
        <v>42</v>
      </c>
      <c r="F16" s="115">
        <v>8.229166666666666</v>
      </c>
      <c r="G16" s="255">
        <v>1.0</v>
      </c>
      <c r="H16" s="317">
        <v>6.0</v>
      </c>
      <c r="I16" s="89"/>
      <c r="J16" s="318" t="s">
        <v>17</v>
      </c>
      <c r="K16" s="328">
        <v>8.25287356321839</v>
      </c>
      <c r="L16" s="70"/>
      <c r="M16" s="324" t="s">
        <v>778</v>
      </c>
      <c r="N16" s="325" t="s">
        <v>241</v>
      </c>
      <c r="O16" s="326">
        <v>6.4375</v>
      </c>
      <c r="P16" s="307"/>
    </row>
    <row r="17">
      <c r="A17" s="253" t="s">
        <v>248</v>
      </c>
      <c r="B17" s="254">
        <f>AVERAGEIF('بعد تعديل المجاملين - أغسطس 202'!E$3:E$98,A17,'بعد تعديل المجاملين - أغسطس 202'!AF$3:AF$98)</f>
        <v>6.291666667</v>
      </c>
      <c r="C17" s="261">
        <v>6.0</v>
      </c>
      <c r="D17" s="308"/>
      <c r="E17" s="316" t="s">
        <v>49</v>
      </c>
      <c r="F17" s="115">
        <v>8.140625</v>
      </c>
      <c r="G17" s="255">
        <v>1.0</v>
      </c>
      <c r="H17" s="317">
        <v>8.0</v>
      </c>
      <c r="I17" s="89"/>
      <c r="J17" s="318" t="s">
        <v>22</v>
      </c>
      <c r="K17" s="331">
        <v>8.034883720930232</v>
      </c>
      <c r="L17" s="70"/>
      <c r="M17" s="324" t="s">
        <v>248</v>
      </c>
      <c r="N17" s="327" t="s">
        <v>242</v>
      </c>
      <c r="O17" s="326">
        <v>6.3125</v>
      </c>
      <c r="P17" s="307"/>
    </row>
    <row r="18">
      <c r="A18" s="253" t="s">
        <v>771</v>
      </c>
      <c r="B18" s="254">
        <f>AVERAGEIF('بعد تعديل المجاملين - أغسطس 202'!E$3:E$98,A18,'بعد تعديل المجاملين - أغسطس 202'!AF$3:AF$98)</f>
        <v>9.125</v>
      </c>
      <c r="C18" s="261">
        <v>2.0</v>
      </c>
      <c r="D18" s="308"/>
      <c r="E18" s="316" t="s">
        <v>242</v>
      </c>
      <c r="F18" s="115">
        <v>8.09375</v>
      </c>
      <c r="G18" s="255">
        <v>1.0</v>
      </c>
      <c r="H18" s="317">
        <v>6.0</v>
      </c>
      <c r="I18" s="89"/>
      <c r="J18" s="318" t="s">
        <v>18</v>
      </c>
      <c r="K18" s="331">
        <v>8.022988505747126</v>
      </c>
      <c r="L18" s="70"/>
      <c r="M18" s="324" t="s">
        <v>241</v>
      </c>
      <c r="N18" s="327" t="s">
        <v>33</v>
      </c>
      <c r="O18" s="326">
        <v>6.0625</v>
      </c>
      <c r="P18" s="307"/>
    </row>
    <row r="19">
      <c r="A19" s="253" t="s">
        <v>720</v>
      </c>
      <c r="B19" s="254">
        <f>AVERAGEIF('بعد تعديل المجاملين - أغسطس 202'!E$3:E$98,A19,'بعد تعديل المجاملين - أغسطس 202'!AF$3:AF$98)</f>
        <v>9.40625</v>
      </c>
      <c r="C19" s="261">
        <v>3.0</v>
      </c>
      <c r="D19" s="308"/>
      <c r="E19" s="316" t="s">
        <v>530</v>
      </c>
      <c r="F19" s="115">
        <v>8.0</v>
      </c>
      <c r="G19" s="255"/>
      <c r="H19" s="317">
        <v>3.0</v>
      </c>
      <c r="I19" s="89"/>
      <c r="J19" s="318" t="s">
        <v>8</v>
      </c>
      <c r="K19" s="331">
        <v>8.011494252873563</v>
      </c>
      <c r="L19" s="70"/>
      <c r="M19" s="324" t="s">
        <v>779</v>
      </c>
      <c r="N19" s="327" t="s">
        <v>530</v>
      </c>
      <c r="O19" s="326">
        <v>6.0</v>
      </c>
      <c r="P19" s="307"/>
    </row>
    <row r="20">
      <c r="A20" s="253" t="s">
        <v>109</v>
      </c>
      <c r="B20" s="254">
        <f>AVERAGEIF('بعد تعديل المجاملين - أغسطس 202'!E$3:E$98,A20,'بعد تعديل المجاملين - أغسطس 202'!AF$3:AF$98)</f>
        <v>7.866071429</v>
      </c>
      <c r="C20" s="261">
        <v>3.0</v>
      </c>
      <c r="D20" s="308"/>
      <c r="E20" s="316" t="s">
        <v>109</v>
      </c>
      <c r="F20" s="115">
        <v>7.883928571428571</v>
      </c>
      <c r="G20" s="255"/>
      <c r="H20" s="317">
        <v>7.0</v>
      </c>
      <c r="I20" s="89"/>
      <c r="J20" s="318" t="s">
        <v>6</v>
      </c>
      <c r="K20" s="332">
        <v>7.988505747126437</v>
      </c>
      <c r="L20" s="70"/>
      <c r="M20" s="324" t="s">
        <v>780</v>
      </c>
      <c r="N20" s="325" t="s">
        <v>248</v>
      </c>
      <c r="O20" s="326">
        <v>6.0</v>
      </c>
      <c r="P20" s="307"/>
    </row>
    <row r="21">
      <c r="A21" s="253" t="s">
        <v>781</v>
      </c>
      <c r="B21" s="254">
        <f>AVERAGEIF('بعد تعديل المجاملين - أغسطس 202'!E$3:E$98,A21,'بعد تعديل المجاملين - أغسطس 202'!AF$3:AF$98)</f>
        <v>9.041666667</v>
      </c>
      <c r="C21" s="261">
        <v>2.0</v>
      </c>
      <c r="D21" s="308"/>
      <c r="E21" s="316" t="s">
        <v>516</v>
      </c>
      <c r="F21" s="115">
        <v>7.71875</v>
      </c>
      <c r="G21" s="255"/>
      <c r="H21" s="317">
        <v>4.0</v>
      </c>
      <c r="I21" s="89"/>
      <c r="J21" s="318" t="s">
        <v>15</v>
      </c>
      <c r="K21" s="332">
        <v>7.9655172413793105</v>
      </c>
      <c r="L21" s="70"/>
      <c r="M21" s="324" t="s">
        <v>558</v>
      </c>
      <c r="N21" s="327" t="s">
        <v>241</v>
      </c>
      <c r="O21" s="326">
        <v>5.75</v>
      </c>
      <c r="P21" s="307"/>
    </row>
    <row r="22">
      <c r="A22" s="253" t="s">
        <v>134</v>
      </c>
      <c r="B22" s="254">
        <f>AVERAGEIF('بعد تعديل المجاملين - أغسطس 202'!E$3:E$98,A22,'بعد تعديل المجاملين - أغسطس 202'!AF$3:AF$98)</f>
        <v>9.071428571</v>
      </c>
      <c r="C22" s="261">
        <v>4.0</v>
      </c>
      <c r="D22" s="308"/>
      <c r="E22" s="333" t="s">
        <v>736</v>
      </c>
      <c r="F22" s="115">
        <v>7.67</v>
      </c>
      <c r="G22" s="255"/>
      <c r="H22" s="317">
        <v>7.0</v>
      </c>
      <c r="I22" s="89"/>
      <c r="J22" s="318" t="s">
        <v>21</v>
      </c>
      <c r="K22" s="334">
        <v>7.390804597701149</v>
      </c>
      <c r="L22" s="70"/>
      <c r="M22" s="324" t="s">
        <v>537</v>
      </c>
      <c r="N22" s="327" t="s">
        <v>241</v>
      </c>
      <c r="O22" s="326">
        <v>5.6875</v>
      </c>
      <c r="P22" s="307"/>
    </row>
    <row r="23">
      <c r="A23" s="253" t="s">
        <v>775</v>
      </c>
      <c r="B23" s="254">
        <f>AVERAGEIF('بعد تعديل المجاملين - أغسطس 202'!E$3:E$98,A23,'بعد تعديل المجاملين - أغسطس 202'!AF$3:AF$98)</f>
        <v>8.75</v>
      </c>
      <c r="C23" s="261">
        <v>1.0</v>
      </c>
      <c r="D23" s="308"/>
      <c r="E23" s="316" t="s">
        <v>113</v>
      </c>
      <c r="F23" s="115">
        <v>7.4375</v>
      </c>
      <c r="G23" s="255"/>
      <c r="H23" s="317">
        <v>3.0</v>
      </c>
      <c r="I23" s="89"/>
      <c r="J23" s="335" t="s">
        <v>20</v>
      </c>
      <c r="K23" s="336">
        <v>6.764705882352941</v>
      </c>
      <c r="L23" s="70"/>
      <c r="M23" s="324" t="s">
        <v>559</v>
      </c>
      <c r="N23" s="327" t="s">
        <v>241</v>
      </c>
      <c r="O23" s="326">
        <v>5.6875</v>
      </c>
      <c r="P23" s="307"/>
    </row>
    <row r="24">
      <c r="A24" s="253" t="s">
        <v>242</v>
      </c>
      <c r="B24" s="254">
        <f>AVERAGEIF('بعد تعديل المجاملين - أغسطس 202'!E$3:E$98,A24,'بعد تعديل المجاملين - أغسطس 202'!AF$3:AF$98)</f>
        <v>8.09375</v>
      </c>
      <c r="C24" s="261">
        <v>3.0</v>
      </c>
      <c r="D24" s="308"/>
      <c r="E24" s="316" t="s">
        <v>724</v>
      </c>
      <c r="F24" s="115">
        <v>7.390625</v>
      </c>
      <c r="G24" s="255"/>
      <c r="H24" s="317">
        <v>4.0</v>
      </c>
      <c r="I24" s="70"/>
      <c r="J24" s="158"/>
      <c r="K24" s="158"/>
      <c r="L24" s="36"/>
      <c r="M24" s="324" t="s">
        <v>242</v>
      </c>
      <c r="N24" s="327" t="s">
        <v>109</v>
      </c>
      <c r="O24" s="326">
        <v>5.125</v>
      </c>
      <c r="P24" s="307"/>
    </row>
    <row r="25">
      <c r="A25" s="253" t="s">
        <v>782</v>
      </c>
      <c r="B25" s="254">
        <f>AVERAGEIF('بعد تعديل المجاملين - أغسطس 202'!E$3:E$98,A25,'بعد تعديل المجاملين - أغسطس 202'!AF$3:AF$98)</f>
        <v>8.9375</v>
      </c>
      <c r="C25" s="261">
        <v>1.0</v>
      </c>
      <c r="D25" s="308"/>
      <c r="E25" s="333" t="s">
        <v>741</v>
      </c>
      <c r="F25" s="115">
        <v>7.29375</v>
      </c>
      <c r="G25" s="255"/>
      <c r="H25" s="317">
        <v>10.0</v>
      </c>
      <c r="I25" s="89"/>
      <c r="J25" s="337" t="s">
        <v>754</v>
      </c>
      <c r="K25" s="338">
        <v>8.66</v>
      </c>
      <c r="L25" s="70"/>
      <c r="M25" s="324" t="s">
        <v>143</v>
      </c>
      <c r="N25" s="327" t="s">
        <v>248</v>
      </c>
      <c r="O25" s="326">
        <v>4.8125</v>
      </c>
      <c r="P25" s="307"/>
    </row>
    <row r="26">
      <c r="A26" s="253" t="s">
        <v>783</v>
      </c>
      <c r="B26" s="254">
        <f>AVERAGEIF('بعد تعديل المجاملين - أغسطس 202'!E$3:E$98,A26,'بعد تعديل المجاملين - أغسطس 202'!AF$3:AF$98)</f>
        <v>7.875</v>
      </c>
      <c r="C26" s="261">
        <v>3.0</v>
      </c>
      <c r="D26" s="308"/>
      <c r="E26" s="316" t="s">
        <v>783</v>
      </c>
      <c r="F26" s="115">
        <v>7.03</v>
      </c>
      <c r="G26" s="255"/>
      <c r="H26" s="317">
        <v>2.0</v>
      </c>
      <c r="I26" s="89"/>
      <c r="J26" s="339" t="s">
        <v>755</v>
      </c>
      <c r="K26" s="340">
        <v>8.201149425287356</v>
      </c>
      <c r="L26" s="70"/>
      <c r="M26" s="324" t="s">
        <v>113</v>
      </c>
      <c r="N26" s="327" t="s">
        <v>33</v>
      </c>
      <c r="O26" s="326">
        <v>4.625</v>
      </c>
      <c r="P26" s="307"/>
    </row>
    <row r="27">
      <c r="A27" s="253" t="s">
        <v>195</v>
      </c>
      <c r="B27" s="254">
        <f>AVERAGEIF('بعد تعديل المجاملين - أغسطس 202'!E$3:E$98,A27,'بعد تعديل المجاملين - أغسطس 202'!AF$3:AF$98)</f>
        <v>8.6875</v>
      </c>
      <c r="C27" s="261">
        <v>1.0</v>
      </c>
      <c r="D27" s="308"/>
      <c r="E27" s="316" t="s">
        <v>241</v>
      </c>
      <c r="F27" s="115">
        <v>6.9375</v>
      </c>
      <c r="G27" s="255">
        <v>1.0</v>
      </c>
      <c r="H27" s="317">
        <v>7.0</v>
      </c>
      <c r="I27" s="144"/>
      <c r="J27" s="339" t="s">
        <v>756</v>
      </c>
      <c r="K27" s="340">
        <v>8.17</v>
      </c>
      <c r="L27" s="285"/>
      <c r="M27" s="324" t="s">
        <v>516</v>
      </c>
      <c r="N27" s="327" t="s">
        <v>113</v>
      </c>
      <c r="O27" s="326">
        <v>4.3125</v>
      </c>
      <c r="P27" s="307"/>
    </row>
    <row r="28">
      <c r="A28" s="253" t="s">
        <v>516</v>
      </c>
      <c r="B28" s="254">
        <f>AVERAGEIF('بعد تعديل المجاملين - أغسطس 202'!E$3:E$98,A28,'بعد تعديل المجاملين - أغسطس 202'!AF$3:AF$98)</f>
        <v>7.71875</v>
      </c>
      <c r="C28" s="261">
        <v>3.0</v>
      </c>
      <c r="D28" s="308"/>
      <c r="E28" s="333" t="s">
        <v>744</v>
      </c>
      <c r="F28" s="115">
        <v>6.35</v>
      </c>
      <c r="G28" s="255"/>
      <c r="H28" s="317">
        <v>3.0</v>
      </c>
      <c r="I28" s="89"/>
      <c r="J28" s="341" t="s">
        <v>757</v>
      </c>
      <c r="K28" s="342">
        <v>7.74</v>
      </c>
      <c r="L28" s="70"/>
      <c r="M28" s="343" t="s">
        <v>784</v>
      </c>
      <c r="N28" s="344" t="s">
        <v>724</v>
      </c>
      <c r="O28" s="345">
        <v>2.9375</v>
      </c>
      <c r="P28" s="307"/>
    </row>
    <row r="29">
      <c r="A29" s="253" t="s">
        <v>49</v>
      </c>
      <c r="B29" s="254">
        <f>AVERAGEIF('بعد تعديل المجاملين - أغسطس 202'!E$3:E$98,A29,'بعد تعديل المجاملين - أغسطس 202'!AF$3:AF$98)</f>
        <v>8.1484375</v>
      </c>
      <c r="C29" s="261">
        <v>2.0</v>
      </c>
      <c r="D29" s="308"/>
      <c r="E29" s="316" t="s">
        <v>248</v>
      </c>
      <c r="F29" s="115">
        <v>6.291666666666667</v>
      </c>
      <c r="G29" s="255"/>
      <c r="H29" s="317">
        <v>3.0</v>
      </c>
      <c r="I29" s="70"/>
      <c r="J29" s="80"/>
      <c r="K29" s="80"/>
      <c r="L29" s="36"/>
      <c r="M29" s="346"/>
      <c r="N29" s="347" t="s">
        <v>785</v>
      </c>
      <c r="O29" s="348"/>
      <c r="P29" s="349"/>
    </row>
    <row r="30" hidden="1">
      <c r="A30" s="253" t="s">
        <v>113</v>
      </c>
      <c r="B30" s="254"/>
      <c r="C30" s="261"/>
      <c r="D30" s="308"/>
      <c r="E30" s="316" t="s">
        <v>774</v>
      </c>
      <c r="F30" s="350">
        <v>0.0</v>
      </c>
      <c r="G30" s="255"/>
      <c r="H30" s="351">
        <v>1.0</v>
      </c>
      <c r="I30" s="296" t="s">
        <v>786</v>
      </c>
      <c r="J30" s="36"/>
      <c r="K30" s="36"/>
      <c r="L30" s="36"/>
      <c r="M30" s="352"/>
      <c r="N30" s="353"/>
      <c r="O30" s="354"/>
      <c r="P30" s="349"/>
    </row>
    <row r="31" hidden="1">
      <c r="A31" s="253" t="s">
        <v>486</v>
      </c>
      <c r="B31" s="254"/>
      <c r="C31" s="261"/>
      <c r="D31" s="308"/>
      <c r="E31" s="316" t="s">
        <v>782</v>
      </c>
      <c r="F31" s="350">
        <v>0.0</v>
      </c>
      <c r="G31" s="255">
        <v>1.0</v>
      </c>
      <c r="H31" s="351">
        <v>1.0</v>
      </c>
      <c r="I31" s="42"/>
      <c r="J31" s="36"/>
      <c r="K31" s="36"/>
      <c r="L31" s="36"/>
      <c r="M31" s="352"/>
      <c r="N31" s="353"/>
      <c r="O31" s="354"/>
      <c r="P31" s="349"/>
    </row>
    <row r="32" hidden="1">
      <c r="A32" s="253" t="s">
        <v>724</v>
      </c>
      <c r="B32" s="254">
        <f>AVERAGEIF('بعد تعديل المجاملين - أغسطس 202'!E$3:E$98,A32,'بعد تعديل المجاملين - أغسطس 202'!AF$3:AF$98)</f>
        <v>7.390625</v>
      </c>
      <c r="C32" s="261">
        <v>7.0</v>
      </c>
      <c r="D32" s="308"/>
      <c r="E32" s="355" t="s">
        <v>777</v>
      </c>
      <c r="F32" s="356">
        <v>0.0</v>
      </c>
      <c r="G32" s="357"/>
      <c r="H32" s="358">
        <v>1.0</v>
      </c>
      <c r="I32" s="181"/>
      <c r="J32" s="36"/>
      <c r="K32" s="36"/>
      <c r="L32" s="36"/>
      <c r="M32" s="359"/>
      <c r="N32" s="353"/>
      <c r="O32" s="354"/>
      <c r="P32" s="349"/>
    </row>
    <row r="33">
      <c r="A33" s="253"/>
      <c r="B33" s="254" t="str">
        <f>AVERAGEIF('بعد تعديل المجاملين - أغسطس 202'!E$3:E$98,A33,'بعد تعديل المجاملين - أغسطس 202'!AF$3:AF$98)</f>
        <v>#DIV/0!</v>
      </c>
      <c r="C33" s="261">
        <v>1.0</v>
      </c>
      <c r="D33" s="36"/>
      <c r="E33" s="80"/>
      <c r="F33" s="80"/>
      <c r="G33" s="80"/>
      <c r="H33" s="80"/>
      <c r="I33" s="36"/>
      <c r="J33" s="36"/>
      <c r="K33" s="36"/>
      <c r="L33" s="36"/>
      <c r="M33" s="360"/>
      <c r="N33" s="361"/>
      <c r="O33" s="362"/>
      <c r="P33" s="363"/>
    </row>
    <row r="34">
      <c r="A34" s="234"/>
      <c r="B34" s="235"/>
      <c r="C34" s="364"/>
      <c r="D34" s="36"/>
      <c r="E34" s="36"/>
      <c r="F34" s="36"/>
      <c r="G34" s="36"/>
      <c r="H34" s="36"/>
      <c r="I34" s="36"/>
      <c r="J34" s="36"/>
      <c r="K34" s="36"/>
      <c r="L34" s="36"/>
      <c r="M34" s="304"/>
      <c r="N34" s="365"/>
      <c r="O34" s="301"/>
      <c r="P34" s="366"/>
    </row>
    <row r="35">
      <c r="A35" s="300"/>
      <c r="B35" s="301"/>
      <c r="C35" s="367"/>
      <c r="D35" s="36"/>
      <c r="E35" s="36"/>
      <c r="F35" s="36"/>
      <c r="G35" s="36"/>
      <c r="H35" s="36"/>
      <c r="I35" s="36"/>
      <c r="J35" s="36"/>
      <c r="K35" s="36"/>
      <c r="L35" s="36"/>
      <c r="M35" s="368"/>
      <c r="N35" s="369"/>
      <c r="O35" s="369"/>
      <c r="P35" s="302"/>
    </row>
    <row r="36">
      <c r="A36" s="300"/>
      <c r="B36" s="301"/>
      <c r="C36" s="367"/>
      <c r="D36" s="36"/>
      <c r="E36" s="370" t="s">
        <v>787</v>
      </c>
      <c r="F36" s="187"/>
      <c r="G36" s="187"/>
      <c r="H36" s="188"/>
      <c r="I36" s="36"/>
      <c r="J36" s="370" t="s">
        <v>788</v>
      </c>
      <c r="K36" s="188"/>
      <c r="L36" s="36"/>
      <c r="M36" s="368"/>
      <c r="N36" s="369"/>
      <c r="O36" s="369"/>
      <c r="P36" s="302"/>
    </row>
    <row r="37">
      <c r="A37" s="371"/>
      <c r="B37" s="372"/>
      <c r="C37" s="373"/>
      <c r="D37" s="36"/>
      <c r="E37" s="36"/>
      <c r="F37" s="36"/>
      <c r="G37" s="36"/>
      <c r="H37" s="36"/>
      <c r="I37" s="36"/>
      <c r="J37" s="36"/>
      <c r="K37" s="36"/>
      <c r="L37" s="36"/>
      <c r="M37" s="368"/>
      <c r="N37" s="369"/>
      <c r="O37" s="369"/>
      <c r="P37" s="302"/>
    </row>
    <row r="38">
      <c r="A38" s="232"/>
      <c r="B38" s="232"/>
      <c r="C38" s="232"/>
      <c r="D38" s="36"/>
      <c r="E38" s="39"/>
      <c r="F38" s="374" t="s">
        <v>708</v>
      </c>
      <c r="G38" s="374"/>
      <c r="H38" s="36"/>
      <c r="I38" s="36"/>
      <c r="J38" s="87"/>
      <c r="K38" s="86" t="s">
        <v>708</v>
      </c>
      <c r="L38" s="36"/>
      <c r="M38" s="375"/>
      <c r="N38" s="376"/>
      <c r="O38" s="306" t="s">
        <v>708</v>
      </c>
      <c r="P38" s="377"/>
    </row>
    <row r="39">
      <c r="A39" s="232"/>
      <c r="B39" s="232"/>
      <c r="C39" s="232"/>
      <c r="D39" s="36"/>
      <c r="E39" s="60" t="s">
        <v>712</v>
      </c>
      <c r="F39" s="60" t="s">
        <v>789</v>
      </c>
      <c r="G39" s="68" t="s">
        <v>761</v>
      </c>
      <c r="H39" s="60" t="s">
        <v>713</v>
      </c>
      <c r="I39" s="276"/>
      <c r="J39" s="309" t="s">
        <v>752</v>
      </c>
      <c r="K39" s="312" t="s">
        <v>29</v>
      </c>
      <c r="L39" s="70"/>
      <c r="M39" s="313" t="s">
        <v>790</v>
      </c>
      <c r="N39" s="314"/>
      <c r="O39" s="315"/>
      <c r="P39" s="377"/>
    </row>
    <row r="40">
      <c r="A40" s="232"/>
      <c r="B40" s="232"/>
      <c r="C40" s="232"/>
      <c r="D40" s="36"/>
      <c r="E40" s="81" t="s">
        <v>486</v>
      </c>
      <c r="F40" s="115">
        <v>8.5</v>
      </c>
      <c r="G40" s="255">
        <v>1.0</v>
      </c>
      <c r="H40" s="374">
        <v>7.0</v>
      </c>
      <c r="I40" s="276"/>
      <c r="J40" s="378" t="s">
        <v>12</v>
      </c>
      <c r="K40" s="379">
        <v>9.160919540229886</v>
      </c>
      <c r="L40" s="70"/>
      <c r="M40" s="320" t="s">
        <v>763</v>
      </c>
      <c r="N40" s="321" t="s">
        <v>764</v>
      </c>
      <c r="O40" s="322" t="s">
        <v>765</v>
      </c>
      <c r="P40" s="377"/>
    </row>
    <row r="41">
      <c r="A41" s="232"/>
      <c r="B41" s="232"/>
      <c r="C41" s="232"/>
      <c r="D41" s="36"/>
      <c r="E41" s="81" t="s">
        <v>42</v>
      </c>
      <c r="F41" s="115">
        <v>8.229166666666666</v>
      </c>
      <c r="G41" s="255">
        <v>1.0</v>
      </c>
      <c r="H41" s="374">
        <v>6.0</v>
      </c>
      <c r="I41" s="276"/>
      <c r="J41" s="378" t="s">
        <v>10</v>
      </c>
      <c r="K41" s="379">
        <v>8.632183908045977</v>
      </c>
      <c r="L41" s="70"/>
      <c r="M41" s="324" t="s">
        <v>286</v>
      </c>
      <c r="N41" s="325" t="s">
        <v>516</v>
      </c>
      <c r="O41" s="326">
        <v>7.1875</v>
      </c>
      <c r="P41" s="377"/>
    </row>
    <row r="42">
      <c r="A42" s="232"/>
      <c r="B42" s="232"/>
      <c r="C42" s="232"/>
      <c r="D42" s="36"/>
      <c r="E42" s="81" t="s">
        <v>49</v>
      </c>
      <c r="F42" s="115">
        <v>8.140625</v>
      </c>
      <c r="G42" s="255">
        <v>1.0</v>
      </c>
      <c r="H42" s="374">
        <v>8.0</v>
      </c>
      <c r="I42" s="276"/>
      <c r="J42" s="380" t="s">
        <v>23</v>
      </c>
      <c r="K42" s="381">
        <v>8.611764705882353</v>
      </c>
      <c r="L42" s="70"/>
      <c r="M42" s="324" t="s">
        <v>537</v>
      </c>
      <c r="N42" s="327" t="s">
        <v>241</v>
      </c>
      <c r="O42" s="326">
        <v>5.6875</v>
      </c>
      <c r="P42" s="377"/>
    </row>
    <row r="43">
      <c r="A43" s="232"/>
      <c r="B43" s="232"/>
      <c r="C43" s="232"/>
      <c r="D43" s="36"/>
      <c r="E43" s="81" t="s">
        <v>530</v>
      </c>
      <c r="F43" s="115">
        <v>8.0</v>
      </c>
      <c r="G43" s="255"/>
      <c r="H43" s="374">
        <v>3.0</v>
      </c>
      <c r="I43" s="276"/>
      <c r="J43" s="382" t="s">
        <v>16</v>
      </c>
      <c r="K43" s="383">
        <v>8.563218390804598</v>
      </c>
      <c r="L43" s="70"/>
      <c r="M43" s="324" t="s">
        <v>559</v>
      </c>
      <c r="N43" s="327" t="s">
        <v>241</v>
      </c>
      <c r="O43" s="326">
        <v>5.6875</v>
      </c>
      <c r="P43" s="377"/>
    </row>
    <row r="44">
      <c r="A44" s="232"/>
      <c r="B44" s="232"/>
      <c r="C44" s="232"/>
      <c r="D44" s="36"/>
      <c r="E44" s="81" t="s">
        <v>516</v>
      </c>
      <c r="F44" s="115">
        <v>7.71875</v>
      </c>
      <c r="G44" s="255"/>
      <c r="H44" s="374">
        <v>4.0</v>
      </c>
      <c r="I44" s="276"/>
      <c r="J44" s="384" t="s">
        <v>7</v>
      </c>
      <c r="K44" s="385">
        <v>8.517241379310345</v>
      </c>
      <c r="L44" s="70"/>
      <c r="M44" s="324" t="s">
        <v>113</v>
      </c>
      <c r="N44" s="327" t="s">
        <v>33</v>
      </c>
      <c r="O44" s="326">
        <v>4.625</v>
      </c>
      <c r="P44" s="302"/>
    </row>
    <row r="45">
      <c r="A45" s="232"/>
      <c r="B45" s="232"/>
      <c r="C45" s="232"/>
      <c r="D45" s="36"/>
      <c r="E45" s="81" t="s">
        <v>113</v>
      </c>
      <c r="F45" s="115">
        <v>7.4375</v>
      </c>
      <c r="G45" s="255"/>
      <c r="H45" s="374">
        <v>3.0</v>
      </c>
      <c r="I45" s="276"/>
      <c r="J45" s="378" t="s">
        <v>11</v>
      </c>
      <c r="K45" s="379">
        <v>8.476744186046512</v>
      </c>
      <c r="L45" s="70"/>
      <c r="M45" s="343" t="s">
        <v>784</v>
      </c>
      <c r="N45" s="344" t="s">
        <v>724</v>
      </c>
      <c r="O45" s="345">
        <v>2.9375</v>
      </c>
      <c r="P45" s="302"/>
    </row>
    <row r="46">
      <c r="A46" s="232"/>
      <c r="B46" s="232"/>
      <c r="C46" s="232"/>
      <c r="D46" s="36"/>
      <c r="E46" s="81" t="s">
        <v>724</v>
      </c>
      <c r="F46" s="115">
        <v>7.390625</v>
      </c>
      <c r="G46" s="255"/>
      <c r="H46" s="374">
        <v>4.0</v>
      </c>
      <c r="I46" s="276"/>
      <c r="J46" s="378" t="s">
        <v>13</v>
      </c>
      <c r="K46" s="379">
        <v>8.435294117647059</v>
      </c>
      <c r="L46" s="70"/>
      <c r="M46" s="368"/>
      <c r="N46" s="369"/>
      <c r="O46" s="369"/>
      <c r="P46" s="302"/>
    </row>
    <row r="47">
      <c r="A47" s="232"/>
      <c r="B47" s="232"/>
      <c r="C47" s="232"/>
      <c r="D47" s="36"/>
      <c r="E47" s="81" t="s">
        <v>241</v>
      </c>
      <c r="F47" s="115">
        <v>6.9375</v>
      </c>
      <c r="G47" s="255">
        <v>1.0</v>
      </c>
      <c r="H47" s="374">
        <v>7.0</v>
      </c>
      <c r="I47" s="386"/>
      <c r="J47" s="384" t="s">
        <v>5</v>
      </c>
      <c r="K47" s="385">
        <v>8.25287356321839</v>
      </c>
      <c r="L47" s="70"/>
      <c r="M47" s="368"/>
      <c r="N47" s="369"/>
      <c r="O47" s="369"/>
      <c r="P47" s="302"/>
    </row>
    <row r="48">
      <c r="A48" s="232"/>
      <c r="B48" s="232"/>
      <c r="C48" s="232"/>
      <c r="D48" s="36"/>
      <c r="E48" s="81" t="s">
        <v>774</v>
      </c>
      <c r="F48" s="350">
        <v>0.0</v>
      </c>
      <c r="G48" s="255"/>
      <c r="H48" s="387">
        <v>1.0</v>
      </c>
      <c r="I48" s="388" t="s">
        <v>786</v>
      </c>
      <c r="J48" s="382" t="s">
        <v>17</v>
      </c>
      <c r="K48" s="383">
        <v>8.25287356321839</v>
      </c>
      <c r="L48" s="70"/>
      <c r="M48" s="368"/>
      <c r="N48" s="369"/>
      <c r="O48" s="369"/>
      <c r="P48" s="302"/>
    </row>
    <row r="49">
      <c r="A49" s="232"/>
      <c r="B49" s="232"/>
      <c r="C49" s="232"/>
      <c r="D49" s="36"/>
      <c r="E49" s="81" t="s">
        <v>782</v>
      </c>
      <c r="F49" s="350">
        <v>0.0</v>
      </c>
      <c r="G49" s="255">
        <v>1.0</v>
      </c>
      <c r="H49" s="387">
        <v>1.0</v>
      </c>
      <c r="I49" s="389"/>
      <c r="J49" s="380" t="s">
        <v>22</v>
      </c>
      <c r="K49" s="381">
        <v>8.034883720930232</v>
      </c>
      <c r="L49" s="70"/>
      <c r="M49" s="368"/>
      <c r="N49" s="369"/>
      <c r="O49" s="369"/>
      <c r="P49" s="302"/>
    </row>
    <row r="50">
      <c r="A50" s="232"/>
      <c r="B50" s="232"/>
      <c r="C50" s="232"/>
      <c r="D50" s="36"/>
      <c r="E50" s="81" t="s">
        <v>777</v>
      </c>
      <c r="F50" s="350">
        <v>0.0</v>
      </c>
      <c r="G50" s="255"/>
      <c r="H50" s="387">
        <v>1.0</v>
      </c>
      <c r="I50" s="390"/>
      <c r="J50" s="382" t="s">
        <v>18</v>
      </c>
      <c r="K50" s="383">
        <v>8.022988505747126</v>
      </c>
      <c r="L50" s="70"/>
      <c r="M50" s="368"/>
      <c r="N50" s="369"/>
      <c r="O50" s="369"/>
      <c r="P50" s="302"/>
    </row>
    <row r="51">
      <c r="A51" s="232"/>
      <c r="B51" s="232"/>
      <c r="C51" s="232"/>
      <c r="D51" s="36"/>
      <c r="E51" s="36"/>
      <c r="F51" s="36"/>
      <c r="G51" s="36"/>
      <c r="H51" s="36"/>
      <c r="I51" s="276"/>
      <c r="J51" s="384" t="s">
        <v>8</v>
      </c>
      <c r="K51" s="385">
        <v>8.011494252873563</v>
      </c>
      <c r="L51" s="70"/>
      <c r="M51" s="368"/>
      <c r="N51" s="369"/>
      <c r="O51" s="369"/>
      <c r="P51" s="302"/>
    </row>
    <row r="52">
      <c r="A52" s="232"/>
      <c r="B52" s="232"/>
      <c r="C52" s="232"/>
      <c r="D52" s="36"/>
      <c r="E52" s="36"/>
      <c r="F52" s="36"/>
      <c r="G52" s="36"/>
      <c r="H52" s="36"/>
      <c r="I52" s="276"/>
      <c r="J52" s="384" t="s">
        <v>6</v>
      </c>
      <c r="K52" s="385">
        <v>7.988505747126437</v>
      </c>
      <c r="L52" s="70"/>
      <c r="M52" s="368"/>
      <c r="N52" s="369"/>
      <c r="O52" s="369"/>
      <c r="P52" s="302"/>
    </row>
    <row r="53">
      <c r="A53" s="232"/>
      <c r="B53" s="232"/>
      <c r="C53" s="232"/>
      <c r="D53" s="36"/>
      <c r="E53" s="36"/>
      <c r="F53" s="36"/>
      <c r="G53" s="36"/>
      <c r="H53" s="36"/>
      <c r="I53" s="276"/>
      <c r="J53" s="382" t="s">
        <v>15</v>
      </c>
      <c r="K53" s="383">
        <v>7.9655172413793105</v>
      </c>
      <c r="L53" s="70"/>
      <c r="M53" s="368"/>
      <c r="N53" s="369"/>
      <c r="O53" s="369"/>
      <c r="P53" s="302"/>
    </row>
    <row r="54">
      <c r="A54" s="232"/>
      <c r="B54" s="232"/>
      <c r="C54" s="232"/>
      <c r="D54" s="36"/>
      <c r="E54" s="36"/>
      <c r="F54" s="36"/>
      <c r="G54" s="36"/>
      <c r="H54" s="36"/>
      <c r="I54" s="276"/>
      <c r="J54" s="380" t="s">
        <v>21</v>
      </c>
      <c r="K54" s="381">
        <v>7.390804597701149</v>
      </c>
      <c r="L54" s="70"/>
      <c r="M54" s="368"/>
      <c r="N54" s="369"/>
      <c r="O54" s="369"/>
      <c r="P54" s="302"/>
    </row>
    <row r="55">
      <c r="A55" s="232"/>
      <c r="B55" s="232"/>
      <c r="C55" s="232"/>
      <c r="D55" s="36"/>
      <c r="E55" s="36"/>
      <c r="F55" s="36"/>
      <c r="G55" s="36"/>
      <c r="H55" s="36"/>
      <c r="I55" s="276"/>
      <c r="J55" s="391" t="s">
        <v>20</v>
      </c>
      <c r="K55" s="392">
        <v>6.764705882352941</v>
      </c>
      <c r="L55" s="70"/>
      <c r="M55" s="368"/>
      <c r="N55" s="369"/>
      <c r="O55" s="369"/>
      <c r="P55" s="302"/>
    </row>
    <row r="56">
      <c r="A56" s="232"/>
      <c r="B56" s="232"/>
      <c r="C56" s="232"/>
      <c r="D56" s="36"/>
      <c r="E56" s="36"/>
      <c r="F56" s="36"/>
      <c r="G56" s="36"/>
      <c r="H56" s="36"/>
      <c r="I56" s="36"/>
      <c r="J56" s="80"/>
      <c r="K56" s="80"/>
      <c r="L56" s="36"/>
      <c r="M56" s="368"/>
      <c r="N56" s="369"/>
      <c r="O56" s="369"/>
      <c r="P56" s="302"/>
    </row>
    <row r="57">
      <c r="A57" s="232"/>
      <c r="B57" s="232"/>
      <c r="C57" s="232"/>
      <c r="D57" s="36"/>
      <c r="E57" s="36"/>
      <c r="F57" s="36"/>
      <c r="G57" s="36"/>
      <c r="H57" s="36"/>
      <c r="I57" s="36"/>
      <c r="J57" s="393" t="s">
        <v>754</v>
      </c>
      <c r="K57" s="394">
        <v>8.66</v>
      </c>
      <c r="L57" s="36"/>
      <c r="M57" s="368"/>
      <c r="N57" s="369"/>
      <c r="O57" s="369"/>
      <c r="P57" s="302"/>
    </row>
    <row r="58">
      <c r="A58" s="232"/>
      <c r="B58" s="232"/>
      <c r="C58" s="232"/>
      <c r="D58" s="36"/>
      <c r="E58" s="36"/>
      <c r="F58" s="36"/>
      <c r="G58" s="36"/>
      <c r="H58" s="36"/>
      <c r="I58" s="36"/>
      <c r="J58" s="395" t="s">
        <v>755</v>
      </c>
      <c r="K58" s="396">
        <v>8.201149425287356</v>
      </c>
      <c r="L58" s="36"/>
      <c r="M58" s="368"/>
      <c r="N58" s="369"/>
      <c r="O58" s="369"/>
      <c r="P58" s="302"/>
    </row>
    <row r="59">
      <c r="A59" s="232"/>
      <c r="B59" s="232"/>
      <c r="C59" s="232"/>
      <c r="D59" s="36"/>
      <c r="E59" s="36"/>
      <c r="F59" s="36"/>
      <c r="G59" s="36"/>
      <c r="H59" s="36"/>
      <c r="I59" s="36"/>
      <c r="J59" s="397" t="s">
        <v>756</v>
      </c>
      <c r="K59" s="398">
        <v>8.17</v>
      </c>
      <c r="L59" s="36"/>
      <c r="M59" s="368"/>
      <c r="N59" s="369"/>
      <c r="O59" s="369"/>
      <c r="P59" s="302"/>
    </row>
    <row r="60">
      <c r="A60" s="232"/>
      <c r="B60" s="232"/>
      <c r="C60" s="232"/>
      <c r="D60" s="36"/>
      <c r="E60" s="36"/>
      <c r="F60" s="36"/>
      <c r="G60" s="36"/>
      <c r="H60" s="36"/>
      <c r="I60" s="36"/>
      <c r="J60" s="399" t="s">
        <v>757</v>
      </c>
      <c r="K60" s="400">
        <v>7.74</v>
      </c>
      <c r="L60" s="36"/>
      <c r="M60" s="375"/>
      <c r="N60" s="376"/>
      <c r="O60" s="376"/>
      <c r="P60" s="401"/>
    </row>
  </sheetData>
  <autoFilter ref="$E$7:$H$32">
    <sortState ref="E7:H32">
      <sortCondition descending="1" ref="F7:F32"/>
    </sortState>
  </autoFilter>
  <mergeCells count="6">
    <mergeCell ref="M7:O7"/>
    <mergeCell ref="I30:I32"/>
    <mergeCell ref="E36:H36"/>
    <mergeCell ref="J36:K36"/>
    <mergeCell ref="M39:O39"/>
    <mergeCell ref="I48:I50"/>
  </mergeCells>
  <conditionalFormatting sqref="F8:F32 G33 F40:F50 G51:G60">
    <cfRule type="cellIs" dxfId="2" priority="1" operator="greaterThanOrEqual">
      <formula>9.1</formula>
    </cfRule>
  </conditionalFormatting>
  <conditionalFormatting sqref="F8:F32 G33 F40:F50 G51:G60">
    <cfRule type="cellIs" dxfId="3" priority="2" operator="between">
      <formula>8.1</formula>
      <formula>9.1</formula>
    </cfRule>
  </conditionalFormatting>
  <conditionalFormatting sqref="F8:F32 G33 F40:F50 G51:G60">
    <cfRule type="cellIs" dxfId="4" priority="3" operator="between">
      <formula>6.95</formula>
      <formula>8.2</formula>
    </cfRule>
  </conditionalFormatting>
  <conditionalFormatting sqref="F8:F32 G33 F40:F50 G51:G60">
    <cfRule type="cellIs" dxfId="0" priority="4" operator="between">
      <formula>6.4</formula>
      <formula>6.94</formula>
    </cfRule>
  </conditionalFormatting>
  <conditionalFormatting sqref="F8:F32 G33 F40:F50 G51:G60">
    <cfRule type="cellIs" dxfId="5" priority="5" operator="between">
      <formula>6.5</formula>
      <formula>0.01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hidden="1" min="1" max="3" width="12.63"/>
    <col hidden="1" min="28" max="31" width="12.63"/>
  </cols>
  <sheetData>
    <row r="1" ht="78.0" customHeight="1">
      <c r="A1" s="402" t="s">
        <v>0</v>
      </c>
      <c r="B1" s="403" t="s">
        <v>1</v>
      </c>
      <c r="C1" s="403" t="s">
        <v>2</v>
      </c>
      <c r="D1" s="403" t="s">
        <v>3</v>
      </c>
      <c r="E1" s="403" t="s">
        <v>4</v>
      </c>
      <c r="F1" s="403" t="s">
        <v>5</v>
      </c>
      <c r="G1" s="403" t="s">
        <v>6</v>
      </c>
      <c r="H1" s="403" t="s">
        <v>7</v>
      </c>
      <c r="I1" s="403" t="s">
        <v>8</v>
      </c>
      <c r="J1" s="403" t="s">
        <v>9</v>
      </c>
      <c r="K1" s="403" t="s">
        <v>10</v>
      </c>
      <c r="L1" s="403" t="s">
        <v>11</v>
      </c>
      <c r="M1" s="403" t="s">
        <v>12</v>
      </c>
      <c r="N1" s="403" t="s">
        <v>13</v>
      </c>
      <c r="O1" s="403" t="s">
        <v>14</v>
      </c>
      <c r="P1" s="403" t="s">
        <v>15</v>
      </c>
      <c r="Q1" s="403" t="s">
        <v>16</v>
      </c>
      <c r="R1" s="403" t="s">
        <v>17</v>
      </c>
      <c r="S1" s="403" t="s">
        <v>18</v>
      </c>
      <c r="T1" s="403" t="s">
        <v>19</v>
      </c>
      <c r="U1" s="403" t="s">
        <v>20</v>
      </c>
      <c r="V1" s="403" t="s">
        <v>21</v>
      </c>
      <c r="W1" s="403" t="s">
        <v>22</v>
      </c>
      <c r="X1" s="403" t="s">
        <v>23</v>
      </c>
      <c r="Y1" s="403" t="s">
        <v>24</v>
      </c>
      <c r="Z1" s="403" t="s">
        <v>25</v>
      </c>
      <c r="AA1" s="403" t="s">
        <v>791</v>
      </c>
      <c r="AB1" s="3" t="s">
        <v>27</v>
      </c>
      <c r="AC1" s="2" t="s">
        <v>28</v>
      </c>
      <c r="AD1" s="2"/>
      <c r="AE1" s="2"/>
      <c r="AF1" s="2" t="s">
        <v>29</v>
      </c>
    </row>
    <row r="2">
      <c r="A2" s="404" t="s">
        <v>792</v>
      </c>
      <c r="B2" s="261" t="s">
        <v>793</v>
      </c>
      <c r="C2" s="405">
        <v>45540.12633101852</v>
      </c>
      <c r="D2" s="248" t="s">
        <v>794</v>
      </c>
      <c r="E2" s="261" t="s">
        <v>783</v>
      </c>
      <c r="F2" s="406">
        <v>7.0</v>
      </c>
      <c r="G2" s="406">
        <v>6.0</v>
      </c>
      <c r="H2" s="406">
        <v>6.0</v>
      </c>
      <c r="I2" s="406">
        <v>4.0</v>
      </c>
      <c r="J2" s="406" t="s">
        <v>795</v>
      </c>
      <c r="K2" s="406">
        <v>8.0</v>
      </c>
      <c r="L2" s="406">
        <v>4.0</v>
      </c>
      <c r="M2" s="406">
        <v>6.0</v>
      </c>
      <c r="N2" s="406">
        <v>9.0</v>
      </c>
      <c r="O2" s="406" t="s">
        <v>796</v>
      </c>
      <c r="P2" s="406">
        <v>6.0</v>
      </c>
      <c r="Q2" s="406">
        <v>7.0</v>
      </c>
      <c r="R2" s="406">
        <v>6.0</v>
      </c>
      <c r="S2" s="406">
        <v>5.0</v>
      </c>
      <c r="T2" s="406" t="s">
        <v>797</v>
      </c>
      <c r="U2" s="406">
        <v>4.0</v>
      </c>
      <c r="V2" s="406">
        <v>7.0</v>
      </c>
      <c r="W2" s="406">
        <v>4.0</v>
      </c>
      <c r="X2" s="406">
        <v>10.0</v>
      </c>
      <c r="Y2" s="406" t="s">
        <v>798</v>
      </c>
      <c r="Z2" s="407"/>
      <c r="AA2" s="407"/>
      <c r="AB2" s="9" t="s">
        <v>39</v>
      </c>
      <c r="AC2" s="10" t="b">
        <v>1</v>
      </c>
      <c r="AD2" s="10"/>
      <c r="AE2" s="10"/>
      <c r="AF2" s="408">
        <f t="shared" ref="AF2:AF98" si="1">AVERAGE(U2:X2,P2:S2,K2:N2,F2:I2)</f>
        <v>6.1875</v>
      </c>
    </row>
    <row r="3">
      <c r="A3" s="404" t="s">
        <v>799</v>
      </c>
      <c r="B3" s="261" t="s">
        <v>800</v>
      </c>
      <c r="C3" s="405">
        <v>45519.65677083333</v>
      </c>
      <c r="D3" s="248" t="s">
        <v>42</v>
      </c>
      <c r="E3" s="261" t="s">
        <v>801</v>
      </c>
      <c r="F3" s="406">
        <v>9.0</v>
      </c>
      <c r="G3" s="406">
        <v>10.0</v>
      </c>
      <c r="H3" s="406">
        <v>6.0</v>
      </c>
      <c r="I3" s="406">
        <v>6.0</v>
      </c>
      <c r="J3" s="406" t="s">
        <v>802</v>
      </c>
      <c r="K3" s="406">
        <v>7.0</v>
      </c>
      <c r="L3" s="406">
        <v>9.0</v>
      </c>
      <c r="M3" s="406">
        <v>10.0</v>
      </c>
      <c r="N3" s="406">
        <v>10.0</v>
      </c>
      <c r="O3" s="406" t="s">
        <v>803</v>
      </c>
      <c r="P3" s="406">
        <v>10.0</v>
      </c>
      <c r="Q3" s="406">
        <v>10.0</v>
      </c>
      <c r="R3" s="406">
        <v>10.0</v>
      </c>
      <c r="S3" s="406">
        <v>10.0</v>
      </c>
      <c r="T3" s="406" t="s">
        <v>804</v>
      </c>
      <c r="U3" s="406">
        <v>2.0</v>
      </c>
      <c r="V3" s="406">
        <v>7.0</v>
      </c>
      <c r="W3" s="406">
        <v>8.0</v>
      </c>
      <c r="X3" s="406">
        <v>10.0</v>
      </c>
      <c r="Y3" s="406" t="s">
        <v>65</v>
      </c>
      <c r="Z3" s="407"/>
      <c r="AA3" s="407"/>
      <c r="AB3" s="9" t="s">
        <v>39</v>
      </c>
      <c r="AC3" s="10" t="b">
        <v>1</v>
      </c>
      <c r="AD3" s="10"/>
      <c r="AE3" s="10"/>
      <c r="AF3" s="408">
        <f t="shared" si="1"/>
        <v>8.375</v>
      </c>
    </row>
    <row r="4">
      <c r="A4" s="404" t="s">
        <v>805</v>
      </c>
      <c r="B4" s="261" t="s">
        <v>806</v>
      </c>
      <c r="C4" s="405">
        <v>45519.66462962963</v>
      </c>
      <c r="D4" s="248" t="s">
        <v>724</v>
      </c>
      <c r="E4" s="261" t="s">
        <v>769</v>
      </c>
      <c r="F4" s="406">
        <v>7.0</v>
      </c>
      <c r="G4" s="406">
        <v>6.0</v>
      </c>
      <c r="H4" s="406">
        <v>9.0</v>
      </c>
      <c r="I4" s="406">
        <v>5.0</v>
      </c>
      <c r="J4" s="406" t="s">
        <v>807</v>
      </c>
      <c r="K4" s="406">
        <v>10.0</v>
      </c>
      <c r="L4" s="406">
        <v>10.0</v>
      </c>
      <c r="M4" s="406">
        <v>10.0</v>
      </c>
      <c r="N4" s="406">
        <v>7.0</v>
      </c>
      <c r="O4" s="406" t="s">
        <v>808</v>
      </c>
      <c r="P4" s="406">
        <v>10.0</v>
      </c>
      <c r="Q4" s="406">
        <v>9.0</v>
      </c>
      <c r="R4" s="406">
        <v>9.0</v>
      </c>
      <c r="S4" s="406">
        <v>5.0</v>
      </c>
      <c r="T4" s="406" t="s">
        <v>809</v>
      </c>
      <c r="U4" s="406">
        <v>7.0</v>
      </c>
      <c r="V4" s="406">
        <v>9.0</v>
      </c>
      <c r="W4" s="406">
        <v>10.0</v>
      </c>
      <c r="X4" s="406">
        <v>9.0</v>
      </c>
      <c r="Y4" s="406" t="s">
        <v>810</v>
      </c>
      <c r="Z4" s="406" t="s">
        <v>811</v>
      </c>
      <c r="AA4" s="406" t="s">
        <v>812</v>
      </c>
      <c r="AB4" s="9" t="s">
        <v>39</v>
      </c>
      <c r="AC4" s="10" t="b">
        <v>1</v>
      </c>
      <c r="AD4" s="10"/>
      <c r="AE4" s="10"/>
      <c r="AF4" s="408">
        <f t="shared" si="1"/>
        <v>8.25</v>
      </c>
    </row>
    <row r="5">
      <c r="A5" s="404" t="s">
        <v>813</v>
      </c>
      <c r="B5" s="261" t="s">
        <v>119</v>
      </c>
      <c r="C5" s="405">
        <v>45519.73043981481</v>
      </c>
      <c r="D5" s="248" t="s">
        <v>448</v>
      </c>
      <c r="E5" s="261" t="s">
        <v>769</v>
      </c>
      <c r="F5" s="406">
        <v>8.0</v>
      </c>
      <c r="G5" s="406">
        <v>6.0</v>
      </c>
      <c r="H5" s="406">
        <v>7.0</v>
      </c>
      <c r="I5" s="406">
        <v>7.0</v>
      </c>
      <c r="J5" s="406" t="s">
        <v>814</v>
      </c>
      <c r="K5" s="406">
        <v>9.0</v>
      </c>
      <c r="L5" s="406">
        <v>8.0</v>
      </c>
      <c r="M5" s="406">
        <v>7.0</v>
      </c>
      <c r="N5" s="406">
        <v>10.0</v>
      </c>
      <c r="O5" s="406" t="s">
        <v>815</v>
      </c>
      <c r="P5" s="406">
        <v>9.0</v>
      </c>
      <c r="Q5" s="406">
        <v>8.0</v>
      </c>
      <c r="R5" s="406">
        <v>9.0</v>
      </c>
      <c r="S5" s="406">
        <v>6.0</v>
      </c>
      <c r="T5" s="406" t="s">
        <v>816</v>
      </c>
      <c r="U5" s="406">
        <v>7.0</v>
      </c>
      <c r="V5" s="406">
        <v>8.0</v>
      </c>
      <c r="W5" s="406">
        <v>10.0</v>
      </c>
      <c r="X5" s="406">
        <v>8.0</v>
      </c>
      <c r="Y5" s="406" t="s">
        <v>817</v>
      </c>
      <c r="Z5" s="407"/>
      <c r="AA5" s="407"/>
      <c r="AB5" s="9" t="s">
        <v>39</v>
      </c>
      <c r="AC5" s="10" t="b">
        <v>1</v>
      </c>
      <c r="AD5" s="10"/>
      <c r="AE5" s="10"/>
      <c r="AF5" s="408">
        <f t="shared" si="1"/>
        <v>7.9375</v>
      </c>
    </row>
    <row r="6">
      <c r="A6" s="404" t="s">
        <v>818</v>
      </c>
      <c r="B6" s="261" t="s">
        <v>819</v>
      </c>
      <c r="C6" s="405">
        <v>45519.91048611111</v>
      </c>
      <c r="D6" s="248" t="s">
        <v>774</v>
      </c>
      <c r="E6" s="261" t="s">
        <v>769</v>
      </c>
      <c r="F6" s="406">
        <v>6.0</v>
      </c>
      <c r="G6" s="406">
        <v>6.0</v>
      </c>
      <c r="H6" s="406">
        <v>9.0</v>
      </c>
      <c r="I6" s="406">
        <v>7.0</v>
      </c>
      <c r="J6" s="406" t="s">
        <v>820</v>
      </c>
      <c r="K6" s="406">
        <v>10.0</v>
      </c>
      <c r="L6" s="406">
        <v>8.0</v>
      </c>
      <c r="M6" s="406">
        <v>9.0</v>
      </c>
      <c r="N6" s="406">
        <v>9.0</v>
      </c>
      <c r="O6" s="406" t="s">
        <v>821</v>
      </c>
      <c r="P6" s="406">
        <v>9.0</v>
      </c>
      <c r="Q6" s="406">
        <v>9.0</v>
      </c>
      <c r="R6" s="406">
        <v>8.0</v>
      </c>
      <c r="S6" s="406">
        <v>6.0</v>
      </c>
      <c r="T6" s="406" t="s">
        <v>822</v>
      </c>
      <c r="U6" s="406">
        <v>6.0</v>
      </c>
      <c r="V6" s="406">
        <v>6.0</v>
      </c>
      <c r="W6" s="406">
        <v>8.0</v>
      </c>
      <c r="X6" s="406">
        <v>10.0</v>
      </c>
      <c r="Y6" s="406" t="s">
        <v>823</v>
      </c>
      <c r="Z6" s="406" t="s">
        <v>824</v>
      </c>
      <c r="AA6" s="406" t="s">
        <v>825</v>
      </c>
      <c r="AB6" s="9" t="s">
        <v>39</v>
      </c>
      <c r="AC6" s="10" t="b">
        <v>1</v>
      </c>
      <c r="AD6" s="10"/>
      <c r="AE6" s="10"/>
      <c r="AF6" s="408">
        <f t="shared" si="1"/>
        <v>7.875</v>
      </c>
    </row>
    <row r="7">
      <c r="A7" s="404" t="s">
        <v>826</v>
      </c>
      <c r="B7" s="261" t="s">
        <v>827</v>
      </c>
      <c r="C7" s="405">
        <v>45520.46673611111</v>
      </c>
      <c r="D7" s="248" t="s">
        <v>486</v>
      </c>
      <c r="E7" s="261" t="s">
        <v>769</v>
      </c>
      <c r="F7" s="406">
        <v>8.0</v>
      </c>
      <c r="G7" s="406">
        <v>8.0</v>
      </c>
      <c r="H7" s="406">
        <v>7.0</v>
      </c>
      <c r="I7" s="406">
        <v>7.0</v>
      </c>
      <c r="J7" s="406" t="s">
        <v>65</v>
      </c>
      <c r="K7" s="406">
        <v>9.0</v>
      </c>
      <c r="L7" s="406">
        <v>8.0</v>
      </c>
      <c r="M7" s="406">
        <v>9.0</v>
      </c>
      <c r="N7" s="406">
        <v>10.0</v>
      </c>
      <c r="O7" s="406" t="s">
        <v>65</v>
      </c>
      <c r="P7" s="406">
        <v>8.0</v>
      </c>
      <c r="Q7" s="406">
        <v>8.0</v>
      </c>
      <c r="R7" s="406">
        <v>6.0</v>
      </c>
      <c r="S7" s="406">
        <v>6.0</v>
      </c>
      <c r="T7" s="406" t="s">
        <v>65</v>
      </c>
      <c r="U7" s="406">
        <v>8.0</v>
      </c>
      <c r="V7" s="406">
        <v>6.0</v>
      </c>
      <c r="W7" s="406">
        <v>8.0</v>
      </c>
      <c r="X7" s="406">
        <v>9.0</v>
      </c>
      <c r="Y7" s="406" t="s">
        <v>65</v>
      </c>
      <c r="Z7" s="407"/>
      <c r="AA7" s="407"/>
      <c r="AB7" s="9" t="s">
        <v>39</v>
      </c>
      <c r="AC7" s="10" t="b">
        <v>1</v>
      </c>
      <c r="AD7" s="10"/>
      <c r="AE7" s="10"/>
      <c r="AF7" s="408">
        <f t="shared" si="1"/>
        <v>7.8125</v>
      </c>
    </row>
    <row r="8">
      <c r="A8" s="404" t="s">
        <v>828</v>
      </c>
      <c r="B8" s="261" t="s">
        <v>829</v>
      </c>
      <c r="C8" s="405">
        <v>45521.325949074075</v>
      </c>
      <c r="D8" s="248" t="s">
        <v>830</v>
      </c>
      <c r="E8" s="261" t="s">
        <v>769</v>
      </c>
      <c r="F8" s="406">
        <v>7.0</v>
      </c>
      <c r="G8" s="406">
        <v>7.0</v>
      </c>
      <c r="H8" s="406">
        <v>7.0</v>
      </c>
      <c r="I8" s="406">
        <v>7.0</v>
      </c>
      <c r="J8" s="406" t="s">
        <v>831</v>
      </c>
      <c r="K8" s="406">
        <v>7.0</v>
      </c>
      <c r="L8" s="406">
        <v>7.0</v>
      </c>
      <c r="M8" s="406">
        <v>7.0</v>
      </c>
      <c r="N8" s="406">
        <v>9.0</v>
      </c>
      <c r="O8" s="406" t="s">
        <v>832</v>
      </c>
      <c r="P8" s="406">
        <v>10.0</v>
      </c>
      <c r="Q8" s="406">
        <v>8.0</v>
      </c>
      <c r="R8" s="406">
        <v>9.0</v>
      </c>
      <c r="S8" s="406">
        <v>7.0</v>
      </c>
      <c r="T8" s="406" t="s">
        <v>833</v>
      </c>
      <c r="U8" s="406">
        <v>7.0</v>
      </c>
      <c r="V8" s="406">
        <v>7.0</v>
      </c>
      <c r="W8" s="406">
        <v>7.0</v>
      </c>
      <c r="X8" s="406">
        <v>10.0</v>
      </c>
      <c r="Y8" s="406" t="s">
        <v>834</v>
      </c>
      <c r="Z8" s="406"/>
      <c r="AA8" s="406" t="s">
        <v>835</v>
      </c>
      <c r="AB8" s="9" t="s">
        <v>39</v>
      </c>
      <c r="AC8" s="10" t="b">
        <v>1</v>
      </c>
      <c r="AD8" s="10"/>
      <c r="AE8" s="10"/>
      <c r="AF8" s="408">
        <f t="shared" si="1"/>
        <v>7.6875</v>
      </c>
    </row>
    <row r="9">
      <c r="A9" s="404" t="s">
        <v>836</v>
      </c>
      <c r="B9" s="261" t="s">
        <v>240</v>
      </c>
      <c r="C9" s="405">
        <v>45521.813043981485</v>
      </c>
      <c r="D9" s="248" t="s">
        <v>781</v>
      </c>
      <c r="E9" s="261" t="s">
        <v>769</v>
      </c>
      <c r="F9" s="406">
        <v>5.0</v>
      </c>
      <c r="G9" s="406">
        <v>6.0</v>
      </c>
      <c r="H9" s="406">
        <v>7.0</v>
      </c>
      <c r="I9" s="406">
        <v>7.0</v>
      </c>
      <c r="J9" s="406" t="s">
        <v>837</v>
      </c>
      <c r="K9" s="406">
        <v>8.0</v>
      </c>
      <c r="L9" s="406">
        <v>7.0</v>
      </c>
      <c r="M9" s="406">
        <v>7.0</v>
      </c>
      <c r="N9" s="406">
        <v>10.0</v>
      </c>
      <c r="O9" s="406" t="s">
        <v>838</v>
      </c>
      <c r="P9" s="406">
        <v>10.0</v>
      </c>
      <c r="Q9" s="406">
        <v>8.0</v>
      </c>
      <c r="R9" s="406">
        <v>8.0</v>
      </c>
      <c r="S9" s="406">
        <v>5.0</v>
      </c>
      <c r="T9" s="406" t="s">
        <v>839</v>
      </c>
      <c r="U9" s="406">
        <v>6.0</v>
      </c>
      <c r="V9" s="406">
        <v>6.0</v>
      </c>
      <c r="W9" s="406">
        <v>9.0</v>
      </c>
      <c r="X9" s="406">
        <v>10.0</v>
      </c>
      <c r="Y9" s="406" t="s">
        <v>840</v>
      </c>
      <c r="Z9" s="406" t="s">
        <v>841</v>
      </c>
      <c r="AA9" s="407"/>
      <c r="AB9" s="9" t="s">
        <v>39</v>
      </c>
      <c r="AC9" s="10" t="b">
        <v>1</v>
      </c>
      <c r="AD9" s="10"/>
      <c r="AE9" s="10"/>
      <c r="AF9" s="408">
        <f t="shared" si="1"/>
        <v>7.4375</v>
      </c>
    </row>
    <row r="10">
      <c r="A10" s="404" t="s">
        <v>842</v>
      </c>
      <c r="B10" s="261" t="s">
        <v>843</v>
      </c>
      <c r="C10" s="405">
        <v>45522.416354166664</v>
      </c>
      <c r="D10" s="248" t="s">
        <v>530</v>
      </c>
      <c r="E10" s="261" t="s">
        <v>769</v>
      </c>
      <c r="F10" s="406">
        <v>8.0</v>
      </c>
      <c r="G10" s="406">
        <v>7.0</v>
      </c>
      <c r="H10" s="406">
        <v>6.0</v>
      </c>
      <c r="I10" s="406">
        <v>8.0</v>
      </c>
      <c r="J10" s="406" t="s">
        <v>844</v>
      </c>
      <c r="K10" s="406">
        <v>7.0</v>
      </c>
      <c r="L10" s="406">
        <v>8.0</v>
      </c>
      <c r="M10" s="406">
        <v>7.0</v>
      </c>
      <c r="N10" s="406">
        <v>4.0</v>
      </c>
      <c r="O10" s="406" t="s">
        <v>367</v>
      </c>
      <c r="P10" s="406">
        <v>6.0</v>
      </c>
      <c r="Q10" s="406">
        <v>8.0</v>
      </c>
      <c r="R10" s="406">
        <v>7.0</v>
      </c>
      <c r="S10" s="406">
        <v>6.0</v>
      </c>
      <c r="T10" s="406" t="s">
        <v>845</v>
      </c>
      <c r="U10" s="406">
        <v>4.0</v>
      </c>
      <c r="V10" s="406">
        <v>4.0</v>
      </c>
      <c r="W10" s="406">
        <v>7.0</v>
      </c>
      <c r="X10" s="406">
        <v>10.0</v>
      </c>
      <c r="Y10" s="406" t="s">
        <v>846</v>
      </c>
      <c r="Z10" s="406" t="s">
        <v>847</v>
      </c>
      <c r="AA10" s="406" t="s">
        <v>848</v>
      </c>
      <c r="AB10" s="9" t="s">
        <v>39</v>
      </c>
      <c r="AC10" s="10" t="b">
        <v>1</v>
      </c>
      <c r="AD10" s="10"/>
      <c r="AE10" s="10"/>
      <c r="AF10" s="408">
        <f t="shared" si="1"/>
        <v>6.6875</v>
      </c>
    </row>
    <row r="11">
      <c r="A11" s="404" t="s">
        <v>849</v>
      </c>
      <c r="B11" s="261" t="s">
        <v>850</v>
      </c>
      <c r="C11" s="405">
        <v>45522.42266203704</v>
      </c>
      <c r="D11" s="248" t="s">
        <v>241</v>
      </c>
      <c r="E11" s="261" t="s">
        <v>801</v>
      </c>
      <c r="F11" s="406">
        <v>8.0</v>
      </c>
      <c r="G11" s="406">
        <v>8.0</v>
      </c>
      <c r="H11" s="406">
        <v>6.0</v>
      </c>
      <c r="I11" s="406">
        <v>6.0</v>
      </c>
      <c r="J11" s="406" t="s">
        <v>851</v>
      </c>
      <c r="K11" s="406">
        <v>4.0</v>
      </c>
      <c r="L11" s="406">
        <v>7.0</v>
      </c>
      <c r="M11" s="406">
        <v>10.0</v>
      </c>
      <c r="N11" s="406">
        <v>8.0</v>
      </c>
      <c r="O11" s="406" t="s">
        <v>852</v>
      </c>
      <c r="P11" s="406">
        <v>5.0</v>
      </c>
      <c r="Q11" s="406">
        <v>5.0</v>
      </c>
      <c r="R11" s="406">
        <v>5.0</v>
      </c>
      <c r="S11" s="406">
        <v>8.0</v>
      </c>
      <c r="T11" s="406" t="s">
        <v>853</v>
      </c>
      <c r="U11" s="406">
        <v>1.0</v>
      </c>
      <c r="V11" s="406">
        <v>5.0</v>
      </c>
      <c r="W11" s="406">
        <v>6.0</v>
      </c>
      <c r="X11" s="406">
        <v>5.0</v>
      </c>
      <c r="Y11" s="406" t="s">
        <v>854</v>
      </c>
      <c r="Z11" s="406" t="s">
        <v>855</v>
      </c>
      <c r="AA11" s="407"/>
      <c r="AB11" s="9" t="s">
        <v>39</v>
      </c>
      <c r="AC11" s="10" t="b">
        <v>1</v>
      </c>
      <c r="AD11" s="10"/>
      <c r="AE11" s="10"/>
      <c r="AF11" s="408">
        <f t="shared" si="1"/>
        <v>6.0625</v>
      </c>
    </row>
    <row r="12">
      <c r="A12" s="404" t="s">
        <v>856</v>
      </c>
      <c r="B12" s="261" t="s">
        <v>857</v>
      </c>
      <c r="C12" s="405">
        <v>45522.520625</v>
      </c>
      <c r="D12" s="248" t="s">
        <v>113</v>
      </c>
      <c r="E12" s="261" t="s">
        <v>801</v>
      </c>
      <c r="F12" s="406">
        <v>6.0</v>
      </c>
      <c r="G12" s="406">
        <v>6.0</v>
      </c>
      <c r="H12" s="406">
        <v>4.0</v>
      </c>
      <c r="I12" s="406">
        <v>6.0</v>
      </c>
      <c r="J12" s="406" t="s">
        <v>858</v>
      </c>
      <c r="K12" s="406">
        <v>2.0</v>
      </c>
      <c r="L12" s="406">
        <v>6.0</v>
      </c>
      <c r="M12" s="406">
        <v>6.0</v>
      </c>
      <c r="N12" s="406">
        <v>4.0</v>
      </c>
      <c r="O12" s="406" t="s">
        <v>858</v>
      </c>
      <c r="P12" s="406">
        <v>6.0</v>
      </c>
      <c r="Q12" s="406">
        <v>6.0</v>
      </c>
      <c r="R12" s="406">
        <v>6.0</v>
      </c>
      <c r="S12" s="406">
        <v>4.0</v>
      </c>
      <c r="T12" s="406" t="s">
        <v>858</v>
      </c>
      <c r="U12" s="406">
        <v>3.0</v>
      </c>
      <c r="V12" s="406">
        <v>2.0</v>
      </c>
      <c r="W12" s="406">
        <v>3.0</v>
      </c>
      <c r="X12" s="406">
        <v>4.0</v>
      </c>
      <c r="Y12" s="406" t="s">
        <v>858</v>
      </c>
      <c r="Z12" s="407"/>
      <c r="AA12" s="407"/>
      <c r="AB12" s="9" t="s">
        <v>39</v>
      </c>
      <c r="AC12" s="10" t="b">
        <v>1</v>
      </c>
      <c r="AD12" s="10"/>
      <c r="AE12" s="10"/>
      <c r="AF12" s="408">
        <f t="shared" si="1"/>
        <v>4.625</v>
      </c>
    </row>
    <row r="13">
      <c r="A13" s="404" t="s">
        <v>859</v>
      </c>
      <c r="B13" s="261" t="s">
        <v>860</v>
      </c>
      <c r="C13" s="405">
        <v>45522.54609953704</v>
      </c>
      <c r="D13" s="248" t="s">
        <v>861</v>
      </c>
      <c r="E13" s="261" t="s">
        <v>770</v>
      </c>
      <c r="F13" s="406">
        <v>8.0</v>
      </c>
      <c r="G13" s="406">
        <v>8.0</v>
      </c>
      <c r="H13" s="406">
        <v>8.0</v>
      </c>
      <c r="I13" s="406">
        <v>8.0</v>
      </c>
      <c r="J13" s="406" t="s">
        <v>862</v>
      </c>
      <c r="K13" s="406">
        <v>9.0</v>
      </c>
      <c r="L13" s="406">
        <v>8.0</v>
      </c>
      <c r="M13" s="406">
        <v>8.0</v>
      </c>
      <c r="N13" s="406">
        <v>8.0</v>
      </c>
      <c r="O13" s="406" t="s">
        <v>863</v>
      </c>
      <c r="P13" s="406">
        <v>8.0</v>
      </c>
      <c r="Q13" s="406">
        <v>8.0</v>
      </c>
      <c r="R13" s="406">
        <v>7.0</v>
      </c>
      <c r="S13" s="406">
        <v>8.0</v>
      </c>
      <c r="T13" s="406" t="s">
        <v>864</v>
      </c>
      <c r="U13" s="406">
        <v>6.0</v>
      </c>
      <c r="V13" s="406">
        <v>8.0</v>
      </c>
      <c r="W13" s="406">
        <v>8.0</v>
      </c>
      <c r="X13" s="406">
        <v>8.0</v>
      </c>
      <c r="Y13" s="406" t="s">
        <v>70</v>
      </c>
      <c r="Z13" s="407"/>
      <c r="AA13" s="407"/>
      <c r="AB13" s="9" t="s">
        <v>39</v>
      </c>
      <c r="AC13" s="10" t="b">
        <v>1</v>
      </c>
      <c r="AD13" s="10"/>
      <c r="AE13" s="10"/>
      <c r="AF13" s="408">
        <f t="shared" si="1"/>
        <v>7.875</v>
      </c>
    </row>
    <row r="14">
      <c r="A14" s="404" t="s">
        <v>865</v>
      </c>
      <c r="B14" s="261" t="s">
        <v>866</v>
      </c>
      <c r="C14" s="405">
        <v>45522.547685185185</v>
      </c>
      <c r="D14" s="248" t="s">
        <v>867</v>
      </c>
      <c r="E14" s="261" t="s">
        <v>42</v>
      </c>
      <c r="F14" s="406">
        <v>9.0</v>
      </c>
      <c r="G14" s="406">
        <v>9.0</v>
      </c>
      <c r="H14" s="406">
        <v>9.0</v>
      </c>
      <c r="I14" s="406">
        <v>9.0</v>
      </c>
      <c r="J14" s="406" t="s">
        <v>868</v>
      </c>
      <c r="K14" s="406">
        <v>9.0</v>
      </c>
      <c r="L14" s="406">
        <v>9.0</v>
      </c>
      <c r="M14" s="406">
        <v>9.0</v>
      </c>
      <c r="N14" s="406">
        <v>9.0</v>
      </c>
      <c r="O14" s="406" t="s">
        <v>869</v>
      </c>
      <c r="P14" s="406">
        <v>9.0</v>
      </c>
      <c r="Q14" s="406">
        <v>8.0</v>
      </c>
      <c r="R14" s="406">
        <v>9.0</v>
      </c>
      <c r="S14" s="406">
        <v>9.0</v>
      </c>
      <c r="T14" s="406" t="s">
        <v>86</v>
      </c>
      <c r="U14" s="406">
        <v>9.0</v>
      </c>
      <c r="V14" s="406">
        <v>8.0</v>
      </c>
      <c r="W14" s="406">
        <v>9.0</v>
      </c>
      <c r="X14" s="406">
        <v>9.0</v>
      </c>
      <c r="Y14" s="406" t="s">
        <v>870</v>
      </c>
      <c r="Z14" s="406" t="s">
        <v>871</v>
      </c>
      <c r="AA14" s="407"/>
      <c r="AB14" s="9" t="s">
        <v>39</v>
      </c>
      <c r="AC14" s="10" t="b">
        <v>1</v>
      </c>
      <c r="AD14" s="10"/>
      <c r="AE14" s="10"/>
      <c r="AF14" s="408">
        <f t="shared" si="1"/>
        <v>8.875</v>
      </c>
    </row>
    <row r="15">
      <c r="A15" s="404" t="s">
        <v>872</v>
      </c>
      <c r="B15" s="261" t="s">
        <v>358</v>
      </c>
      <c r="C15" s="405">
        <v>45522.55012731482</v>
      </c>
      <c r="D15" s="248" t="s">
        <v>873</v>
      </c>
      <c r="E15" s="261" t="s">
        <v>42</v>
      </c>
      <c r="F15" s="406">
        <v>8.0</v>
      </c>
      <c r="G15" s="406">
        <v>10.0</v>
      </c>
      <c r="H15" s="406">
        <v>10.0</v>
      </c>
      <c r="I15" s="406">
        <v>10.0</v>
      </c>
      <c r="J15" s="406" t="s">
        <v>874</v>
      </c>
      <c r="K15" s="406">
        <v>10.0</v>
      </c>
      <c r="L15" s="406">
        <v>10.0</v>
      </c>
      <c r="M15" s="406">
        <v>10.0</v>
      </c>
      <c r="N15" s="406">
        <v>10.0</v>
      </c>
      <c r="O15" s="406" t="s">
        <v>875</v>
      </c>
      <c r="P15" s="406">
        <v>9.0</v>
      </c>
      <c r="Q15" s="406">
        <v>8.0</v>
      </c>
      <c r="R15" s="406">
        <v>9.0</v>
      </c>
      <c r="S15" s="406">
        <v>9.0</v>
      </c>
      <c r="T15" s="406" t="s">
        <v>876</v>
      </c>
      <c r="U15" s="406">
        <v>9.0</v>
      </c>
      <c r="V15" s="406">
        <v>6.0</v>
      </c>
      <c r="W15" s="406">
        <v>9.0</v>
      </c>
      <c r="X15" s="406">
        <v>9.0</v>
      </c>
      <c r="Y15" s="406" t="s">
        <v>877</v>
      </c>
      <c r="Z15" s="407"/>
      <c r="AA15" s="409" t="s">
        <v>878</v>
      </c>
      <c r="AB15" s="9" t="s">
        <v>39</v>
      </c>
      <c r="AC15" s="10" t="b">
        <v>1</v>
      </c>
      <c r="AD15" s="10"/>
      <c r="AE15" s="10"/>
      <c r="AF15" s="408">
        <f t="shared" si="1"/>
        <v>9.125</v>
      </c>
    </row>
    <row r="16">
      <c r="A16" s="404" t="s">
        <v>879</v>
      </c>
      <c r="B16" s="261" t="s">
        <v>880</v>
      </c>
      <c r="C16" s="405">
        <v>45522.55229166667</v>
      </c>
      <c r="D16" s="248" t="s">
        <v>881</v>
      </c>
      <c r="E16" s="261" t="s">
        <v>42</v>
      </c>
      <c r="F16" s="406">
        <v>8.0</v>
      </c>
      <c r="G16" s="406">
        <v>7.0</v>
      </c>
      <c r="H16" s="406">
        <v>9.0</v>
      </c>
      <c r="I16" s="406">
        <v>7.0</v>
      </c>
      <c r="J16" s="406" t="s">
        <v>882</v>
      </c>
      <c r="K16" s="406">
        <v>8.0</v>
      </c>
      <c r="L16" s="406">
        <v>10.0</v>
      </c>
      <c r="M16" s="406">
        <v>10.0</v>
      </c>
      <c r="N16" s="406">
        <v>8.0</v>
      </c>
      <c r="O16" s="406" t="s">
        <v>883</v>
      </c>
      <c r="P16" s="406">
        <v>10.0</v>
      </c>
      <c r="Q16" s="406">
        <v>8.0</v>
      </c>
      <c r="R16" s="406">
        <v>8.0</v>
      </c>
      <c r="S16" s="406">
        <v>10.0</v>
      </c>
      <c r="T16" s="406" t="s">
        <v>884</v>
      </c>
      <c r="U16" s="406">
        <v>6.0</v>
      </c>
      <c r="V16" s="406">
        <v>6.0</v>
      </c>
      <c r="W16" s="406">
        <v>8.0</v>
      </c>
      <c r="X16" s="406">
        <v>8.0</v>
      </c>
      <c r="Y16" s="406" t="s">
        <v>885</v>
      </c>
      <c r="Z16" s="406" t="s">
        <v>886</v>
      </c>
      <c r="AA16" s="406" t="s">
        <v>887</v>
      </c>
      <c r="AB16" s="9" t="s">
        <v>39</v>
      </c>
      <c r="AC16" s="10" t="b">
        <v>1</v>
      </c>
      <c r="AD16" s="10"/>
      <c r="AE16" s="10"/>
      <c r="AF16" s="408">
        <f t="shared" si="1"/>
        <v>8.1875</v>
      </c>
    </row>
    <row r="17">
      <c r="A17" s="404" t="s">
        <v>888</v>
      </c>
      <c r="B17" s="261" t="s">
        <v>889</v>
      </c>
      <c r="C17" s="405">
        <v>45522.55756944444</v>
      </c>
      <c r="D17" s="248" t="s">
        <v>890</v>
      </c>
      <c r="E17" s="261" t="s">
        <v>42</v>
      </c>
      <c r="F17" s="406">
        <v>7.0</v>
      </c>
      <c r="G17" s="406">
        <v>6.0</v>
      </c>
      <c r="H17" s="406">
        <v>10.0</v>
      </c>
      <c r="I17" s="406">
        <v>8.0</v>
      </c>
      <c r="J17" s="406" t="s">
        <v>891</v>
      </c>
      <c r="K17" s="406">
        <v>10.0</v>
      </c>
      <c r="L17" s="406">
        <v>10.0</v>
      </c>
      <c r="M17" s="406">
        <v>10.0</v>
      </c>
      <c r="N17" s="406">
        <v>10.0</v>
      </c>
      <c r="O17" s="406" t="s">
        <v>892</v>
      </c>
      <c r="P17" s="406">
        <v>5.0</v>
      </c>
      <c r="Q17" s="406">
        <v>5.0</v>
      </c>
      <c r="R17" s="406">
        <v>5.0</v>
      </c>
      <c r="S17" s="406">
        <v>5.0</v>
      </c>
      <c r="T17" s="406" t="s">
        <v>893</v>
      </c>
      <c r="U17" s="406">
        <v>7.0</v>
      </c>
      <c r="V17" s="406">
        <v>7.0</v>
      </c>
      <c r="W17" s="406">
        <v>9.0</v>
      </c>
      <c r="X17" s="406">
        <v>10.0</v>
      </c>
      <c r="Y17" s="406" t="s">
        <v>894</v>
      </c>
      <c r="Z17" s="407"/>
      <c r="AA17" s="406" t="s">
        <v>895</v>
      </c>
      <c r="AB17" s="9" t="s">
        <v>39</v>
      </c>
      <c r="AC17" s="10" t="b">
        <v>1</v>
      </c>
      <c r="AD17" s="10"/>
      <c r="AE17" s="10"/>
      <c r="AF17" s="408">
        <f t="shared" si="1"/>
        <v>7.75</v>
      </c>
    </row>
    <row r="18">
      <c r="A18" s="404" t="s">
        <v>896</v>
      </c>
      <c r="B18" s="261" t="s">
        <v>897</v>
      </c>
      <c r="C18" s="405">
        <v>45522.55813657407</v>
      </c>
      <c r="D18" s="248" t="s">
        <v>898</v>
      </c>
      <c r="E18" s="261" t="s">
        <v>42</v>
      </c>
      <c r="F18" s="406">
        <v>9.0</v>
      </c>
      <c r="G18" s="406">
        <v>8.0</v>
      </c>
      <c r="H18" s="406">
        <v>8.0</v>
      </c>
      <c r="I18" s="406">
        <v>9.0</v>
      </c>
      <c r="J18" s="406" t="s">
        <v>899</v>
      </c>
      <c r="K18" s="406">
        <v>9.0</v>
      </c>
      <c r="L18" s="406">
        <v>8.0</v>
      </c>
      <c r="M18" s="406">
        <v>7.0</v>
      </c>
      <c r="N18" s="406">
        <v>10.0</v>
      </c>
      <c r="O18" s="406" t="s">
        <v>900</v>
      </c>
      <c r="P18" s="406">
        <v>6.0</v>
      </c>
      <c r="Q18" s="406">
        <v>8.0</v>
      </c>
      <c r="R18" s="406">
        <v>7.0</v>
      </c>
      <c r="S18" s="406">
        <v>5.0</v>
      </c>
      <c r="T18" s="406" t="s">
        <v>901</v>
      </c>
      <c r="U18" s="406">
        <v>6.0</v>
      </c>
      <c r="V18" s="406">
        <v>6.0</v>
      </c>
      <c r="W18" s="406">
        <v>8.0</v>
      </c>
      <c r="X18" s="406">
        <v>9.0</v>
      </c>
      <c r="Y18" s="406" t="s">
        <v>902</v>
      </c>
      <c r="Z18" s="407"/>
      <c r="AA18" s="407"/>
      <c r="AB18" s="9" t="s">
        <v>39</v>
      </c>
      <c r="AC18" s="10" t="b">
        <v>1</v>
      </c>
      <c r="AD18" s="10"/>
      <c r="AE18" s="10"/>
      <c r="AF18" s="408">
        <f t="shared" si="1"/>
        <v>7.6875</v>
      </c>
    </row>
    <row r="19">
      <c r="A19" s="404" t="s">
        <v>903</v>
      </c>
      <c r="B19" s="261" t="s">
        <v>904</v>
      </c>
      <c r="C19" s="405">
        <v>45522.558483796296</v>
      </c>
      <c r="D19" s="248" t="s">
        <v>905</v>
      </c>
      <c r="E19" s="261" t="s">
        <v>42</v>
      </c>
      <c r="F19" s="406">
        <v>7.0</v>
      </c>
      <c r="G19" s="406">
        <v>6.0</v>
      </c>
      <c r="H19" s="406">
        <v>9.0</v>
      </c>
      <c r="I19" s="406">
        <v>7.0</v>
      </c>
      <c r="J19" s="406" t="s">
        <v>906</v>
      </c>
      <c r="K19" s="406">
        <v>9.0</v>
      </c>
      <c r="L19" s="406">
        <v>7.0</v>
      </c>
      <c r="M19" s="406">
        <v>10.0</v>
      </c>
      <c r="N19" s="406">
        <v>8.0</v>
      </c>
      <c r="O19" s="406" t="s">
        <v>907</v>
      </c>
      <c r="P19" s="406">
        <v>6.0</v>
      </c>
      <c r="Q19" s="406">
        <v>10.0</v>
      </c>
      <c r="R19" s="406">
        <v>9.0</v>
      </c>
      <c r="S19" s="406">
        <v>8.0</v>
      </c>
      <c r="T19" s="406" t="s">
        <v>908</v>
      </c>
      <c r="U19" s="406">
        <v>6.0</v>
      </c>
      <c r="V19" s="406">
        <v>7.0</v>
      </c>
      <c r="W19" s="406">
        <v>7.0</v>
      </c>
      <c r="X19" s="406">
        <v>6.0</v>
      </c>
      <c r="Y19" s="406" t="s">
        <v>909</v>
      </c>
      <c r="Z19" s="406" t="s">
        <v>910</v>
      </c>
      <c r="AA19" s="406" t="s">
        <v>911</v>
      </c>
      <c r="AB19" s="9" t="s">
        <v>39</v>
      </c>
      <c r="AC19" s="10" t="b">
        <v>1</v>
      </c>
      <c r="AD19" s="10"/>
      <c r="AE19" s="10"/>
      <c r="AF19" s="408">
        <f t="shared" si="1"/>
        <v>7.625</v>
      </c>
    </row>
    <row r="20">
      <c r="A20" s="404" t="s">
        <v>912</v>
      </c>
      <c r="B20" s="261" t="s">
        <v>913</v>
      </c>
      <c r="C20" s="405">
        <v>45522.55914351852</v>
      </c>
      <c r="D20" s="248" t="s">
        <v>914</v>
      </c>
      <c r="E20" s="261" t="s">
        <v>241</v>
      </c>
      <c r="F20" s="406">
        <v>8.0</v>
      </c>
      <c r="G20" s="406">
        <v>8.0</v>
      </c>
      <c r="H20" s="406">
        <v>8.0</v>
      </c>
      <c r="I20" s="406">
        <v>8.0</v>
      </c>
      <c r="J20" s="406" t="s">
        <v>65</v>
      </c>
      <c r="K20" s="406">
        <v>9.0</v>
      </c>
      <c r="L20" s="406">
        <v>8.0</v>
      </c>
      <c r="M20" s="406">
        <v>9.0</v>
      </c>
      <c r="N20" s="406">
        <v>9.0</v>
      </c>
      <c r="O20" s="406" t="s">
        <v>65</v>
      </c>
      <c r="P20" s="406">
        <v>9.0</v>
      </c>
      <c r="Q20" s="406">
        <v>8.0</v>
      </c>
      <c r="R20" s="406">
        <v>7.0</v>
      </c>
      <c r="S20" s="406">
        <v>9.0</v>
      </c>
      <c r="T20" s="406" t="s">
        <v>65</v>
      </c>
      <c r="U20" s="406">
        <v>8.0</v>
      </c>
      <c r="V20" s="406">
        <v>9.0</v>
      </c>
      <c r="W20" s="406">
        <v>7.0</v>
      </c>
      <c r="X20" s="406">
        <v>9.0</v>
      </c>
      <c r="Y20" s="406" t="s">
        <v>65</v>
      </c>
      <c r="Z20" s="407"/>
      <c r="AA20" s="406" t="s">
        <v>915</v>
      </c>
      <c r="AB20" s="9" t="s">
        <v>39</v>
      </c>
      <c r="AC20" s="10" t="b">
        <v>1</v>
      </c>
      <c r="AD20" s="10"/>
      <c r="AE20" s="10"/>
      <c r="AF20" s="408">
        <f t="shared" si="1"/>
        <v>8.3125</v>
      </c>
    </row>
    <row r="21">
      <c r="A21" s="404" t="s">
        <v>916</v>
      </c>
      <c r="B21" s="261" t="s">
        <v>917</v>
      </c>
      <c r="C21" s="405">
        <v>45522.56177083333</v>
      </c>
      <c r="D21" s="248" t="s">
        <v>918</v>
      </c>
      <c r="E21" s="261" t="s">
        <v>241</v>
      </c>
      <c r="F21" s="406">
        <v>9.0</v>
      </c>
      <c r="G21" s="406">
        <v>8.0</v>
      </c>
      <c r="H21" s="406">
        <v>8.0</v>
      </c>
      <c r="I21" s="406">
        <v>10.0</v>
      </c>
      <c r="J21" s="406" t="s">
        <v>919</v>
      </c>
      <c r="K21" s="406">
        <v>10.0</v>
      </c>
      <c r="L21" s="406">
        <v>9.0</v>
      </c>
      <c r="M21" s="406">
        <v>8.0</v>
      </c>
      <c r="N21" s="406">
        <v>10.0</v>
      </c>
      <c r="O21" s="406" t="s">
        <v>920</v>
      </c>
      <c r="P21" s="406">
        <v>9.0</v>
      </c>
      <c r="Q21" s="406">
        <v>9.0</v>
      </c>
      <c r="R21" s="406">
        <v>9.0</v>
      </c>
      <c r="S21" s="406">
        <v>7.0</v>
      </c>
      <c r="T21" s="406" t="s">
        <v>921</v>
      </c>
      <c r="U21" s="406">
        <v>8.0</v>
      </c>
      <c r="V21" s="406">
        <v>8.0</v>
      </c>
      <c r="W21" s="406">
        <v>9.0</v>
      </c>
      <c r="X21" s="406">
        <v>10.0</v>
      </c>
      <c r="Y21" s="406" t="s">
        <v>65</v>
      </c>
      <c r="Z21" s="406" t="s">
        <v>922</v>
      </c>
      <c r="AA21" s="406" t="s">
        <v>923</v>
      </c>
      <c r="AB21" s="9" t="s">
        <v>39</v>
      </c>
      <c r="AC21" s="10" t="b">
        <v>1</v>
      </c>
      <c r="AD21" s="10"/>
      <c r="AE21" s="10"/>
      <c r="AF21" s="408">
        <f t="shared" si="1"/>
        <v>8.8125</v>
      </c>
    </row>
    <row r="22">
      <c r="A22" s="404" t="s">
        <v>924</v>
      </c>
      <c r="B22" s="261" t="s">
        <v>925</v>
      </c>
      <c r="C22" s="405">
        <v>45522.56775462963</v>
      </c>
      <c r="D22" s="248" t="s">
        <v>926</v>
      </c>
      <c r="E22" s="261" t="s">
        <v>241</v>
      </c>
      <c r="F22" s="406">
        <v>8.0</v>
      </c>
      <c r="G22" s="406">
        <v>8.0</v>
      </c>
      <c r="H22" s="406">
        <v>8.0</v>
      </c>
      <c r="I22" s="406">
        <v>8.0</v>
      </c>
      <c r="J22" s="406" t="s">
        <v>927</v>
      </c>
      <c r="K22" s="406">
        <v>10.0</v>
      </c>
      <c r="L22" s="406">
        <v>9.0</v>
      </c>
      <c r="M22" s="406">
        <v>9.0</v>
      </c>
      <c r="N22" s="406">
        <v>8.0</v>
      </c>
      <c r="O22" s="406" t="s">
        <v>927</v>
      </c>
      <c r="P22" s="406">
        <v>8.0</v>
      </c>
      <c r="Q22" s="406">
        <v>8.0</v>
      </c>
      <c r="R22" s="406">
        <v>8.0</v>
      </c>
      <c r="S22" s="406">
        <v>6.0</v>
      </c>
      <c r="T22" s="406" t="s">
        <v>927</v>
      </c>
      <c r="U22" s="406">
        <v>5.0</v>
      </c>
      <c r="V22" s="406">
        <v>7.0</v>
      </c>
      <c r="W22" s="406">
        <v>7.0</v>
      </c>
      <c r="X22" s="406">
        <v>9.0</v>
      </c>
      <c r="Y22" s="406" t="s">
        <v>927</v>
      </c>
      <c r="Z22" s="406" t="s">
        <v>928</v>
      </c>
      <c r="AA22" s="406" t="s">
        <v>929</v>
      </c>
      <c r="AB22" s="9" t="s">
        <v>39</v>
      </c>
      <c r="AC22" s="10" t="b">
        <v>1</v>
      </c>
      <c r="AD22" s="10"/>
      <c r="AE22" s="10"/>
      <c r="AF22" s="408">
        <f t="shared" si="1"/>
        <v>7.875</v>
      </c>
    </row>
    <row r="23">
      <c r="A23" s="404" t="s">
        <v>930</v>
      </c>
      <c r="B23" s="261" t="s">
        <v>931</v>
      </c>
      <c r="C23" s="405">
        <v>45522.568715277775</v>
      </c>
      <c r="D23" s="248" t="s">
        <v>778</v>
      </c>
      <c r="E23" s="261" t="s">
        <v>241</v>
      </c>
      <c r="F23" s="406">
        <v>6.0</v>
      </c>
      <c r="G23" s="406">
        <v>5.0</v>
      </c>
      <c r="H23" s="406">
        <v>10.0</v>
      </c>
      <c r="I23" s="406">
        <v>10.0</v>
      </c>
      <c r="J23" s="406" t="s">
        <v>932</v>
      </c>
      <c r="K23" s="406">
        <v>8.0</v>
      </c>
      <c r="L23" s="406">
        <v>10.0</v>
      </c>
      <c r="M23" s="406">
        <v>8.0</v>
      </c>
      <c r="N23" s="406">
        <v>5.0</v>
      </c>
      <c r="O23" s="406" t="s">
        <v>933</v>
      </c>
      <c r="P23" s="406">
        <v>3.0</v>
      </c>
      <c r="Q23" s="406">
        <v>6.0</v>
      </c>
      <c r="R23" s="406">
        <v>3.0</v>
      </c>
      <c r="S23" s="406">
        <v>7.0</v>
      </c>
      <c r="T23" s="406" t="s">
        <v>934</v>
      </c>
      <c r="U23" s="406">
        <v>5.0</v>
      </c>
      <c r="V23" s="406">
        <v>5.0</v>
      </c>
      <c r="W23" s="406">
        <v>5.0</v>
      </c>
      <c r="X23" s="406">
        <v>7.0</v>
      </c>
      <c r="Y23" s="406" t="s">
        <v>935</v>
      </c>
      <c r="Z23" s="406" t="s">
        <v>936</v>
      </c>
      <c r="AA23" s="406" t="s">
        <v>937</v>
      </c>
      <c r="AB23" s="9" t="s">
        <v>39</v>
      </c>
      <c r="AC23" s="10" t="b">
        <v>1</v>
      </c>
      <c r="AD23" s="10"/>
      <c r="AE23" s="10"/>
      <c r="AF23" s="408">
        <f t="shared" si="1"/>
        <v>6.4375</v>
      </c>
    </row>
    <row r="24">
      <c r="A24" s="404" t="s">
        <v>938</v>
      </c>
      <c r="B24" s="261" t="s">
        <v>939</v>
      </c>
      <c r="C24" s="405">
        <v>45522.58331018518</v>
      </c>
      <c r="D24" s="248" t="s">
        <v>558</v>
      </c>
      <c r="E24" s="261" t="s">
        <v>241</v>
      </c>
      <c r="F24" s="406">
        <v>4.0</v>
      </c>
      <c r="G24" s="406">
        <v>4.0</v>
      </c>
      <c r="H24" s="406">
        <v>6.0</v>
      </c>
      <c r="I24" s="406">
        <v>7.0</v>
      </c>
      <c r="J24" s="406" t="s">
        <v>940</v>
      </c>
      <c r="K24" s="406">
        <v>9.0</v>
      </c>
      <c r="L24" s="406">
        <v>7.0</v>
      </c>
      <c r="M24" s="406">
        <v>4.0</v>
      </c>
      <c r="N24" s="406">
        <v>5.0</v>
      </c>
      <c r="O24" s="406" t="s">
        <v>941</v>
      </c>
      <c r="P24" s="406">
        <v>6.0</v>
      </c>
      <c r="Q24" s="406">
        <v>8.0</v>
      </c>
      <c r="R24" s="406">
        <v>9.0</v>
      </c>
      <c r="S24" s="406">
        <v>6.0</v>
      </c>
      <c r="T24" s="406" t="s">
        <v>942</v>
      </c>
      <c r="U24" s="406">
        <v>3.0</v>
      </c>
      <c r="V24" s="406">
        <v>2.0</v>
      </c>
      <c r="W24" s="406">
        <v>4.0</v>
      </c>
      <c r="X24" s="406">
        <v>8.0</v>
      </c>
      <c r="Y24" s="406" t="s">
        <v>943</v>
      </c>
      <c r="Z24" s="406" t="s">
        <v>944</v>
      </c>
      <c r="AA24" s="406" t="s">
        <v>945</v>
      </c>
      <c r="AB24" s="9" t="s">
        <v>39</v>
      </c>
      <c r="AC24" s="10" t="b">
        <v>1</v>
      </c>
      <c r="AD24" s="10"/>
      <c r="AE24" s="10"/>
      <c r="AF24" s="408">
        <f t="shared" si="1"/>
        <v>5.75</v>
      </c>
    </row>
    <row r="25">
      <c r="A25" s="404" t="s">
        <v>856</v>
      </c>
      <c r="B25" s="261" t="s">
        <v>857</v>
      </c>
      <c r="C25" s="405">
        <v>45522.520625</v>
      </c>
      <c r="D25" s="248" t="s">
        <v>537</v>
      </c>
      <c r="E25" s="261" t="s">
        <v>241</v>
      </c>
      <c r="F25" s="406">
        <v>5.0</v>
      </c>
      <c r="G25" s="406">
        <v>4.0</v>
      </c>
      <c r="H25" s="406">
        <v>8.0</v>
      </c>
      <c r="I25" s="406">
        <v>9.0</v>
      </c>
      <c r="J25" s="406" t="s">
        <v>946</v>
      </c>
      <c r="K25" s="406">
        <v>3.0</v>
      </c>
      <c r="L25" s="406">
        <v>5.0</v>
      </c>
      <c r="M25" s="406">
        <v>9.0</v>
      </c>
      <c r="N25" s="406">
        <v>3.0</v>
      </c>
      <c r="O25" s="406" t="s">
        <v>947</v>
      </c>
      <c r="P25" s="406">
        <v>2.0</v>
      </c>
      <c r="Q25" s="406">
        <v>6.0</v>
      </c>
      <c r="R25" s="406">
        <v>6.0</v>
      </c>
      <c r="S25" s="406">
        <v>3.0</v>
      </c>
      <c r="T25" s="406" t="s">
        <v>948</v>
      </c>
      <c r="U25" s="406">
        <v>5.0</v>
      </c>
      <c r="V25" s="406">
        <v>7.0</v>
      </c>
      <c r="W25" s="406">
        <v>7.0</v>
      </c>
      <c r="X25" s="406">
        <v>9.0</v>
      </c>
      <c r="Y25" s="406" t="s">
        <v>65</v>
      </c>
      <c r="Z25" s="406" t="s">
        <v>65</v>
      </c>
      <c r="AA25" s="406" t="s">
        <v>949</v>
      </c>
      <c r="AB25" s="9" t="s">
        <v>39</v>
      </c>
      <c r="AC25" s="10" t="b">
        <v>1</v>
      </c>
      <c r="AD25" s="10"/>
      <c r="AE25" s="10"/>
      <c r="AF25" s="408">
        <f t="shared" si="1"/>
        <v>5.6875</v>
      </c>
    </row>
    <row r="26">
      <c r="A26" s="404" t="s">
        <v>950</v>
      </c>
      <c r="B26" s="261" t="s">
        <v>365</v>
      </c>
      <c r="C26" s="405">
        <v>45522.590520833335</v>
      </c>
      <c r="D26" s="248" t="s">
        <v>559</v>
      </c>
      <c r="E26" s="261" t="s">
        <v>241</v>
      </c>
      <c r="F26" s="406">
        <v>6.0</v>
      </c>
      <c r="G26" s="406">
        <v>6.0</v>
      </c>
      <c r="H26" s="406">
        <v>8.0</v>
      </c>
      <c r="I26" s="406">
        <v>7.0</v>
      </c>
      <c r="J26" s="406" t="s">
        <v>951</v>
      </c>
      <c r="K26" s="406">
        <v>5.0</v>
      </c>
      <c r="L26" s="406">
        <v>5.0</v>
      </c>
      <c r="M26" s="406">
        <v>7.0</v>
      </c>
      <c r="N26" s="406">
        <v>6.0</v>
      </c>
      <c r="O26" s="406" t="s">
        <v>952</v>
      </c>
      <c r="P26" s="406">
        <v>5.0</v>
      </c>
      <c r="Q26" s="406">
        <v>6.0</v>
      </c>
      <c r="R26" s="406">
        <v>4.0</v>
      </c>
      <c r="S26" s="406">
        <v>2.0</v>
      </c>
      <c r="T26" s="406" t="s">
        <v>953</v>
      </c>
      <c r="U26" s="406">
        <v>4.0</v>
      </c>
      <c r="V26" s="406">
        <v>6.0</v>
      </c>
      <c r="W26" s="406">
        <v>7.0</v>
      </c>
      <c r="X26" s="406">
        <v>7.0</v>
      </c>
      <c r="Y26" s="406" t="s">
        <v>954</v>
      </c>
      <c r="Z26" s="406" t="s">
        <v>65</v>
      </c>
      <c r="AA26" s="406" t="s">
        <v>955</v>
      </c>
      <c r="AB26" s="9" t="s">
        <v>39</v>
      </c>
      <c r="AC26" s="10" t="b">
        <v>1</v>
      </c>
      <c r="AD26" s="10"/>
      <c r="AE26" s="10"/>
      <c r="AF26" s="408">
        <f t="shared" si="1"/>
        <v>5.6875</v>
      </c>
    </row>
    <row r="27">
      <c r="A27" s="404" t="s">
        <v>956</v>
      </c>
      <c r="B27" s="261" t="s">
        <v>957</v>
      </c>
      <c r="C27" s="405">
        <v>45522.597650462965</v>
      </c>
      <c r="D27" s="248" t="s">
        <v>958</v>
      </c>
      <c r="E27" s="261" t="s">
        <v>774</v>
      </c>
      <c r="F27" s="406">
        <v>10.0</v>
      </c>
      <c r="G27" s="406">
        <v>8.0</v>
      </c>
      <c r="H27" s="406">
        <v>10.0</v>
      </c>
      <c r="I27" s="406">
        <v>9.0</v>
      </c>
      <c r="J27" s="406" t="s">
        <v>38</v>
      </c>
      <c r="K27" s="406">
        <v>10.0</v>
      </c>
      <c r="L27" s="406">
        <v>9.0</v>
      </c>
      <c r="M27" s="406">
        <v>10.0</v>
      </c>
      <c r="N27" s="406">
        <v>10.0</v>
      </c>
      <c r="O27" s="406" t="s">
        <v>38</v>
      </c>
      <c r="P27" s="406">
        <v>10.0</v>
      </c>
      <c r="Q27" s="406">
        <v>9.0</v>
      </c>
      <c r="R27" s="406">
        <v>10.0</v>
      </c>
      <c r="S27" s="406">
        <v>10.0</v>
      </c>
      <c r="T27" s="406" t="s">
        <v>38</v>
      </c>
      <c r="U27" s="406">
        <v>8.0</v>
      </c>
      <c r="V27" s="406">
        <v>8.0</v>
      </c>
      <c r="W27" s="406">
        <v>9.0</v>
      </c>
      <c r="X27" s="406">
        <v>10.0</v>
      </c>
      <c r="Y27" s="406" t="s">
        <v>959</v>
      </c>
      <c r="Z27" s="407"/>
      <c r="AA27" s="407"/>
      <c r="AB27" s="9" t="s">
        <v>39</v>
      </c>
      <c r="AC27" s="10" t="b">
        <v>1</v>
      </c>
      <c r="AD27" s="10"/>
      <c r="AE27" s="10"/>
      <c r="AF27" s="408">
        <f t="shared" si="1"/>
        <v>9.375</v>
      </c>
    </row>
    <row r="28">
      <c r="A28" s="404" t="s">
        <v>960</v>
      </c>
      <c r="B28" s="261" t="s">
        <v>961</v>
      </c>
      <c r="C28" s="405">
        <v>45522.61413194444</v>
      </c>
      <c r="D28" s="248" t="s">
        <v>777</v>
      </c>
      <c r="E28" s="261" t="s">
        <v>717</v>
      </c>
      <c r="F28" s="406">
        <v>9.0</v>
      </c>
      <c r="G28" s="406">
        <v>10.0</v>
      </c>
      <c r="H28" s="406">
        <v>10.0</v>
      </c>
      <c r="I28" s="406">
        <v>10.0</v>
      </c>
      <c r="J28" s="406" t="s">
        <v>962</v>
      </c>
      <c r="K28" s="406">
        <v>10.0</v>
      </c>
      <c r="L28" s="406">
        <v>10.0</v>
      </c>
      <c r="M28" s="406">
        <v>10.0</v>
      </c>
      <c r="N28" s="406">
        <v>10.0</v>
      </c>
      <c r="O28" s="406" t="s">
        <v>962</v>
      </c>
      <c r="P28" s="406">
        <v>8.0</v>
      </c>
      <c r="Q28" s="406">
        <v>10.0</v>
      </c>
      <c r="R28" s="406">
        <v>10.0</v>
      </c>
      <c r="S28" s="406">
        <v>10.0</v>
      </c>
      <c r="T28" s="406" t="s">
        <v>962</v>
      </c>
      <c r="U28" s="406">
        <v>7.0</v>
      </c>
      <c r="V28" s="406">
        <v>7.0</v>
      </c>
      <c r="W28" s="406">
        <v>10.0</v>
      </c>
      <c r="X28" s="406">
        <v>10.0</v>
      </c>
      <c r="Y28" s="406" t="s">
        <v>962</v>
      </c>
      <c r="Z28" s="407"/>
      <c r="AA28" s="407"/>
      <c r="AB28" s="9" t="s">
        <v>39</v>
      </c>
      <c r="AC28" s="10" t="b">
        <v>1</v>
      </c>
      <c r="AD28" s="10"/>
      <c r="AE28" s="10"/>
      <c r="AF28" s="408">
        <f t="shared" si="1"/>
        <v>9.4375</v>
      </c>
    </row>
    <row r="29">
      <c r="A29" s="404" t="s">
        <v>963</v>
      </c>
      <c r="B29" s="261" t="s">
        <v>964</v>
      </c>
      <c r="C29" s="405">
        <v>45522.62021990741</v>
      </c>
      <c r="D29" s="248" t="s">
        <v>781</v>
      </c>
      <c r="E29" s="261" t="s">
        <v>717</v>
      </c>
      <c r="F29" s="406">
        <v>10.0</v>
      </c>
      <c r="G29" s="406">
        <v>10.0</v>
      </c>
      <c r="H29" s="406">
        <v>10.0</v>
      </c>
      <c r="I29" s="406">
        <v>10.0</v>
      </c>
      <c r="J29" s="406" t="s">
        <v>965</v>
      </c>
      <c r="K29" s="406">
        <v>10.0</v>
      </c>
      <c r="L29" s="406">
        <v>10.0</v>
      </c>
      <c r="M29" s="406">
        <v>10.0</v>
      </c>
      <c r="N29" s="406">
        <v>9.0</v>
      </c>
      <c r="O29" s="406" t="s">
        <v>966</v>
      </c>
      <c r="P29" s="406">
        <v>8.0</v>
      </c>
      <c r="Q29" s="406">
        <v>8.0</v>
      </c>
      <c r="R29" s="406">
        <v>8.0</v>
      </c>
      <c r="S29" s="406">
        <v>10.0</v>
      </c>
      <c r="T29" s="406" t="s">
        <v>967</v>
      </c>
      <c r="U29" s="406">
        <v>7.0</v>
      </c>
      <c r="V29" s="406">
        <v>7.0</v>
      </c>
      <c r="W29" s="406">
        <v>8.0</v>
      </c>
      <c r="X29" s="406">
        <v>10.0</v>
      </c>
      <c r="Y29" s="406" t="s">
        <v>968</v>
      </c>
      <c r="Z29" s="406" t="s">
        <v>969</v>
      </c>
      <c r="AA29" s="407"/>
      <c r="AB29" s="9" t="s">
        <v>39</v>
      </c>
      <c r="AC29" s="10" t="b">
        <v>1</v>
      </c>
      <c r="AD29" s="10"/>
      <c r="AE29" s="10"/>
      <c r="AF29" s="408">
        <f t="shared" si="1"/>
        <v>9.0625</v>
      </c>
    </row>
    <row r="30">
      <c r="A30" s="404" t="s">
        <v>970</v>
      </c>
      <c r="B30" s="261" t="s">
        <v>971</v>
      </c>
      <c r="C30" s="405">
        <v>45522.62305555555</v>
      </c>
      <c r="D30" s="248" t="s">
        <v>972</v>
      </c>
      <c r="E30" s="261" t="s">
        <v>530</v>
      </c>
      <c r="F30" s="406">
        <v>9.0</v>
      </c>
      <c r="G30" s="406">
        <v>9.0</v>
      </c>
      <c r="H30" s="406">
        <v>9.0</v>
      </c>
      <c r="I30" s="406">
        <v>9.0</v>
      </c>
      <c r="J30" s="406" t="s">
        <v>38</v>
      </c>
      <c r="K30" s="406">
        <v>9.0</v>
      </c>
      <c r="L30" s="406">
        <v>9.0</v>
      </c>
      <c r="M30" s="406">
        <v>9.0</v>
      </c>
      <c r="N30" s="406">
        <v>9.0</v>
      </c>
      <c r="O30" s="406" t="s">
        <v>38</v>
      </c>
      <c r="P30" s="406">
        <v>8.0</v>
      </c>
      <c r="Q30" s="406">
        <v>9.0</v>
      </c>
      <c r="R30" s="406">
        <v>9.0</v>
      </c>
      <c r="S30" s="406">
        <v>9.0</v>
      </c>
      <c r="T30" s="406" t="s">
        <v>38</v>
      </c>
      <c r="U30" s="406">
        <v>6.0</v>
      </c>
      <c r="V30" s="406">
        <v>7.0</v>
      </c>
      <c r="W30" s="406">
        <v>7.0</v>
      </c>
      <c r="X30" s="406">
        <v>9.0</v>
      </c>
      <c r="Y30" s="406" t="s">
        <v>973</v>
      </c>
      <c r="Z30" s="407"/>
      <c r="AA30" s="407"/>
      <c r="AB30" s="9" t="s">
        <v>39</v>
      </c>
      <c r="AC30" s="10" t="b">
        <v>1</v>
      </c>
      <c r="AD30" s="10"/>
      <c r="AE30" s="10"/>
      <c r="AF30" s="408">
        <f t="shared" si="1"/>
        <v>8.5</v>
      </c>
    </row>
    <row r="31">
      <c r="A31" s="404" t="s">
        <v>974</v>
      </c>
      <c r="B31" s="261" t="s">
        <v>975</v>
      </c>
      <c r="C31" s="405">
        <v>45522.627280092594</v>
      </c>
      <c r="D31" s="248" t="s">
        <v>306</v>
      </c>
      <c r="E31" s="261" t="s">
        <v>530</v>
      </c>
      <c r="F31" s="406">
        <v>8.0</v>
      </c>
      <c r="G31" s="406">
        <v>8.0</v>
      </c>
      <c r="H31" s="406">
        <v>9.0</v>
      </c>
      <c r="I31" s="406">
        <v>9.0</v>
      </c>
      <c r="J31" s="406" t="s">
        <v>38</v>
      </c>
      <c r="K31" s="406">
        <v>9.0</v>
      </c>
      <c r="L31" s="406">
        <v>9.0</v>
      </c>
      <c r="M31" s="406">
        <v>9.0</v>
      </c>
      <c r="N31" s="406">
        <v>9.0</v>
      </c>
      <c r="O31" s="406" t="s">
        <v>38</v>
      </c>
      <c r="P31" s="406">
        <v>9.0</v>
      </c>
      <c r="Q31" s="406">
        <v>9.0</v>
      </c>
      <c r="R31" s="406">
        <v>10.0</v>
      </c>
      <c r="S31" s="406">
        <v>10.0</v>
      </c>
      <c r="T31" s="406" t="s">
        <v>976</v>
      </c>
      <c r="U31" s="406">
        <v>9.0</v>
      </c>
      <c r="V31" s="406">
        <v>9.0</v>
      </c>
      <c r="W31" s="406">
        <v>9.0</v>
      </c>
      <c r="X31" s="406">
        <v>9.0</v>
      </c>
      <c r="Y31" s="406" t="s">
        <v>977</v>
      </c>
      <c r="Z31" s="406" t="s">
        <v>978</v>
      </c>
      <c r="AA31" s="407"/>
      <c r="AB31" s="9" t="s">
        <v>39</v>
      </c>
      <c r="AC31" s="10" t="b">
        <v>1</v>
      </c>
      <c r="AD31" s="10"/>
      <c r="AE31" s="10"/>
      <c r="AF31" s="408">
        <f t="shared" si="1"/>
        <v>9</v>
      </c>
    </row>
    <row r="32">
      <c r="A32" s="404" t="s">
        <v>979</v>
      </c>
      <c r="B32" s="261" t="s">
        <v>980</v>
      </c>
      <c r="C32" s="405">
        <v>45522.63297453704</v>
      </c>
      <c r="D32" s="248" t="s">
        <v>779</v>
      </c>
      <c r="E32" s="261" t="s">
        <v>530</v>
      </c>
      <c r="F32" s="406">
        <v>6.0</v>
      </c>
      <c r="G32" s="406">
        <v>6.0</v>
      </c>
      <c r="H32" s="406">
        <v>6.0</v>
      </c>
      <c r="I32" s="406">
        <v>5.0</v>
      </c>
      <c r="J32" s="406" t="s">
        <v>981</v>
      </c>
      <c r="K32" s="406">
        <v>7.0</v>
      </c>
      <c r="L32" s="406">
        <v>7.0</v>
      </c>
      <c r="M32" s="406">
        <v>7.0</v>
      </c>
      <c r="N32" s="406">
        <v>7.0</v>
      </c>
      <c r="O32" s="406" t="s">
        <v>982</v>
      </c>
      <c r="P32" s="406">
        <v>7.0</v>
      </c>
      <c r="Q32" s="406">
        <v>7.0</v>
      </c>
      <c r="R32" s="406">
        <v>7.0</v>
      </c>
      <c r="S32" s="406">
        <v>6.0</v>
      </c>
      <c r="T32" s="406" t="s">
        <v>983</v>
      </c>
      <c r="U32" s="406">
        <v>4.0</v>
      </c>
      <c r="V32" s="406">
        <v>4.0</v>
      </c>
      <c r="W32" s="406">
        <v>5.0</v>
      </c>
      <c r="X32" s="406">
        <v>5.0</v>
      </c>
      <c r="Y32" s="406" t="s">
        <v>984</v>
      </c>
      <c r="Z32" s="406" t="s">
        <v>985</v>
      </c>
      <c r="AA32" s="407"/>
      <c r="AB32" s="9" t="s">
        <v>39</v>
      </c>
      <c r="AC32" s="10" t="b">
        <v>1</v>
      </c>
      <c r="AD32" s="10"/>
      <c r="AE32" s="10"/>
      <c r="AF32" s="408">
        <f t="shared" si="1"/>
        <v>6</v>
      </c>
    </row>
    <row r="33">
      <c r="A33" s="404" t="s">
        <v>986</v>
      </c>
      <c r="B33" s="261" t="s">
        <v>987</v>
      </c>
      <c r="C33" s="405">
        <v>45522.633622685185</v>
      </c>
      <c r="D33" s="248" t="s">
        <v>988</v>
      </c>
      <c r="E33" s="261" t="s">
        <v>777</v>
      </c>
      <c r="F33" s="406">
        <v>8.0</v>
      </c>
      <c r="G33" s="406">
        <v>8.0</v>
      </c>
      <c r="H33" s="406">
        <v>9.0</v>
      </c>
      <c r="I33" s="406">
        <v>8.0</v>
      </c>
      <c r="J33" s="406" t="s">
        <v>989</v>
      </c>
      <c r="K33" s="406">
        <v>9.0</v>
      </c>
      <c r="L33" s="406">
        <v>9.0</v>
      </c>
      <c r="M33" s="406">
        <v>9.0</v>
      </c>
      <c r="N33" s="406">
        <v>7.0</v>
      </c>
      <c r="O33" s="406" t="s">
        <v>990</v>
      </c>
      <c r="P33" s="406">
        <v>8.0</v>
      </c>
      <c r="Q33" s="406">
        <v>9.0</v>
      </c>
      <c r="R33" s="406">
        <v>9.0</v>
      </c>
      <c r="S33" s="406">
        <v>9.0</v>
      </c>
      <c r="T33" s="406" t="s">
        <v>991</v>
      </c>
      <c r="U33" s="406">
        <v>8.0</v>
      </c>
      <c r="V33" s="406">
        <v>8.0</v>
      </c>
      <c r="W33" s="406">
        <v>9.0</v>
      </c>
      <c r="X33" s="406">
        <v>9.0</v>
      </c>
      <c r="Y33" s="406" t="s">
        <v>992</v>
      </c>
      <c r="Z33" s="406" t="s">
        <v>993</v>
      </c>
      <c r="AA33" s="406" t="s">
        <v>994</v>
      </c>
      <c r="AB33" s="9" t="s">
        <v>39</v>
      </c>
      <c r="AC33" s="10" t="b">
        <v>1</v>
      </c>
      <c r="AD33" s="10"/>
      <c r="AE33" s="10"/>
      <c r="AF33" s="408">
        <f t="shared" si="1"/>
        <v>8.5</v>
      </c>
    </row>
    <row r="34">
      <c r="A34" s="404" t="s">
        <v>995</v>
      </c>
      <c r="B34" s="261" t="s">
        <v>996</v>
      </c>
      <c r="C34" s="405">
        <v>45522.6428125</v>
      </c>
      <c r="D34" s="248" t="s">
        <v>997</v>
      </c>
      <c r="E34" s="261" t="s">
        <v>248</v>
      </c>
      <c r="F34" s="406">
        <v>8.0</v>
      </c>
      <c r="G34" s="406">
        <v>8.0</v>
      </c>
      <c r="H34" s="406">
        <v>8.0</v>
      </c>
      <c r="I34" s="406">
        <v>8.0</v>
      </c>
      <c r="J34" s="406" t="s">
        <v>998</v>
      </c>
      <c r="K34" s="406">
        <v>8.0</v>
      </c>
      <c r="L34" s="406">
        <v>8.0</v>
      </c>
      <c r="M34" s="406">
        <v>9.0</v>
      </c>
      <c r="N34" s="406">
        <v>8.0</v>
      </c>
      <c r="O34" s="406" t="s">
        <v>999</v>
      </c>
      <c r="P34" s="406">
        <v>8.0</v>
      </c>
      <c r="Q34" s="406">
        <v>8.0</v>
      </c>
      <c r="R34" s="406">
        <v>8.0</v>
      </c>
      <c r="S34" s="406">
        <v>8.0</v>
      </c>
      <c r="T34" s="406" t="s">
        <v>1000</v>
      </c>
      <c r="U34" s="406">
        <v>8.0</v>
      </c>
      <c r="V34" s="406">
        <v>8.0</v>
      </c>
      <c r="W34" s="406">
        <v>8.0</v>
      </c>
      <c r="X34" s="406">
        <v>8.0</v>
      </c>
      <c r="Y34" s="406" t="s">
        <v>38</v>
      </c>
      <c r="Z34" s="406" t="s">
        <v>1001</v>
      </c>
      <c r="AA34" s="407"/>
      <c r="AB34" s="9" t="s">
        <v>39</v>
      </c>
      <c r="AC34" s="10" t="b">
        <v>1</v>
      </c>
      <c r="AD34" s="10"/>
      <c r="AE34" s="10"/>
      <c r="AF34" s="408">
        <f t="shared" si="1"/>
        <v>8.0625</v>
      </c>
    </row>
    <row r="35">
      <c r="A35" s="404" t="s">
        <v>1002</v>
      </c>
      <c r="B35" s="261" t="s">
        <v>1003</v>
      </c>
      <c r="C35" s="405">
        <v>45522.665358796294</v>
      </c>
      <c r="D35" s="248" t="s">
        <v>780</v>
      </c>
      <c r="E35" s="261" t="s">
        <v>248</v>
      </c>
      <c r="F35" s="406">
        <v>10.0</v>
      </c>
      <c r="G35" s="406">
        <v>5.0</v>
      </c>
      <c r="H35" s="406">
        <v>4.0</v>
      </c>
      <c r="I35" s="406">
        <v>4.0</v>
      </c>
      <c r="J35" s="406" t="s">
        <v>1004</v>
      </c>
      <c r="K35" s="406">
        <v>4.0</v>
      </c>
      <c r="L35" s="406">
        <v>4.0</v>
      </c>
      <c r="M35" s="406">
        <v>10.0</v>
      </c>
      <c r="N35" s="406">
        <v>6.0</v>
      </c>
      <c r="O35" s="406" t="s">
        <v>1005</v>
      </c>
      <c r="P35" s="406">
        <v>6.0</v>
      </c>
      <c r="Q35" s="406">
        <v>6.0</v>
      </c>
      <c r="R35" s="406">
        <v>3.0</v>
      </c>
      <c r="S35" s="406">
        <v>6.0</v>
      </c>
      <c r="T35" s="406" t="s">
        <v>1006</v>
      </c>
      <c r="U35" s="406">
        <v>10.0</v>
      </c>
      <c r="V35" s="406">
        <v>6.0</v>
      </c>
      <c r="W35" s="406">
        <v>7.0</v>
      </c>
      <c r="X35" s="406">
        <v>5.0</v>
      </c>
      <c r="Y35" s="406" t="s">
        <v>86</v>
      </c>
      <c r="Z35" s="406" t="s">
        <v>1007</v>
      </c>
      <c r="AA35" s="406" t="s">
        <v>1008</v>
      </c>
      <c r="AB35" s="9" t="s">
        <v>39</v>
      </c>
      <c r="AC35" s="10" t="b">
        <v>1</v>
      </c>
      <c r="AD35" s="10"/>
      <c r="AE35" s="10"/>
      <c r="AF35" s="408">
        <f t="shared" si="1"/>
        <v>6</v>
      </c>
    </row>
    <row r="36">
      <c r="A36" s="404" t="s">
        <v>1009</v>
      </c>
      <c r="B36" s="261" t="s">
        <v>1010</v>
      </c>
      <c r="C36" s="405">
        <v>45522.68268518519</v>
      </c>
      <c r="D36" s="248" t="s">
        <v>143</v>
      </c>
      <c r="E36" s="261" t="s">
        <v>248</v>
      </c>
      <c r="F36" s="406">
        <v>3.0</v>
      </c>
      <c r="G36" s="406">
        <v>2.0</v>
      </c>
      <c r="H36" s="406">
        <v>4.0</v>
      </c>
      <c r="I36" s="406">
        <v>1.0</v>
      </c>
      <c r="J36" s="406" t="s">
        <v>1011</v>
      </c>
      <c r="K36" s="406">
        <v>10.0</v>
      </c>
      <c r="L36" s="406">
        <v>2.0</v>
      </c>
      <c r="M36" s="406">
        <v>6.0</v>
      </c>
      <c r="N36" s="406">
        <v>10.0</v>
      </c>
      <c r="O36" s="406" t="s">
        <v>1012</v>
      </c>
      <c r="P36" s="406">
        <v>5.0</v>
      </c>
      <c r="Q36" s="406">
        <v>2.0</v>
      </c>
      <c r="R36" s="406">
        <v>3.0</v>
      </c>
      <c r="S36" s="406">
        <v>6.0</v>
      </c>
      <c r="T36" s="406" t="s">
        <v>86</v>
      </c>
      <c r="U36" s="406">
        <v>5.0</v>
      </c>
      <c r="V36" s="406">
        <v>8.0</v>
      </c>
      <c r="W36" s="406">
        <v>5.0</v>
      </c>
      <c r="X36" s="406">
        <v>5.0</v>
      </c>
      <c r="Y36" s="406" t="s">
        <v>1013</v>
      </c>
      <c r="Z36" s="406" t="s">
        <v>1014</v>
      </c>
      <c r="AA36" s="406" t="s">
        <v>1015</v>
      </c>
      <c r="AB36" s="9" t="s">
        <v>39</v>
      </c>
      <c r="AC36" s="10" t="b">
        <v>1</v>
      </c>
      <c r="AD36" s="10"/>
      <c r="AE36" s="10"/>
      <c r="AF36" s="408">
        <f t="shared" si="1"/>
        <v>4.8125</v>
      </c>
    </row>
    <row r="37">
      <c r="A37" s="404" t="s">
        <v>1016</v>
      </c>
      <c r="B37" s="261" t="s">
        <v>1010</v>
      </c>
      <c r="C37" s="405">
        <v>45522.68430555556</v>
      </c>
      <c r="D37" s="248" t="s">
        <v>1017</v>
      </c>
      <c r="E37" s="261" t="s">
        <v>771</v>
      </c>
      <c r="F37" s="406">
        <v>9.0</v>
      </c>
      <c r="G37" s="406">
        <v>9.0</v>
      </c>
      <c r="H37" s="406">
        <v>9.0</v>
      </c>
      <c r="I37" s="406">
        <v>9.0</v>
      </c>
      <c r="J37" s="406" t="s">
        <v>1018</v>
      </c>
      <c r="K37" s="406">
        <v>9.0</v>
      </c>
      <c r="L37" s="406">
        <v>9.0</v>
      </c>
      <c r="M37" s="406">
        <v>9.0</v>
      </c>
      <c r="N37" s="406">
        <v>9.0</v>
      </c>
      <c r="O37" s="406" t="s">
        <v>1019</v>
      </c>
      <c r="P37" s="406">
        <v>9.0</v>
      </c>
      <c r="Q37" s="406">
        <v>9.0</v>
      </c>
      <c r="R37" s="406">
        <v>9.0</v>
      </c>
      <c r="S37" s="406">
        <v>9.0</v>
      </c>
      <c r="T37" s="406" t="s">
        <v>1020</v>
      </c>
      <c r="U37" s="406">
        <v>9.0</v>
      </c>
      <c r="V37" s="406">
        <v>9.0</v>
      </c>
      <c r="W37" s="406">
        <v>9.0</v>
      </c>
      <c r="X37" s="406">
        <v>9.0</v>
      </c>
      <c r="Y37" s="406" t="s">
        <v>1021</v>
      </c>
      <c r="Z37" s="406" t="s">
        <v>1022</v>
      </c>
      <c r="AA37" s="406" t="s">
        <v>1023</v>
      </c>
      <c r="AB37" s="9" t="s">
        <v>39</v>
      </c>
      <c r="AC37" s="10" t="b">
        <v>1</v>
      </c>
      <c r="AD37" s="10"/>
      <c r="AE37" s="10"/>
      <c r="AF37" s="408">
        <f t="shared" si="1"/>
        <v>9</v>
      </c>
    </row>
    <row r="38">
      <c r="A38" s="404" t="s">
        <v>1024</v>
      </c>
      <c r="B38" s="261" t="s">
        <v>1025</v>
      </c>
      <c r="C38" s="405">
        <v>45522.686423611114</v>
      </c>
      <c r="D38" s="248" t="s">
        <v>1026</v>
      </c>
      <c r="E38" s="261" t="s">
        <v>771</v>
      </c>
      <c r="F38" s="406">
        <v>10.0</v>
      </c>
      <c r="G38" s="406">
        <v>10.0</v>
      </c>
      <c r="H38" s="406">
        <v>9.0</v>
      </c>
      <c r="I38" s="406">
        <v>9.0</v>
      </c>
      <c r="J38" s="406" t="s">
        <v>1027</v>
      </c>
      <c r="K38" s="406">
        <v>8.0</v>
      </c>
      <c r="L38" s="406">
        <v>10.0</v>
      </c>
      <c r="M38" s="406">
        <v>10.0</v>
      </c>
      <c r="N38" s="406">
        <v>8.0</v>
      </c>
      <c r="O38" s="406" t="s">
        <v>1028</v>
      </c>
      <c r="P38" s="406">
        <v>8.0</v>
      </c>
      <c r="Q38" s="406">
        <v>10.0</v>
      </c>
      <c r="R38" s="406">
        <v>10.0</v>
      </c>
      <c r="S38" s="406">
        <v>10.0</v>
      </c>
      <c r="T38" s="406" t="s">
        <v>1029</v>
      </c>
      <c r="U38" s="406">
        <v>8.0</v>
      </c>
      <c r="V38" s="406">
        <v>10.0</v>
      </c>
      <c r="W38" s="406">
        <v>10.0</v>
      </c>
      <c r="X38" s="406">
        <v>8.0</v>
      </c>
      <c r="Y38" s="406" t="s">
        <v>1030</v>
      </c>
      <c r="Z38" s="406" t="s">
        <v>1031</v>
      </c>
      <c r="AA38" s="407"/>
      <c r="AB38" s="9" t="s">
        <v>39</v>
      </c>
      <c r="AC38" s="10" t="b">
        <v>1</v>
      </c>
      <c r="AD38" s="10"/>
      <c r="AE38" s="10"/>
      <c r="AF38" s="408">
        <f t="shared" si="1"/>
        <v>9.25</v>
      </c>
    </row>
    <row r="39">
      <c r="A39" s="404" t="s">
        <v>1032</v>
      </c>
      <c r="B39" s="261" t="s">
        <v>1033</v>
      </c>
      <c r="C39" s="405">
        <v>45522.73458333333</v>
      </c>
      <c r="D39" s="248" t="s">
        <v>1034</v>
      </c>
      <c r="E39" s="261" t="s">
        <v>720</v>
      </c>
      <c r="F39" s="406">
        <v>9.0</v>
      </c>
      <c r="G39" s="406">
        <v>10.0</v>
      </c>
      <c r="H39" s="406">
        <v>9.0</v>
      </c>
      <c r="I39" s="406">
        <v>10.0</v>
      </c>
      <c r="J39" s="406" t="s">
        <v>1035</v>
      </c>
      <c r="K39" s="406">
        <v>9.0</v>
      </c>
      <c r="L39" s="406">
        <v>10.0</v>
      </c>
      <c r="M39" s="406">
        <v>9.0</v>
      </c>
      <c r="N39" s="406">
        <v>10.0</v>
      </c>
      <c r="O39" s="406" t="s">
        <v>1036</v>
      </c>
      <c r="P39" s="406">
        <v>9.0</v>
      </c>
      <c r="Q39" s="406">
        <v>10.0</v>
      </c>
      <c r="R39" s="406">
        <v>9.0</v>
      </c>
      <c r="S39" s="406">
        <v>10.0</v>
      </c>
      <c r="T39" s="406" t="s">
        <v>1037</v>
      </c>
      <c r="U39" s="406">
        <v>9.0</v>
      </c>
      <c r="V39" s="406">
        <v>9.0</v>
      </c>
      <c r="W39" s="406">
        <v>9.0</v>
      </c>
      <c r="X39" s="406">
        <v>9.0</v>
      </c>
      <c r="Y39" s="406" t="s">
        <v>1038</v>
      </c>
      <c r="Z39" s="407"/>
      <c r="AA39" s="407"/>
      <c r="AB39" s="9" t="s">
        <v>39</v>
      </c>
      <c r="AC39" s="10" t="b">
        <v>1</v>
      </c>
      <c r="AD39" s="10"/>
      <c r="AE39" s="10"/>
      <c r="AF39" s="408">
        <f t="shared" si="1"/>
        <v>9.375</v>
      </c>
    </row>
    <row r="40">
      <c r="A40" s="404" t="s">
        <v>1039</v>
      </c>
      <c r="B40" s="261" t="s">
        <v>340</v>
      </c>
      <c r="C40" s="405">
        <v>45522.77438657408</v>
      </c>
      <c r="D40" s="248" t="s">
        <v>1040</v>
      </c>
      <c r="E40" s="261" t="s">
        <v>720</v>
      </c>
      <c r="F40" s="406">
        <v>10.0</v>
      </c>
      <c r="G40" s="406">
        <v>9.0</v>
      </c>
      <c r="H40" s="406">
        <v>10.0</v>
      </c>
      <c r="I40" s="406">
        <v>9.0</v>
      </c>
      <c r="J40" s="406" t="s">
        <v>553</v>
      </c>
      <c r="K40" s="406">
        <v>9.0</v>
      </c>
      <c r="L40" s="406">
        <v>9.0</v>
      </c>
      <c r="M40" s="406">
        <v>10.0</v>
      </c>
      <c r="N40" s="406">
        <v>10.0</v>
      </c>
      <c r="O40" s="406" t="s">
        <v>553</v>
      </c>
      <c r="P40" s="406">
        <v>10.0</v>
      </c>
      <c r="Q40" s="406">
        <v>10.0</v>
      </c>
      <c r="R40" s="406">
        <v>10.0</v>
      </c>
      <c r="S40" s="406">
        <v>9.0</v>
      </c>
      <c r="T40" s="406" t="s">
        <v>553</v>
      </c>
      <c r="U40" s="406">
        <v>8.0</v>
      </c>
      <c r="V40" s="406">
        <v>9.0</v>
      </c>
      <c r="W40" s="406">
        <v>9.0</v>
      </c>
      <c r="X40" s="406">
        <v>10.0</v>
      </c>
      <c r="Y40" s="406" t="s">
        <v>553</v>
      </c>
      <c r="Z40" s="406" t="s">
        <v>553</v>
      </c>
      <c r="AA40" s="406" t="s">
        <v>553</v>
      </c>
      <c r="AB40" s="9" t="s">
        <v>39</v>
      </c>
      <c r="AC40" s="10" t="b">
        <v>1</v>
      </c>
      <c r="AD40" s="10"/>
      <c r="AE40" s="10"/>
      <c r="AF40" s="408">
        <f t="shared" si="1"/>
        <v>9.4375</v>
      </c>
    </row>
    <row r="41">
      <c r="A41" s="404" t="s">
        <v>1041</v>
      </c>
      <c r="B41" s="261" t="s">
        <v>1042</v>
      </c>
      <c r="C41" s="405">
        <v>45522.80025462963</v>
      </c>
      <c r="D41" s="248" t="s">
        <v>720</v>
      </c>
      <c r="E41" s="261" t="s">
        <v>109</v>
      </c>
      <c r="F41" s="406">
        <v>9.0</v>
      </c>
      <c r="G41" s="406">
        <v>9.0</v>
      </c>
      <c r="H41" s="406">
        <v>9.0</v>
      </c>
      <c r="I41" s="406">
        <v>8.0</v>
      </c>
      <c r="J41" s="406" t="s">
        <v>1043</v>
      </c>
      <c r="K41" s="406">
        <v>10.0</v>
      </c>
      <c r="L41" s="406">
        <v>9.0</v>
      </c>
      <c r="M41" s="406">
        <v>9.0</v>
      </c>
      <c r="N41" s="406">
        <v>10.0</v>
      </c>
      <c r="O41" s="406" t="s">
        <v>1044</v>
      </c>
      <c r="P41" s="406">
        <v>10.0</v>
      </c>
      <c r="Q41" s="406">
        <v>10.0</v>
      </c>
      <c r="R41" s="406">
        <v>9.0</v>
      </c>
      <c r="S41" s="406">
        <v>9.0</v>
      </c>
      <c r="T41" s="406" t="s">
        <v>65</v>
      </c>
      <c r="U41" s="406">
        <v>8.0</v>
      </c>
      <c r="V41" s="406">
        <v>8.0</v>
      </c>
      <c r="W41" s="406">
        <v>8.0</v>
      </c>
      <c r="X41" s="406">
        <v>9.0</v>
      </c>
      <c r="Y41" s="406" t="s">
        <v>65</v>
      </c>
      <c r="Z41" s="406" t="s">
        <v>65</v>
      </c>
      <c r="AA41" s="406" t="s">
        <v>65</v>
      </c>
      <c r="AB41" s="9" t="s">
        <v>39</v>
      </c>
      <c r="AC41" s="10" t="b">
        <v>1</v>
      </c>
      <c r="AD41" s="10"/>
      <c r="AE41" s="10"/>
      <c r="AF41" s="408">
        <f t="shared" si="1"/>
        <v>9</v>
      </c>
    </row>
    <row r="42">
      <c r="A42" s="404" t="s">
        <v>1045</v>
      </c>
      <c r="B42" s="261" t="s">
        <v>1046</v>
      </c>
      <c r="C42" s="405">
        <v>45522.831608796296</v>
      </c>
      <c r="D42" s="248" t="s">
        <v>33</v>
      </c>
      <c r="E42" s="261" t="s">
        <v>109</v>
      </c>
      <c r="F42" s="406">
        <v>7.0</v>
      </c>
      <c r="G42" s="406">
        <v>7.0</v>
      </c>
      <c r="H42" s="406">
        <v>10.0</v>
      </c>
      <c r="I42" s="406">
        <v>8.0</v>
      </c>
      <c r="J42" s="406" t="s">
        <v>1047</v>
      </c>
      <c r="K42" s="406">
        <v>10.0</v>
      </c>
      <c r="L42" s="406">
        <v>10.0</v>
      </c>
      <c r="M42" s="406">
        <v>10.0</v>
      </c>
      <c r="N42" s="406">
        <v>8.0</v>
      </c>
      <c r="O42" s="406" t="s">
        <v>1048</v>
      </c>
      <c r="P42" s="406">
        <v>10.0</v>
      </c>
      <c r="Q42" s="406">
        <v>9.0</v>
      </c>
      <c r="R42" s="406">
        <v>10.0</v>
      </c>
      <c r="S42" s="406">
        <v>8.0</v>
      </c>
      <c r="T42" s="406" t="s">
        <v>1049</v>
      </c>
      <c r="U42" s="406">
        <v>7.0</v>
      </c>
      <c r="V42" s="406">
        <v>10.0</v>
      </c>
      <c r="W42" s="406">
        <v>8.0</v>
      </c>
      <c r="X42" s="406">
        <v>10.0</v>
      </c>
      <c r="Y42" s="406" t="s">
        <v>1050</v>
      </c>
      <c r="Z42" s="406" t="s">
        <v>1051</v>
      </c>
      <c r="AA42" s="406" t="s">
        <v>86</v>
      </c>
      <c r="AB42" s="9" t="s">
        <v>39</v>
      </c>
      <c r="AC42" s="10" t="b">
        <v>1</v>
      </c>
      <c r="AD42" s="10"/>
      <c r="AE42" s="10"/>
      <c r="AF42" s="408">
        <f t="shared" si="1"/>
        <v>8.875</v>
      </c>
    </row>
    <row r="43">
      <c r="A43" s="404" t="s">
        <v>1052</v>
      </c>
      <c r="B43" s="261" t="s">
        <v>1053</v>
      </c>
      <c r="C43" s="405">
        <v>45522.83660879629</v>
      </c>
      <c r="D43" s="248" t="s">
        <v>134</v>
      </c>
      <c r="E43" s="261" t="s">
        <v>109</v>
      </c>
      <c r="F43" s="406">
        <v>7.0</v>
      </c>
      <c r="G43" s="406">
        <v>9.0</v>
      </c>
      <c r="H43" s="406">
        <v>7.0</v>
      </c>
      <c r="I43" s="406">
        <v>10.0</v>
      </c>
      <c r="J43" s="406" t="s">
        <v>1054</v>
      </c>
      <c r="K43" s="406">
        <v>10.0</v>
      </c>
      <c r="L43" s="406">
        <v>10.0</v>
      </c>
      <c r="M43" s="406">
        <v>9.0</v>
      </c>
      <c r="N43" s="406">
        <v>10.0</v>
      </c>
      <c r="O43" s="406" t="s">
        <v>1055</v>
      </c>
      <c r="P43" s="406">
        <v>10.0</v>
      </c>
      <c r="Q43" s="406">
        <v>5.0</v>
      </c>
      <c r="R43" s="406">
        <v>10.0</v>
      </c>
      <c r="S43" s="406">
        <v>9.0</v>
      </c>
      <c r="T43" s="406" t="s">
        <v>1056</v>
      </c>
      <c r="U43" s="406">
        <v>6.0</v>
      </c>
      <c r="V43" s="406">
        <v>9.0</v>
      </c>
      <c r="W43" s="406">
        <v>10.0</v>
      </c>
      <c r="X43" s="406">
        <v>10.0</v>
      </c>
      <c r="Y43" s="406" t="s">
        <v>1057</v>
      </c>
      <c r="Z43" s="406" t="s">
        <v>1058</v>
      </c>
      <c r="AA43" s="407"/>
      <c r="AB43" s="9" t="s">
        <v>39</v>
      </c>
      <c r="AC43" s="10" t="b">
        <v>1</v>
      </c>
      <c r="AD43" s="10"/>
      <c r="AE43" s="10"/>
      <c r="AF43" s="408">
        <f t="shared" si="1"/>
        <v>8.8125</v>
      </c>
    </row>
    <row r="44">
      <c r="A44" s="404" t="s">
        <v>1059</v>
      </c>
      <c r="B44" s="261" t="s">
        <v>1060</v>
      </c>
      <c r="C44" s="405">
        <v>45522.98944444444</v>
      </c>
      <c r="D44" s="248" t="s">
        <v>783</v>
      </c>
      <c r="E44" s="261" t="s">
        <v>109</v>
      </c>
      <c r="F44" s="406">
        <v>6.0</v>
      </c>
      <c r="G44" s="406">
        <v>6.0</v>
      </c>
      <c r="H44" s="406">
        <v>8.0</v>
      </c>
      <c r="I44" s="406">
        <v>9.0</v>
      </c>
      <c r="J44" s="406" t="s">
        <v>38</v>
      </c>
      <c r="K44" s="406">
        <v>10.0</v>
      </c>
      <c r="L44" s="406">
        <v>10.0</v>
      </c>
      <c r="M44" s="406">
        <v>9.0</v>
      </c>
      <c r="N44" s="406">
        <v>8.0</v>
      </c>
      <c r="O44" s="406" t="s">
        <v>1061</v>
      </c>
      <c r="P44" s="406">
        <v>10.0</v>
      </c>
      <c r="Q44" s="406">
        <v>8.0</v>
      </c>
      <c r="R44" s="406">
        <v>8.0</v>
      </c>
      <c r="S44" s="406">
        <v>9.0</v>
      </c>
      <c r="T44" s="406" t="s">
        <v>1061</v>
      </c>
      <c r="U44" s="406">
        <v>7.0</v>
      </c>
      <c r="V44" s="406">
        <v>6.0</v>
      </c>
      <c r="W44" s="406">
        <v>6.0</v>
      </c>
      <c r="X44" s="406">
        <v>8.0</v>
      </c>
      <c r="Y44" s="406" t="s">
        <v>1061</v>
      </c>
      <c r="Z44" s="407"/>
      <c r="AA44" s="407"/>
      <c r="AB44" s="9" t="s">
        <v>39</v>
      </c>
      <c r="AC44" s="10" t="b">
        <v>1</v>
      </c>
      <c r="AD44" s="10"/>
      <c r="AE44" s="10"/>
      <c r="AF44" s="408">
        <f t="shared" si="1"/>
        <v>8</v>
      </c>
    </row>
    <row r="45">
      <c r="A45" s="404" t="s">
        <v>1062</v>
      </c>
      <c r="B45" s="261" t="s">
        <v>1063</v>
      </c>
      <c r="C45" s="405">
        <v>45523.136145833334</v>
      </c>
      <c r="D45" s="248" t="s">
        <v>717</v>
      </c>
      <c r="E45" s="261" t="s">
        <v>109</v>
      </c>
      <c r="F45" s="406">
        <v>8.0</v>
      </c>
      <c r="G45" s="406">
        <v>8.0</v>
      </c>
      <c r="H45" s="406">
        <v>9.0</v>
      </c>
      <c r="I45" s="406">
        <v>6.0</v>
      </c>
      <c r="J45" s="406" t="s">
        <v>1064</v>
      </c>
      <c r="K45" s="406">
        <v>9.0</v>
      </c>
      <c r="L45" s="406">
        <v>8.0</v>
      </c>
      <c r="M45" s="406">
        <v>9.0</v>
      </c>
      <c r="N45" s="406">
        <v>8.0</v>
      </c>
      <c r="O45" s="406" t="s">
        <v>1065</v>
      </c>
      <c r="P45" s="406">
        <v>6.0</v>
      </c>
      <c r="Q45" s="406">
        <v>8.0</v>
      </c>
      <c r="R45" s="406">
        <v>7.0</v>
      </c>
      <c r="S45" s="406">
        <v>7.0</v>
      </c>
      <c r="T45" s="406" t="s">
        <v>1066</v>
      </c>
      <c r="U45" s="406">
        <v>6.0</v>
      </c>
      <c r="V45" s="406">
        <v>7.0</v>
      </c>
      <c r="W45" s="406">
        <v>8.0</v>
      </c>
      <c r="X45" s="406">
        <v>9.0</v>
      </c>
      <c r="Y45" s="406" t="s">
        <v>1067</v>
      </c>
      <c r="Z45" s="406" t="s">
        <v>1068</v>
      </c>
      <c r="AA45" s="406" t="s">
        <v>38</v>
      </c>
      <c r="AB45" s="9" t="s">
        <v>39</v>
      </c>
      <c r="AC45" s="10" t="b">
        <v>1</v>
      </c>
      <c r="AD45" s="10"/>
      <c r="AE45" s="10"/>
      <c r="AF45" s="408">
        <f t="shared" si="1"/>
        <v>7.6875</v>
      </c>
    </row>
    <row r="46">
      <c r="A46" s="404" t="s">
        <v>1069</v>
      </c>
      <c r="B46" s="261" t="s">
        <v>440</v>
      </c>
      <c r="C46" s="405">
        <v>45523.19494212963</v>
      </c>
      <c r="D46" s="248" t="s">
        <v>1070</v>
      </c>
      <c r="E46" s="261" t="s">
        <v>109</v>
      </c>
      <c r="F46" s="406">
        <v>8.0</v>
      </c>
      <c r="G46" s="406">
        <v>7.0</v>
      </c>
      <c r="H46" s="406">
        <v>9.0</v>
      </c>
      <c r="I46" s="406">
        <v>10.0</v>
      </c>
      <c r="J46" s="406" t="s">
        <v>1071</v>
      </c>
      <c r="K46" s="406">
        <v>6.0</v>
      </c>
      <c r="L46" s="406">
        <v>6.0</v>
      </c>
      <c r="M46" s="406">
        <v>10.0</v>
      </c>
      <c r="N46" s="406">
        <v>7.0</v>
      </c>
      <c r="O46" s="406" t="s">
        <v>1072</v>
      </c>
      <c r="P46" s="406">
        <v>7.0</v>
      </c>
      <c r="Q46" s="406">
        <v>9.0</v>
      </c>
      <c r="R46" s="406">
        <v>8.0</v>
      </c>
      <c r="S46" s="406">
        <v>10.0</v>
      </c>
      <c r="T46" s="406" t="s">
        <v>1073</v>
      </c>
      <c r="U46" s="406">
        <v>6.0</v>
      </c>
      <c r="V46" s="406">
        <v>6.0</v>
      </c>
      <c r="W46" s="406">
        <v>6.0</v>
      </c>
      <c r="X46" s="406">
        <v>6.0</v>
      </c>
      <c r="Y46" s="406" t="s">
        <v>1074</v>
      </c>
      <c r="Z46" s="406" t="s">
        <v>1075</v>
      </c>
      <c r="AA46" s="406" t="s">
        <v>1076</v>
      </c>
      <c r="AB46" s="9" t="s">
        <v>39</v>
      </c>
      <c r="AC46" s="10" t="b">
        <v>1</v>
      </c>
      <c r="AD46" s="10"/>
      <c r="AE46" s="10"/>
      <c r="AF46" s="408">
        <f t="shared" si="1"/>
        <v>7.5625</v>
      </c>
    </row>
    <row r="47">
      <c r="A47" s="404" t="s">
        <v>1077</v>
      </c>
      <c r="B47" s="261" t="s">
        <v>440</v>
      </c>
      <c r="C47" s="405">
        <v>45523.20667824074</v>
      </c>
      <c r="D47" s="248" t="s">
        <v>242</v>
      </c>
      <c r="E47" s="261" t="s">
        <v>109</v>
      </c>
      <c r="F47" s="406">
        <v>7.0</v>
      </c>
      <c r="G47" s="406">
        <v>3.0</v>
      </c>
      <c r="H47" s="406">
        <v>8.0</v>
      </c>
      <c r="I47" s="406">
        <v>2.0</v>
      </c>
      <c r="J47" s="406" t="s">
        <v>1078</v>
      </c>
      <c r="K47" s="406">
        <v>8.0</v>
      </c>
      <c r="L47" s="406">
        <v>9.0</v>
      </c>
      <c r="M47" s="406">
        <v>9.0</v>
      </c>
      <c r="N47" s="406">
        <v>10.0</v>
      </c>
      <c r="O47" s="406" t="s">
        <v>1079</v>
      </c>
      <c r="P47" s="406">
        <v>3.0</v>
      </c>
      <c r="Q47" s="406">
        <v>6.0</v>
      </c>
      <c r="R47" s="406">
        <v>4.0</v>
      </c>
      <c r="S47" s="406">
        <v>3.0</v>
      </c>
      <c r="T47" s="406" t="s">
        <v>1080</v>
      </c>
      <c r="U47" s="406">
        <v>2.0</v>
      </c>
      <c r="V47" s="406">
        <v>3.0</v>
      </c>
      <c r="W47" s="406">
        <v>2.0</v>
      </c>
      <c r="X47" s="406">
        <v>3.0</v>
      </c>
      <c r="Y47" s="406" t="s">
        <v>1081</v>
      </c>
      <c r="Z47" s="406" t="s">
        <v>1082</v>
      </c>
      <c r="AA47" s="406" t="s">
        <v>1083</v>
      </c>
      <c r="AB47" s="9" t="s">
        <v>39</v>
      </c>
      <c r="AC47" s="10" t="b">
        <v>1</v>
      </c>
      <c r="AD47" s="10"/>
      <c r="AE47" s="10"/>
      <c r="AF47" s="408">
        <f t="shared" si="1"/>
        <v>5.125</v>
      </c>
    </row>
    <row r="48">
      <c r="A48" s="404" t="s">
        <v>1084</v>
      </c>
      <c r="B48" s="261" t="s">
        <v>1085</v>
      </c>
      <c r="C48" s="405">
        <v>45523.365752314814</v>
      </c>
      <c r="D48" s="248" t="s">
        <v>1086</v>
      </c>
      <c r="E48" s="261" t="s">
        <v>781</v>
      </c>
      <c r="F48" s="406">
        <v>9.0</v>
      </c>
      <c r="G48" s="406">
        <v>9.0</v>
      </c>
      <c r="H48" s="406">
        <v>9.0</v>
      </c>
      <c r="I48" s="406">
        <v>9.0</v>
      </c>
      <c r="J48" s="406" t="s">
        <v>1087</v>
      </c>
      <c r="K48" s="406">
        <v>9.0</v>
      </c>
      <c r="L48" s="406">
        <v>9.0</v>
      </c>
      <c r="M48" s="406">
        <v>9.0</v>
      </c>
      <c r="N48" s="406">
        <v>9.0</v>
      </c>
      <c r="O48" s="406" t="s">
        <v>1088</v>
      </c>
      <c r="P48" s="406">
        <v>9.0</v>
      </c>
      <c r="Q48" s="406">
        <v>9.0</v>
      </c>
      <c r="R48" s="406">
        <v>9.0</v>
      </c>
      <c r="S48" s="406">
        <v>9.0</v>
      </c>
      <c r="T48" s="406" t="s">
        <v>1089</v>
      </c>
      <c r="U48" s="406">
        <v>9.0</v>
      </c>
      <c r="V48" s="406">
        <v>9.0</v>
      </c>
      <c r="W48" s="406">
        <v>9.0</v>
      </c>
      <c r="X48" s="406">
        <v>9.0</v>
      </c>
      <c r="Y48" s="406" t="s">
        <v>1090</v>
      </c>
      <c r="Z48" s="406" t="s">
        <v>1091</v>
      </c>
      <c r="AA48" s="406" t="s">
        <v>1092</v>
      </c>
      <c r="AB48" s="9" t="s">
        <v>39</v>
      </c>
      <c r="AC48" s="10" t="b">
        <v>1</v>
      </c>
      <c r="AD48" s="10"/>
      <c r="AE48" s="10"/>
      <c r="AF48" s="408">
        <f t="shared" si="1"/>
        <v>9</v>
      </c>
    </row>
    <row r="49">
      <c r="A49" s="404" t="s">
        <v>1093</v>
      </c>
      <c r="B49" s="261" t="s">
        <v>1094</v>
      </c>
      <c r="C49" s="405">
        <v>45523.45936342593</v>
      </c>
      <c r="D49" s="248" t="s">
        <v>1095</v>
      </c>
      <c r="E49" s="261" t="s">
        <v>781</v>
      </c>
      <c r="F49" s="406">
        <v>9.0</v>
      </c>
      <c r="G49" s="406">
        <v>9.0</v>
      </c>
      <c r="H49" s="406">
        <v>9.0</v>
      </c>
      <c r="I49" s="406">
        <v>9.0</v>
      </c>
      <c r="J49" s="406" t="s">
        <v>1096</v>
      </c>
      <c r="K49" s="406">
        <v>10.0</v>
      </c>
      <c r="L49" s="406">
        <v>10.0</v>
      </c>
      <c r="M49" s="406">
        <v>10.0</v>
      </c>
      <c r="N49" s="406">
        <v>10.0</v>
      </c>
      <c r="O49" s="406" t="s">
        <v>1097</v>
      </c>
      <c r="P49" s="406">
        <v>10.0</v>
      </c>
      <c r="Q49" s="406">
        <v>10.0</v>
      </c>
      <c r="R49" s="406">
        <v>10.0</v>
      </c>
      <c r="S49" s="406">
        <v>10.0</v>
      </c>
      <c r="T49" s="406" t="s">
        <v>1098</v>
      </c>
      <c r="U49" s="406">
        <v>9.0</v>
      </c>
      <c r="V49" s="406">
        <v>7.0</v>
      </c>
      <c r="W49" s="406">
        <v>9.0</v>
      </c>
      <c r="X49" s="406">
        <v>10.0</v>
      </c>
      <c r="Y49" s="406" t="s">
        <v>1099</v>
      </c>
      <c r="Z49" s="406" t="s">
        <v>1100</v>
      </c>
      <c r="AA49" s="406" t="s">
        <v>1101</v>
      </c>
      <c r="AB49" s="9" t="s">
        <v>39</v>
      </c>
      <c r="AC49" s="10" t="b">
        <v>1</v>
      </c>
      <c r="AD49" s="10"/>
      <c r="AE49" s="10"/>
      <c r="AF49" s="408">
        <f t="shared" si="1"/>
        <v>9.4375</v>
      </c>
    </row>
    <row r="50">
      <c r="A50" s="404" t="s">
        <v>1102</v>
      </c>
      <c r="B50" s="261" t="s">
        <v>1103</v>
      </c>
      <c r="C50" s="405">
        <v>45523.47578703704</v>
      </c>
      <c r="D50" s="248" t="s">
        <v>1104</v>
      </c>
      <c r="E50" s="261" t="s">
        <v>781</v>
      </c>
      <c r="F50" s="406">
        <v>10.0</v>
      </c>
      <c r="G50" s="406">
        <v>6.0</v>
      </c>
      <c r="H50" s="406">
        <v>10.0</v>
      </c>
      <c r="I50" s="406">
        <v>8.0</v>
      </c>
      <c r="J50" s="406" t="s">
        <v>1105</v>
      </c>
      <c r="K50" s="406">
        <v>9.0</v>
      </c>
      <c r="L50" s="406">
        <v>10.0</v>
      </c>
      <c r="M50" s="406">
        <v>10.0</v>
      </c>
      <c r="N50" s="406">
        <v>10.0</v>
      </c>
      <c r="O50" s="406" t="s">
        <v>1106</v>
      </c>
      <c r="P50" s="406">
        <v>8.0</v>
      </c>
      <c r="Q50" s="406">
        <v>9.0</v>
      </c>
      <c r="R50" s="406">
        <v>8.0</v>
      </c>
      <c r="S50" s="406">
        <v>7.0</v>
      </c>
      <c r="T50" s="406" t="s">
        <v>1107</v>
      </c>
      <c r="U50" s="406">
        <v>6.0</v>
      </c>
      <c r="V50" s="406">
        <v>10.0</v>
      </c>
      <c r="W50" s="406">
        <v>9.0</v>
      </c>
      <c r="X50" s="406">
        <v>9.0</v>
      </c>
      <c r="Y50" s="406" t="s">
        <v>1108</v>
      </c>
      <c r="Z50" s="406" t="s">
        <v>1109</v>
      </c>
      <c r="AA50" s="406" t="s">
        <v>1110</v>
      </c>
      <c r="AB50" s="9" t="s">
        <v>39</v>
      </c>
      <c r="AC50" s="10" t="b">
        <v>1</v>
      </c>
      <c r="AD50" s="10"/>
      <c r="AE50" s="10"/>
      <c r="AF50" s="408">
        <f t="shared" si="1"/>
        <v>8.6875</v>
      </c>
    </row>
    <row r="51">
      <c r="A51" s="404" t="s">
        <v>1111</v>
      </c>
      <c r="B51" s="261" t="s">
        <v>1112</v>
      </c>
      <c r="C51" s="405">
        <v>45523.542037037034</v>
      </c>
      <c r="D51" s="248" t="s">
        <v>771</v>
      </c>
      <c r="E51" s="261" t="s">
        <v>134</v>
      </c>
      <c r="F51" s="406">
        <v>9.0</v>
      </c>
      <c r="G51" s="406">
        <v>9.0</v>
      </c>
      <c r="H51" s="406">
        <v>9.0</v>
      </c>
      <c r="I51" s="406">
        <v>9.0</v>
      </c>
      <c r="J51" s="406" t="s">
        <v>110</v>
      </c>
      <c r="K51" s="406">
        <v>9.0</v>
      </c>
      <c r="L51" s="406">
        <v>9.0</v>
      </c>
      <c r="M51" s="406">
        <v>9.0</v>
      </c>
      <c r="N51" s="406">
        <v>9.0</v>
      </c>
      <c r="O51" s="406" t="s">
        <v>110</v>
      </c>
      <c r="P51" s="406">
        <v>9.0</v>
      </c>
      <c r="Q51" s="406">
        <v>9.0</v>
      </c>
      <c r="R51" s="406">
        <v>9.0</v>
      </c>
      <c r="S51" s="406">
        <v>9.0</v>
      </c>
      <c r="T51" s="406" t="s">
        <v>110</v>
      </c>
      <c r="U51" s="406">
        <v>9.0</v>
      </c>
      <c r="V51" s="406">
        <v>9.0</v>
      </c>
      <c r="W51" s="406">
        <v>9.0</v>
      </c>
      <c r="X51" s="406">
        <v>9.0</v>
      </c>
      <c r="Y51" s="406" t="s">
        <v>110</v>
      </c>
      <c r="Z51" s="407"/>
      <c r="AA51" s="407"/>
      <c r="AB51" s="9" t="s">
        <v>39</v>
      </c>
      <c r="AC51" s="10" t="b">
        <v>1</v>
      </c>
      <c r="AD51" s="10"/>
      <c r="AE51" s="10"/>
      <c r="AF51" s="408">
        <f t="shared" si="1"/>
        <v>9</v>
      </c>
    </row>
    <row r="52">
      <c r="A52" s="404" t="s">
        <v>1113</v>
      </c>
      <c r="B52" s="261" t="s">
        <v>484</v>
      </c>
      <c r="C52" s="405">
        <v>45523.68976851852</v>
      </c>
      <c r="D52" s="248" t="s">
        <v>359</v>
      </c>
      <c r="E52" s="261" t="s">
        <v>134</v>
      </c>
      <c r="F52" s="406">
        <v>10.0</v>
      </c>
      <c r="G52" s="406">
        <v>10.0</v>
      </c>
      <c r="H52" s="406">
        <v>10.0</v>
      </c>
      <c r="I52" s="406">
        <v>10.0</v>
      </c>
      <c r="J52" s="406" t="s">
        <v>1114</v>
      </c>
      <c r="K52" s="406">
        <v>10.0</v>
      </c>
      <c r="L52" s="406">
        <v>10.0</v>
      </c>
      <c r="M52" s="406">
        <v>10.0</v>
      </c>
      <c r="N52" s="406">
        <v>10.0</v>
      </c>
      <c r="O52" s="406" t="s">
        <v>1115</v>
      </c>
      <c r="P52" s="406">
        <v>10.0</v>
      </c>
      <c r="Q52" s="406">
        <v>10.0</v>
      </c>
      <c r="R52" s="406">
        <v>10.0</v>
      </c>
      <c r="S52" s="406">
        <v>10.0</v>
      </c>
      <c r="T52" s="406" t="s">
        <v>1116</v>
      </c>
      <c r="U52" s="406">
        <v>8.0</v>
      </c>
      <c r="V52" s="406">
        <v>10.0</v>
      </c>
      <c r="W52" s="406">
        <v>10.0</v>
      </c>
      <c r="X52" s="406">
        <v>10.0</v>
      </c>
      <c r="Y52" s="406" t="s">
        <v>1117</v>
      </c>
      <c r="Z52" s="406" t="s">
        <v>1118</v>
      </c>
      <c r="AA52" s="406" t="s">
        <v>1119</v>
      </c>
      <c r="AB52" s="9" t="s">
        <v>39</v>
      </c>
      <c r="AC52" s="10" t="b">
        <v>1</v>
      </c>
      <c r="AD52" s="10"/>
      <c r="AE52" s="10"/>
      <c r="AF52" s="408">
        <f t="shared" si="1"/>
        <v>9.875</v>
      </c>
    </row>
    <row r="53">
      <c r="A53" s="404" t="s">
        <v>1120</v>
      </c>
      <c r="B53" s="261" t="s">
        <v>1121</v>
      </c>
      <c r="C53" s="405">
        <v>45523.836747685185</v>
      </c>
      <c r="D53" s="248" t="s">
        <v>1017</v>
      </c>
      <c r="E53" s="261" t="s">
        <v>134</v>
      </c>
      <c r="F53" s="406">
        <v>9.0</v>
      </c>
      <c r="G53" s="406">
        <v>10.0</v>
      </c>
      <c r="H53" s="406">
        <v>10.0</v>
      </c>
      <c r="I53" s="406">
        <v>10.0</v>
      </c>
      <c r="J53" s="406" t="s">
        <v>1122</v>
      </c>
      <c r="K53" s="406">
        <v>10.0</v>
      </c>
      <c r="L53" s="406">
        <v>10.0</v>
      </c>
      <c r="M53" s="406">
        <v>10.0</v>
      </c>
      <c r="N53" s="406">
        <v>10.0</v>
      </c>
      <c r="O53" s="406" t="s">
        <v>1123</v>
      </c>
      <c r="P53" s="406">
        <v>10.0</v>
      </c>
      <c r="Q53" s="406">
        <v>10.0</v>
      </c>
      <c r="R53" s="406">
        <v>10.0</v>
      </c>
      <c r="S53" s="406">
        <v>10.0</v>
      </c>
      <c r="T53" s="406" t="s">
        <v>1124</v>
      </c>
      <c r="U53" s="406">
        <v>9.0</v>
      </c>
      <c r="V53" s="406">
        <v>10.0</v>
      </c>
      <c r="W53" s="406">
        <v>10.0</v>
      </c>
      <c r="X53" s="406">
        <v>10.0</v>
      </c>
      <c r="Y53" s="406" t="s">
        <v>1125</v>
      </c>
      <c r="Z53" s="406" t="s">
        <v>1126</v>
      </c>
      <c r="AA53" s="406" t="s">
        <v>1127</v>
      </c>
      <c r="AB53" s="9" t="s">
        <v>39</v>
      </c>
      <c r="AC53" s="10" t="b">
        <v>1</v>
      </c>
      <c r="AD53" s="10"/>
      <c r="AE53" s="10"/>
      <c r="AF53" s="408">
        <f t="shared" si="1"/>
        <v>9.875</v>
      </c>
    </row>
    <row r="54">
      <c r="A54" s="404" t="s">
        <v>1128</v>
      </c>
      <c r="B54" s="261" t="s">
        <v>1121</v>
      </c>
      <c r="C54" s="405">
        <v>45523.83928240741</v>
      </c>
      <c r="D54" s="248" t="s">
        <v>1129</v>
      </c>
      <c r="E54" s="261" t="s">
        <v>134</v>
      </c>
      <c r="F54" s="406">
        <v>9.0</v>
      </c>
      <c r="G54" s="406">
        <v>10.0</v>
      </c>
      <c r="H54" s="406">
        <v>10.0</v>
      </c>
      <c r="I54" s="406">
        <v>10.0</v>
      </c>
      <c r="J54" s="406" t="s">
        <v>1130</v>
      </c>
      <c r="K54" s="406">
        <v>10.0</v>
      </c>
      <c r="L54" s="406">
        <v>10.0</v>
      </c>
      <c r="M54" s="406">
        <v>10.0</v>
      </c>
      <c r="N54" s="406">
        <v>10.0</v>
      </c>
      <c r="O54" s="406" t="s">
        <v>70</v>
      </c>
      <c r="P54" s="406">
        <v>9.0</v>
      </c>
      <c r="Q54" s="406">
        <v>10.0</v>
      </c>
      <c r="R54" s="406">
        <v>10.0</v>
      </c>
      <c r="S54" s="406">
        <v>10.0</v>
      </c>
      <c r="T54" s="406" t="s">
        <v>38</v>
      </c>
      <c r="U54" s="406">
        <v>10.0</v>
      </c>
      <c r="V54" s="406">
        <v>10.0</v>
      </c>
      <c r="W54" s="406">
        <v>10.0</v>
      </c>
      <c r="X54" s="406">
        <v>10.0</v>
      </c>
      <c r="Y54" s="406" t="s">
        <v>38</v>
      </c>
      <c r="Z54" s="406" t="s">
        <v>1131</v>
      </c>
      <c r="AA54" s="406" t="s">
        <v>1132</v>
      </c>
      <c r="AB54" s="9" t="s">
        <v>39</v>
      </c>
      <c r="AC54" s="10" t="b">
        <v>1</v>
      </c>
      <c r="AD54" s="10"/>
      <c r="AE54" s="10"/>
      <c r="AF54" s="408">
        <f t="shared" si="1"/>
        <v>9.875</v>
      </c>
    </row>
    <row r="55">
      <c r="A55" s="404" t="s">
        <v>1133</v>
      </c>
      <c r="B55" s="261" t="s">
        <v>1134</v>
      </c>
      <c r="C55" s="405">
        <v>45524.62731481482</v>
      </c>
      <c r="D55" s="248" t="s">
        <v>1135</v>
      </c>
      <c r="E55" s="261" t="s">
        <v>134</v>
      </c>
      <c r="F55" s="406">
        <v>8.0</v>
      </c>
      <c r="G55" s="406">
        <v>8.0</v>
      </c>
      <c r="H55" s="406">
        <v>10.0</v>
      </c>
      <c r="I55" s="406">
        <v>8.0</v>
      </c>
      <c r="J55" s="406" t="s">
        <v>1136</v>
      </c>
      <c r="K55" s="406">
        <v>10.0</v>
      </c>
      <c r="L55" s="406">
        <v>10.0</v>
      </c>
      <c r="M55" s="406">
        <v>9.0</v>
      </c>
      <c r="N55" s="406">
        <v>8.0</v>
      </c>
      <c r="O55" s="406" t="s">
        <v>1136</v>
      </c>
      <c r="P55" s="406">
        <v>8.0</v>
      </c>
      <c r="Q55" s="406">
        <v>10.0</v>
      </c>
      <c r="R55" s="406">
        <v>10.0</v>
      </c>
      <c r="S55" s="406">
        <v>9.0</v>
      </c>
      <c r="T55" s="406" t="s">
        <v>1136</v>
      </c>
      <c r="U55" s="406">
        <v>7.0</v>
      </c>
      <c r="V55" s="406">
        <v>7.0</v>
      </c>
      <c r="W55" s="406">
        <v>9.0</v>
      </c>
      <c r="X55" s="406">
        <v>8.0</v>
      </c>
      <c r="Y55" s="406" t="s">
        <v>1136</v>
      </c>
      <c r="Z55" s="407"/>
      <c r="AA55" s="407"/>
      <c r="AB55" s="9" t="s">
        <v>39</v>
      </c>
      <c r="AC55" s="10" t="b">
        <v>1</v>
      </c>
      <c r="AD55" s="10"/>
      <c r="AE55" s="10"/>
      <c r="AF55" s="408">
        <f t="shared" si="1"/>
        <v>8.6875</v>
      </c>
    </row>
    <row r="56">
      <c r="A56" s="404" t="s">
        <v>1137</v>
      </c>
      <c r="B56" s="261" t="s">
        <v>1138</v>
      </c>
      <c r="C56" s="405">
        <v>45525.33688657408</v>
      </c>
      <c r="D56" s="248" t="s">
        <v>775</v>
      </c>
      <c r="E56" s="261" t="s">
        <v>134</v>
      </c>
      <c r="F56" s="406">
        <v>10.0</v>
      </c>
      <c r="G56" s="406">
        <v>6.0</v>
      </c>
      <c r="H56" s="406">
        <v>8.0</v>
      </c>
      <c r="I56" s="406">
        <v>9.0</v>
      </c>
      <c r="J56" s="406" t="s">
        <v>1139</v>
      </c>
      <c r="K56" s="406">
        <v>8.0</v>
      </c>
      <c r="L56" s="406">
        <v>8.0</v>
      </c>
      <c r="M56" s="406">
        <v>10.0</v>
      </c>
      <c r="N56" s="406">
        <v>8.0</v>
      </c>
      <c r="O56" s="406" t="s">
        <v>1140</v>
      </c>
      <c r="P56" s="406">
        <v>8.0</v>
      </c>
      <c r="Q56" s="406">
        <v>8.0</v>
      </c>
      <c r="R56" s="406">
        <v>6.0</v>
      </c>
      <c r="S56" s="406">
        <v>5.0</v>
      </c>
      <c r="T56" s="406" t="s">
        <v>1141</v>
      </c>
      <c r="U56" s="406">
        <v>10.0</v>
      </c>
      <c r="V56" s="406">
        <v>10.0</v>
      </c>
      <c r="W56" s="406">
        <v>10.0</v>
      </c>
      <c r="X56" s="406">
        <v>10.0</v>
      </c>
      <c r="Y56" s="406" t="s">
        <v>38</v>
      </c>
      <c r="Z56" s="407"/>
      <c r="AA56" s="407"/>
      <c r="AB56" s="9" t="s">
        <v>39</v>
      </c>
      <c r="AC56" s="10" t="b">
        <v>1</v>
      </c>
      <c r="AD56" s="10"/>
      <c r="AE56" s="10"/>
      <c r="AF56" s="408">
        <f t="shared" si="1"/>
        <v>8.375</v>
      </c>
    </row>
    <row r="57">
      <c r="A57" s="404" t="s">
        <v>1142</v>
      </c>
      <c r="B57" s="261" t="s">
        <v>1143</v>
      </c>
      <c r="C57" s="405">
        <v>45525.344560185185</v>
      </c>
      <c r="D57" s="248" t="s">
        <v>1144</v>
      </c>
      <c r="E57" s="261" t="s">
        <v>134</v>
      </c>
      <c r="F57" s="406">
        <v>10.0</v>
      </c>
      <c r="G57" s="406">
        <v>4.0</v>
      </c>
      <c r="H57" s="406">
        <v>9.0</v>
      </c>
      <c r="I57" s="406">
        <v>8.0</v>
      </c>
      <c r="J57" s="406" t="s">
        <v>1145</v>
      </c>
      <c r="K57" s="406">
        <v>8.0</v>
      </c>
      <c r="L57" s="406">
        <v>8.0</v>
      </c>
      <c r="M57" s="406">
        <v>9.0</v>
      </c>
      <c r="N57" s="406">
        <v>9.0</v>
      </c>
      <c r="O57" s="406" t="s">
        <v>65</v>
      </c>
      <c r="P57" s="406">
        <v>5.0</v>
      </c>
      <c r="Q57" s="406">
        <v>7.0</v>
      </c>
      <c r="R57" s="406">
        <v>9.0</v>
      </c>
      <c r="S57" s="406">
        <v>10.0</v>
      </c>
      <c r="T57" s="406" t="s">
        <v>65</v>
      </c>
      <c r="U57" s="406">
        <v>5.0</v>
      </c>
      <c r="V57" s="406">
        <v>7.0</v>
      </c>
      <c r="W57" s="406">
        <v>9.0</v>
      </c>
      <c r="X57" s="406">
        <v>8.0</v>
      </c>
      <c r="Y57" s="406" t="s">
        <v>1146</v>
      </c>
      <c r="Z57" s="406" t="s">
        <v>1147</v>
      </c>
      <c r="AA57" s="407"/>
      <c r="AB57" s="9" t="s">
        <v>39</v>
      </c>
      <c r="AC57" s="10" t="b">
        <v>1</v>
      </c>
      <c r="AD57" s="10"/>
      <c r="AE57" s="10"/>
      <c r="AF57" s="408">
        <f t="shared" si="1"/>
        <v>7.8125</v>
      </c>
    </row>
    <row r="58">
      <c r="A58" s="404" t="s">
        <v>1148</v>
      </c>
      <c r="B58" s="261" t="s">
        <v>1149</v>
      </c>
      <c r="C58" s="405">
        <v>45525.56811342593</v>
      </c>
      <c r="D58" s="248" t="s">
        <v>236</v>
      </c>
      <c r="E58" s="261" t="s">
        <v>775</v>
      </c>
      <c r="F58" s="406">
        <v>10.0</v>
      </c>
      <c r="G58" s="406">
        <v>10.0</v>
      </c>
      <c r="H58" s="406">
        <v>10.0</v>
      </c>
      <c r="I58" s="406">
        <v>9.0</v>
      </c>
      <c r="J58" s="406" t="s">
        <v>38</v>
      </c>
      <c r="K58" s="406">
        <v>10.0</v>
      </c>
      <c r="L58" s="406">
        <v>8.0</v>
      </c>
      <c r="M58" s="406">
        <v>9.0</v>
      </c>
      <c r="N58" s="406">
        <v>9.0</v>
      </c>
      <c r="O58" s="406" t="s">
        <v>65</v>
      </c>
      <c r="P58" s="406">
        <v>8.0</v>
      </c>
      <c r="Q58" s="406">
        <v>9.0</v>
      </c>
      <c r="R58" s="406">
        <v>9.0</v>
      </c>
      <c r="S58" s="406">
        <v>10.0</v>
      </c>
      <c r="T58" s="406" t="s">
        <v>65</v>
      </c>
      <c r="U58" s="406">
        <v>8.0</v>
      </c>
      <c r="V58" s="406">
        <v>10.0</v>
      </c>
      <c r="W58" s="406">
        <v>10.0</v>
      </c>
      <c r="X58" s="406">
        <v>10.0</v>
      </c>
      <c r="Y58" s="406" t="s">
        <v>65</v>
      </c>
      <c r="Z58" s="407"/>
      <c r="AA58" s="407"/>
      <c r="AB58" s="9" t="s">
        <v>39</v>
      </c>
      <c r="AC58" s="10" t="b">
        <v>1</v>
      </c>
      <c r="AD58" s="10"/>
      <c r="AE58" s="10"/>
      <c r="AF58" s="408">
        <f t="shared" si="1"/>
        <v>9.3125</v>
      </c>
    </row>
    <row r="59">
      <c r="A59" s="404" t="s">
        <v>1150</v>
      </c>
      <c r="B59" s="261" t="s">
        <v>1151</v>
      </c>
      <c r="C59" s="405">
        <v>45526.547534722224</v>
      </c>
      <c r="D59" s="248" t="s">
        <v>1135</v>
      </c>
      <c r="E59" s="261" t="s">
        <v>775</v>
      </c>
      <c r="F59" s="406">
        <v>9.0</v>
      </c>
      <c r="G59" s="406">
        <v>10.0</v>
      </c>
      <c r="H59" s="406">
        <v>9.0</v>
      </c>
      <c r="I59" s="406">
        <v>9.0</v>
      </c>
      <c r="J59" s="406" t="s">
        <v>1152</v>
      </c>
      <c r="K59" s="406">
        <v>10.0</v>
      </c>
      <c r="L59" s="406">
        <v>10.0</v>
      </c>
      <c r="M59" s="406">
        <v>10.0</v>
      </c>
      <c r="N59" s="406">
        <v>10.0</v>
      </c>
      <c r="O59" s="406" t="s">
        <v>1152</v>
      </c>
      <c r="P59" s="406">
        <v>10.0</v>
      </c>
      <c r="Q59" s="406">
        <v>9.0</v>
      </c>
      <c r="R59" s="406">
        <v>9.0</v>
      </c>
      <c r="S59" s="406">
        <v>10.0</v>
      </c>
      <c r="T59" s="406" t="s">
        <v>1136</v>
      </c>
      <c r="U59" s="406">
        <v>8.0</v>
      </c>
      <c r="V59" s="406">
        <v>8.0</v>
      </c>
      <c r="W59" s="406">
        <v>10.0</v>
      </c>
      <c r="X59" s="406">
        <v>9.0</v>
      </c>
      <c r="Y59" s="406" t="s">
        <v>1152</v>
      </c>
      <c r="Z59" s="407"/>
      <c r="AA59" s="407"/>
      <c r="AB59" s="9" t="s">
        <v>39</v>
      </c>
      <c r="AC59" s="10" t="b">
        <v>1</v>
      </c>
      <c r="AD59" s="10"/>
      <c r="AE59" s="10"/>
      <c r="AF59" s="408">
        <f t="shared" si="1"/>
        <v>9.375</v>
      </c>
    </row>
    <row r="60">
      <c r="A60" s="404" t="s">
        <v>1153</v>
      </c>
      <c r="B60" s="261" t="s">
        <v>1154</v>
      </c>
      <c r="C60" s="405">
        <v>45526.71325231482</v>
      </c>
      <c r="D60" s="248" t="s">
        <v>202</v>
      </c>
      <c r="E60" s="261" t="s">
        <v>775</v>
      </c>
      <c r="F60" s="406">
        <v>9.0</v>
      </c>
      <c r="G60" s="406">
        <v>8.0</v>
      </c>
      <c r="H60" s="406">
        <v>8.0</v>
      </c>
      <c r="I60" s="406">
        <v>8.0</v>
      </c>
      <c r="J60" s="406" t="s">
        <v>367</v>
      </c>
      <c r="K60" s="406">
        <v>9.0</v>
      </c>
      <c r="L60" s="406">
        <v>8.0</v>
      </c>
      <c r="M60" s="406">
        <v>9.0</v>
      </c>
      <c r="N60" s="406">
        <v>8.0</v>
      </c>
      <c r="O60" s="406" t="s">
        <v>367</v>
      </c>
      <c r="P60" s="406">
        <v>9.0</v>
      </c>
      <c r="Q60" s="406">
        <v>9.0</v>
      </c>
      <c r="R60" s="406">
        <v>9.0</v>
      </c>
      <c r="S60" s="406">
        <v>9.0</v>
      </c>
      <c r="T60" s="406" t="s">
        <v>367</v>
      </c>
      <c r="U60" s="406">
        <v>8.0</v>
      </c>
      <c r="V60" s="406">
        <v>8.0</v>
      </c>
      <c r="W60" s="406">
        <v>8.0</v>
      </c>
      <c r="X60" s="406">
        <v>8.0</v>
      </c>
      <c r="Y60" s="406" t="s">
        <v>1155</v>
      </c>
      <c r="Z60" s="406" t="s">
        <v>1155</v>
      </c>
      <c r="AA60" s="406" t="s">
        <v>1155</v>
      </c>
      <c r="AB60" s="9" t="s">
        <v>39</v>
      </c>
      <c r="AC60" s="10" t="b">
        <v>1</v>
      </c>
      <c r="AD60" s="10"/>
      <c r="AE60" s="10"/>
      <c r="AF60" s="408">
        <f t="shared" si="1"/>
        <v>8.4375</v>
      </c>
    </row>
    <row r="61">
      <c r="A61" s="404" t="s">
        <v>1156</v>
      </c>
      <c r="B61" s="261" t="s">
        <v>1157</v>
      </c>
      <c r="C61" s="405">
        <v>45527.59547453704</v>
      </c>
      <c r="D61" s="248" t="s">
        <v>1158</v>
      </c>
      <c r="E61" s="261" t="s">
        <v>775</v>
      </c>
      <c r="F61" s="406">
        <v>8.0</v>
      </c>
      <c r="G61" s="406">
        <v>8.0</v>
      </c>
      <c r="H61" s="406">
        <v>6.0</v>
      </c>
      <c r="I61" s="406">
        <v>6.0</v>
      </c>
      <c r="J61" s="406" t="s">
        <v>1159</v>
      </c>
      <c r="K61" s="406">
        <v>10.0</v>
      </c>
      <c r="L61" s="406">
        <v>10.0</v>
      </c>
      <c r="M61" s="406">
        <v>10.0</v>
      </c>
      <c r="N61" s="406">
        <v>8.0</v>
      </c>
      <c r="O61" s="406" t="s">
        <v>1160</v>
      </c>
      <c r="P61" s="406">
        <v>6.0</v>
      </c>
      <c r="Q61" s="406">
        <v>10.0</v>
      </c>
      <c r="R61" s="406">
        <v>7.0</v>
      </c>
      <c r="S61" s="406">
        <v>5.0</v>
      </c>
      <c r="T61" s="406" t="s">
        <v>1161</v>
      </c>
      <c r="U61" s="406">
        <v>6.0</v>
      </c>
      <c r="V61" s="406">
        <v>6.0</v>
      </c>
      <c r="W61" s="406">
        <v>10.0</v>
      </c>
      <c r="X61" s="406">
        <v>10.0</v>
      </c>
      <c r="Y61" s="406" t="s">
        <v>1162</v>
      </c>
      <c r="Z61" s="407"/>
      <c r="AA61" s="407"/>
      <c r="AB61" s="9" t="s">
        <v>39</v>
      </c>
      <c r="AC61" s="10" t="b">
        <v>1</v>
      </c>
      <c r="AD61" s="10"/>
      <c r="AE61" s="10"/>
      <c r="AF61" s="408">
        <f t="shared" si="1"/>
        <v>7.875</v>
      </c>
    </row>
    <row r="62">
      <c r="A62" s="404" t="s">
        <v>1163</v>
      </c>
      <c r="B62" s="261" t="s">
        <v>1164</v>
      </c>
      <c r="C62" s="405">
        <v>45528.52381944445</v>
      </c>
      <c r="D62" s="248" t="s">
        <v>997</v>
      </c>
      <c r="E62" s="261" t="s">
        <v>242</v>
      </c>
      <c r="F62" s="406">
        <v>8.0</v>
      </c>
      <c r="G62" s="406">
        <v>8.0</v>
      </c>
      <c r="H62" s="406">
        <v>7.0</v>
      </c>
      <c r="I62" s="406">
        <v>7.0</v>
      </c>
      <c r="J62" s="406" t="s">
        <v>1165</v>
      </c>
      <c r="K62" s="406">
        <v>8.0</v>
      </c>
      <c r="L62" s="406">
        <v>9.0</v>
      </c>
      <c r="M62" s="406">
        <v>10.0</v>
      </c>
      <c r="N62" s="406">
        <v>9.0</v>
      </c>
      <c r="O62" s="406" t="s">
        <v>1166</v>
      </c>
      <c r="P62" s="406">
        <v>10.0</v>
      </c>
      <c r="Q62" s="406">
        <v>10.0</v>
      </c>
      <c r="R62" s="406">
        <v>10.0</v>
      </c>
      <c r="S62" s="406">
        <v>10.0</v>
      </c>
      <c r="T62" s="406" t="s">
        <v>1167</v>
      </c>
      <c r="U62" s="406">
        <v>8.0</v>
      </c>
      <c r="V62" s="406">
        <v>10.0</v>
      </c>
      <c r="W62" s="406">
        <v>9.0</v>
      </c>
      <c r="X62" s="406">
        <v>10.0</v>
      </c>
      <c r="Y62" s="406" t="s">
        <v>1168</v>
      </c>
      <c r="Z62" s="406" t="s">
        <v>1169</v>
      </c>
      <c r="AA62" s="406" t="s">
        <v>1170</v>
      </c>
      <c r="AB62" s="9" t="s">
        <v>39</v>
      </c>
      <c r="AC62" s="10" t="b">
        <v>1</v>
      </c>
      <c r="AD62" s="10"/>
      <c r="AE62" s="10"/>
      <c r="AF62" s="408">
        <f t="shared" si="1"/>
        <v>8.9375</v>
      </c>
    </row>
    <row r="63">
      <c r="A63" s="404" t="s">
        <v>1171</v>
      </c>
      <c r="B63" s="261" t="s">
        <v>1164</v>
      </c>
      <c r="C63" s="405">
        <v>45528.53943287037</v>
      </c>
      <c r="D63" s="248" t="s">
        <v>144</v>
      </c>
      <c r="E63" s="261" t="s">
        <v>242</v>
      </c>
      <c r="F63" s="406">
        <v>9.0</v>
      </c>
      <c r="G63" s="406">
        <v>9.0</v>
      </c>
      <c r="H63" s="406">
        <v>9.0</v>
      </c>
      <c r="I63" s="406">
        <v>9.0</v>
      </c>
      <c r="J63" s="406" t="s">
        <v>1172</v>
      </c>
      <c r="K63" s="406">
        <v>9.0</v>
      </c>
      <c r="L63" s="406">
        <v>9.0</v>
      </c>
      <c r="M63" s="406">
        <v>10.0</v>
      </c>
      <c r="N63" s="406">
        <v>10.0</v>
      </c>
      <c r="O63" s="406" t="s">
        <v>1173</v>
      </c>
      <c r="P63" s="406">
        <v>9.0</v>
      </c>
      <c r="Q63" s="406">
        <v>9.0</v>
      </c>
      <c r="R63" s="406">
        <v>10.0</v>
      </c>
      <c r="S63" s="406">
        <v>9.0</v>
      </c>
      <c r="T63" s="406" t="s">
        <v>1174</v>
      </c>
      <c r="U63" s="406">
        <v>10.0</v>
      </c>
      <c r="V63" s="406">
        <v>9.0</v>
      </c>
      <c r="W63" s="406">
        <v>9.0</v>
      </c>
      <c r="X63" s="406">
        <v>10.0</v>
      </c>
      <c r="Y63" s="406" t="s">
        <v>1175</v>
      </c>
      <c r="Z63" s="406" t="s">
        <v>1176</v>
      </c>
      <c r="AA63" s="406" t="s">
        <v>1177</v>
      </c>
      <c r="AB63" s="9" t="s">
        <v>39</v>
      </c>
      <c r="AC63" s="10" t="b">
        <v>1</v>
      </c>
      <c r="AD63" s="10"/>
      <c r="AE63" s="10"/>
      <c r="AF63" s="408">
        <f t="shared" si="1"/>
        <v>9.3125</v>
      </c>
    </row>
    <row r="64">
      <c r="A64" s="404" t="s">
        <v>1178</v>
      </c>
      <c r="B64" s="261" t="s">
        <v>1179</v>
      </c>
      <c r="C64" s="405">
        <v>45528.63811342593</v>
      </c>
      <c r="D64" s="248" t="s">
        <v>780</v>
      </c>
      <c r="E64" s="261" t="s">
        <v>242</v>
      </c>
      <c r="F64" s="406">
        <v>7.0</v>
      </c>
      <c r="G64" s="406">
        <v>10.0</v>
      </c>
      <c r="H64" s="406">
        <v>10.0</v>
      </c>
      <c r="I64" s="406">
        <v>9.0</v>
      </c>
      <c r="J64" s="406" t="s">
        <v>1180</v>
      </c>
      <c r="K64" s="406">
        <v>10.0</v>
      </c>
      <c r="L64" s="406">
        <v>8.0</v>
      </c>
      <c r="M64" s="406">
        <v>10.0</v>
      </c>
      <c r="N64" s="406">
        <v>10.0</v>
      </c>
      <c r="O64" s="406" t="s">
        <v>1181</v>
      </c>
      <c r="P64" s="406">
        <v>10.0</v>
      </c>
      <c r="Q64" s="406">
        <v>10.0</v>
      </c>
      <c r="R64" s="406">
        <v>10.0</v>
      </c>
      <c r="S64" s="406">
        <v>7.0</v>
      </c>
      <c r="T64" s="406" t="s">
        <v>1182</v>
      </c>
      <c r="U64" s="406">
        <v>8.0</v>
      </c>
      <c r="V64" s="406">
        <v>10.0</v>
      </c>
      <c r="W64" s="406">
        <v>7.0</v>
      </c>
      <c r="X64" s="406">
        <v>9.0</v>
      </c>
      <c r="Y64" s="406" t="s">
        <v>1183</v>
      </c>
      <c r="Z64" s="406" t="s">
        <v>1184</v>
      </c>
      <c r="AA64" s="406" t="s">
        <v>1185</v>
      </c>
      <c r="AB64" s="9" t="s">
        <v>39</v>
      </c>
      <c r="AC64" s="10" t="b">
        <v>1</v>
      </c>
      <c r="AD64" s="10"/>
      <c r="AE64" s="10"/>
      <c r="AF64" s="408">
        <f t="shared" si="1"/>
        <v>9.0625</v>
      </c>
    </row>
    <row r="65">
      <c r="A65" s="404" t="s">
        <v>1186</v>
      </c>
      <c r="B65" s="261" t="s">
        <v>1179</v>
      </c>
      <c r="C65" s="405">
        <v>45528.66034722222</v>
      </c>
      <c r="D65" s="248" t="s">
        <v>143</v>
      </c>
      <c r="E65" s="261" t="s">
        <v>242</v>
      </c>
      <c r="F65" s="406">
        <v>5.0</v>
      </c>
      <c r="G65" s="406">
        <v>10.0</v>
      </c>
      <c r="H65" s="406">
        <v>9.0</v>
      </c>
      <c r="I65" s="406">
        <v>8.0</v>
      </c>
      <c r="J65" s="406" t="s">
        <v>1187</v>
      </c>
      <c r="K65" s="406">
        <v>6.0</v>
      </c>
      <c r="L65" s="406">
        <v>8.0</v>
      </c>
      <c r="M65" s="406">
        <v>10.0</v>
      </c>
      <c r="N65" s="406">
        <v>6.0</v>
      </c>
      <c r="O65" s="406" t="s">
        <v>1188</v>
      </c>
      <c r="P65" s="406">
        <v>6.0</v>
      </c>
      <c r="Q65" s="406">
        <v>10.0</v>
      </c>
      <c r="R65" s="406">
        <v>7.0</v>
      </c>
      <c r="S65" s="406">
        <v>8.0</v>
      </c>
      <c r="T65" s="406" t="s">
        <v>1189</v>
      </c>
      <c r="U65" s="406">
        <v>7.0</v>
      </c>
      <c r="V65" s="406">
        <v>5.0</v>
      </c>
      <c r="W65" s="406">
        <v>10.0</v>
      </c>
      <c r="X65" s="406">
        <v>10.0</v>
      </c>
      <c r="Y65" s="406" t="s">
        <v>1190</v>
      </c>
      <c r="Z65" s="406" t="s">
        <v>553</v>
      </c>
      <c r="AA65" s="406" t="s">
        <v>1191</v>
      </c>
      <c r="AB65" s="9" t="s">
        <v>39</v>
      </c>
      <c r="AC65" s="10" t="b">
        <v>1</v>
      </c>
      <c r="AD65" s="10"/>
      <c r="AE65" s="10"/>
      <c r="AF65" s="408">
        <f t="shared" si="1"/>
        <v>7.8125</v>
      </c>
    </row>
    <row r="66">
      <c r="A66" s="404" t="s">
        <v>1192</v>
      </c>
      <c r="B66" s="261" t="s">
        <v>1003</v>
      </c>
      <c r="C66" s="405">
        <v>45529.557754629626</v>
      </c>
      <c r="D66" s="248" t="s">
        <v>720</v>
      </c>
      <c r="E66" s="261" t="s">
        <v>242</v>
      </c>
      <c r="F66" s="406">
        <v>5.0</v>
      </c>
      <c r="G66" s="406">
        <v>6.0</v>
      </c>
      <c r="H66" s="406">
        <v>7.0</v>
      </c>
      <c r="I66" s="406">
        <v>7.0</v>
      </c>
      <c r="J66" s="406" t="s">
        <v>1193</v>
      </c>
      <c r="K66" s="406">
        <v>7.0</v>
      </c>
      <c r="L66" s="406">
        <v>6.0</v>
      </c>
      <c r="M66" s="406">
        <v>9.0</v>
      </c>
      <c r="N66" s="406">
        <v>8.0</v>
      </c>
      <c r="O66" s="406" t="s">
        <v>1194</v>
      </c>
      <c r="P66" s="406">
        <v>7.0</v>
      </c>
      <c r="Q66" s="406">
        <v>8.0</v>
      </c>
      <c r="R66" s="406">
        <v>7.0</v>
      </c>
      <c r="S66" s="406">
        <v>8.0</v>
      </c>
      <c r="T66" s="406" t="s">
        <v>65</v>
      </c>
      <c r="U66" s="406">
        <v>7.0</v>
      </c>
      <c r="V66" s="406">
        <v>7.0</v>
      </c>
      <c r="W66" s="406">
        <v>7.0</v>
      </c>
      <c r="X66" s="406">
        <v>8.0</v>
      </c>
      <c r="Y66" s="406" t="s">
        <v>65</v>
      </c>
      <c r="Z66" s="406" t="s">
        <v>65</v>
      </c>
      <c r="AA66" s="406" t="s">
        <v>1195</v>
      </c>
      <c r="AB66" s="9" t="s">
        <v>39</v>
      </c>
      <c r="AC66" s="10" t="b">
        <v>1</v>
      </c>
      <c r="AD66" s="10"/>
      <c r="AE66" s="10"/>
      <c r="AF66" s="408">
        <f t="shared" si="1"/>
        <v>7.125</v>
      </c>
    </row>
    <row r="67">
      <c r="A67" s="404" t="s">
        <v>1196</v>
      </c>
      <c r="B67" s="261" t="s">
        <v>112</v>
      </c>
      <c r="C67" s="405">
        <v>45529.56668981481</v>
      </c>
      <c r="D67" s="248" t="s">
        <v>248</v>
      </c>
      <c r="E67" s="261" t="s">
        <v>242</v>
      </c>
      <c r="F67" s="406">
        <v>8.0</v>
      </c>
      <c r="G67" s="406">
        <v>6.0</v>
      </c>
      <c r="H67" s="406">
        <v>6.0</v>
      </c>
      <c r="I67" s="406">
        <v>6.0</v>
      </c>
      <c r="J67" s="406" t="s">
        <v>1197</v>
      </c>
      <c r="K67" s="406">
        <v>6.0</v>
      </c>
      <c r="L67" s="406">
        <v>6.0</v>
      </c>
      <c r="M67" s="406">
        <v>6.0</v>
      </c>
      <c r="N67" s="406">
        <v>6.0</v>
      </c>
      <c r="O67" s="406" t="s">
        <v>1198</v>
      </c>
      <c r="P67" s="406">
        <v>6.0</v>
      </c>
      <c r="Q67" s="406">
        <v>8.0</v>
      </c>
      <c r="R67" s="406">
        <v>6.0</v>
      </c>
      <c r="S67" s="406">
        <v>6.0</v>
      </c>
      <c r="T67" s="406" t="s">
        <v>1199</v>
      </c>
      <c r="U67" s="406">
        <v>6.0</v>
      </c>
      <c r="V67" s="406">
        <v>5.0</v>
      </c>
      <c r="W67" s="406">
        <v>6.0</v>
      </c>
      <c r="X67" s="406">
        <v>8.0</v>
      </c>
      <c r="Y67" s="406" t="s">
        <v>1200</v>
      </c>
      <c r="Z67" s="406" t="s">
        <v>1201</v>
      </c>
      <c r="AA67" s="406" t="s">
        <v>1202</v>
      </c>
      <c r="AB67" s="9" t="s">
        <v>39</v>
      </c>
      <c r="AC67" s="10" t="b">
        <v>1</v>
      </c>
      <c r="AD67" s="10"/>
      <c r="AE67" s="10"/>
      <c r="AF67" s="408">
        <f t="shared" si="1"/>
        <v>6.3125</v>
      </c>
    </row>
    <row r="68">
      <c r="A68" s="404" t="s">
        <v>1203</v>
      </c>
      <c r="B68" s="261" t="s">
        <v>1204</v>
      </c>
      <c r="C68" s="405">
        <v>45529.56795138889</v>
      </c>
      <c r="D68" s="248" t="s">
        <v>1205</v>
      </c>
      <c r="E68" s="261" t="s">
        <v>782</v>
      </c>
      <c r="F68" s="406">
        <v>9.0</v>
      </c>
      <c r="G68" s="406">
        <v>9.0</v>
      </c>
      <c r="H68" s="406">
        <v>9.0</v>
      </c>
      <c r="I68" s="406">
        <v>9.0</v>
      </c>
      <c r="J68" s="406" t="s">
        <v>1206</v>
      </c>
      <c r="K68" s="406">
        <v>9.0</v>
      </c>
      <c r="L68" s="406">
        <v>8.0</v>
      </c>
      <c r="M68" s="406">
        <v>9.0</v>
      </c>
      <c r="N68" s="406">
        <v>9.0</v>
      </c>
      <c r="O68" s="406" t="s">
        <v>1207</v>
      </c>
      <c r="P68" s="406">
        <v>9.0</v>
      </c>
      <c r="Q68" s="406">
        <v>9.0</v>
      </c>
      <c r="R68" s="406">
        <v>9.0</v>
      </c>
      <c r="S68" s="406">
        <v>9.0</v>
      </c>
      <c r="T68" s="406" t="s">
        <v>1208</v>
      </c>
      <c r="U68" s="406">
        <v>9.0</v>
      </c>
      <c r="V68" s="406">
        <v>9.0</v>
      </c>
      <c r="W68" s="406">
        <v>9.0</v>
      </c>
      <c r="X68" s="406">
        <v>9.0</v>
      </c>
      <c r="Y68" s="406" t="s">
        <v>1207</v>
      </c>
      <c r="Z68" s="407"/>
      <c r="AA68" s="407"/>
      <c r="AB68" s="9" t="s">
        <v>39</v>
      </c>
      <c r="AC68" s="10" t="b">
        <v>1</v>
      </c>
      <c r="AD68" s="10"/>
      <c r="AE68" s="10"/>
      <c r="AF68" s="408">
        <f t="shared" si="1"/>
        <v>8.9375</v>
      </c>
    </row>
    <row r="69">
      <c r="A69" s="404" t="s">
        <v>1209</v>
      </c>
      <c r="B69" s="261" t="s">
        <v>1210</v>
      </c>
      <c r="C69" s="405">
        <v>45529.58613425926</v>
      </c>
      <c r="D69" s="248" t="s">
        <v>1211</v>
      </c>
      <c r="E69" s="261" t="s">
        <v>783</v>
      </c>
      <c r="F69" s="406">
        <v>9.0</v>
      </c>
      <c r="G69" s="406">
        <v>9.0</v>
      </c>
      <c r="H69" s="406">
        <v>9.0</v>
      </c>
      <c r="I69" s="406">
        <v>4.0</v>
      </c>
      <c r="J69" s="406" t="s">
        <v>1212</v>
      </c>
      <c r="K69" s="406">
        <v>9.0</v>
      </c>
      <c r="L69" s="406">
        <v>8.0</v>
      </c>
      <c r="M69" s="406">
        <v>9.0</v>
      </c>
      <c r="N69" s="406">
        <v>9.0</v>
      </c>
      <c r="O69" s="406" t="s">
        <v>1213</v>
      </c>
      <c r="P69" s="406">
        <v>6.0</v>
      </c>
      <c r="Q69" s="406">
        <v>8.0</v>
      </c>
      <c r="R69" s="406">
        <v>7.0</v>
      </c>
      <c r="S69" s="406">
        <v>10.0</v>
      </c>
      <c r="T69" s="406" t="s">
        <v>1214</v>
      </c>
      <c r="U69" s="406">
        <v>5.0</v>
      </c>
      <c r="V69" s="406">
        <v>7.0</v>
      </c>
      <c r="W69" s="406">
        <v>7.0</v>
      </c>
      <c r="X69" s="406">
        <v>10.0</v>
      </c>
      <c r="Y69" s="406" t="s">
        <v>1215</v>
      </c>
      <c r="Z69" s="407"/>
      <c r="AA69" s="406" t="s">
        <v>1216</v>
      </c>
      <c r="AB69" s="9" t="s">
        <v>39</v>
      </c>
      <c r="AC69" s="10" t="b">
        <v>1</v>
      </c>
      <c r="AD69" s="10"/>
      <c r="AE69" s="10"/>
      <c r="AF69" s="408">
        <f t="shared" si="1"/>
        <v>7.875</v>
      </c>
    </row>
    <row r="70">
      <c r="A70" s="404" t="s">
        <v>1217</v>
      </c>
      <c r="B70" s="261" t="s">
        <v>1218</v>
      </c>
      <c r="C70" s="405">
        <v>45529.586539351854</v>
      </c>
      <c r="D70" s="248" t="s">
        <v>1219</v>
      </c>
      <c r="E70" s="261" t="s">
        <v>195</v>
      </c>
      <c r="F70" s="406">
        <v>9.0</v>
      </c>
      <c r="G70" s="406">
        <v>9.0</v>
      </c>
      <c r="H70" s="406">
        <v>9.0</v>
      </c>
      <c r="I70" s="406">
        <v>9.0</v>
      </c>
      <c r="J70" s="406" t="s">
        <v>1220</v>
      </c>
      <c r="K70" s="406">
        <v>9.0</v>
      </c>
      <c r="L70" s="406">
        <v>9.0</v>
      </c>
      <c r="M70" s="406">
        <v>9.0</v>
      </c>
      <c r="N70" s="406">
        <v>9.0</v>
      </c>
      <c r="O70" s="406" t="s">
        <v>1221</v>
      </c>
      <c r="P70" s="406">
        <v>9.0</v>
      </c>
      <c r="Q70" s="406">
        <v>9.0</v>
      </c>
      <c r="R70" s="406">
        <v>9.0</v>
      </c>
      <c r="S70" s="406">
        <v>9.0</v>
      </c>
      <c r="T70" s="406" t="s">
        <v>1222</v>
      </c>
      <c r="U70" s="406">
        <v>9.0</v>
      </c>
      <c r="V70" s="406">
        <v>9.0</v>
      </c>
      <c r="W70" s="406">
        <v>9.0</v>
      </c>
      <c r="X70" s="406">
        <v>9.0</v>
      </c>
      <c r="Y70" s="406" t="s">
        <v>1223</v>
      </c>
      <c r="Z70" s="406" t="s">
        <v>1224</v>
      </c>
      <c r="AA70" s="406" t="s">
        <v>1225</v>
      </c>
      <c r="AB70" s="9" t="s">
        <v>39</v>
      </c>
      <c r="AC70" s="10" t="b">
        <v>1</v>
      </c>
      <c r="AD70" s="10"/>
      <c r="AE70" s="10"/>
      <c r="AF70" s="408">
        <f t="shared" si="1"/>
        <v>9</v>
      </c>
    </row>
    <row r="71">
      <c r="A71" s="404" t="s">
        <v>1226</v>
      </c>
      <c r="B71" s="261" t="s">
        <v>1227</v>
      </c>
      <c r="C71" s="405">
        <v>45529.646006944444</v>
      </c>
      <c r="D71" s="248" t="s">
        <v>366</v>
      </c>
      <c r="E71" s="261" t="s">
        <v>195</v>
      </c>
      <c r="F71" s="406">
        <v>10.0</v>
      </c>
      <c r="G71" s="406">
        <v>8.0</v>
      </c>
      <c r="H71" s="406">
        <v>10.0</v>
      </c>
      <c r="I71" s="406">
        <v>10.0</v>
      </c>
      <c r="J71" s="406" t="s">
        <v>1228</v>
      </c>
      <c r="K71" s="406">
        <v>10.0</v>
      </c>
      <c r="L71" s="406">
        <v>10.0</v>
      </c>
      <c r="M71" s="406">
        <v>10.0</v>
      </c>
      <c r="N71" s="406">
        <v>10.0</v>
      </c>
      <c r="O71" s="406" t="s">
        <v>1229</v>
      </c>
      <c r="P71" s="406">
        <v>10.0</v>
      </c>
      <c r="Q71" s="406">
        <v>10.0</v>
      </c>
      <c r="R71" s="406">
        <v>10.0</v>
      </c>
      <c r="S71" s="406">
        <v>10.0</v>
      </c>
      <c r="T71" s="406" t="s">
        <v>1230</v>
      </c>
      <c r="U71" s="406">
        <v>5.0</v>
      </c>
      <c r="V71" s="406">
        <v>5.0</v>
      </c>
      <c r="W71" s="406">
        <v>7.0</v>
      </c>
      <c r="X71" s="406">
        <v>10.0</v>
      </c>
      <c r="Y71" s="406" t="s">
        <v>1231</v>
      </c>
      <c r="Z71" s="406" t="s">
        <v>1232</v>
      </c>
      <c r="AA71" s="406" t="s">
        <v>1233</v>
      </c>
      <c r="AB71" s="9" t="s">
        <v>39</v>
      </c>
      <c r="AC71" s="10" t="b">
        <v>1</v>
      </c>
      <c r="AD71" s="10"/>
      <c r="AE71" s="10"/>
      <c r="AF71" s="408">
        <f t="shared" si="1"/>
        <v>9.0625</v>
      </c>
    </row>
    <row r="72">
      <c r="A72" s="404" t="s">
        <v>1234</v>
      </c>
      <c r="B72" s="261" t="s">
        <v>1235</v>
      </c>
      <c r="C72" s="405">
        <v>45529.666550925926</v>
      </c>
      <c r="D72" s="248" t="s">
        <v>333</v>
      </c>
      <c r="E72" s="261" t="s">
        <v>195</v>
      </c>
      <c r="F72" s="406">
        <v>10.0</v>
      </c>
      <c r="G72" s="406">
        <v>7.0</v>
      </c>
      <c r="H72" s="406">
        <v>10.0</v>
      </c>
      <c r="I72" s="406">
        <v>4.0</v>
      </c>
      <c r="J72" s="406" t="s">
        <v>1236</v>
      </c>
      <c r="K72" s="406">
        <v>10.0</v>
      </c>
      <c r="L72" s="406">
        <v>8.0</v>
      </c>
      <c r="M72" s="406">
        <v>10.0</v>
      </c>
      <c r="N72" s="406">
        <v>10.0</v>
      </c>
      <c r="O72" s="406" t="s">
        <v>1237</v>
      </c>
      <c r="P72" s="406">
        <v>10.0</v>
      </c>
      <c r="Q72" s="406">
        <v>10.0</v>
      </c>
      <c r="R72" s="406">
        <v>8.0</v>
      </c>
      <c r="S72" s="406">
        <v>10.0</v>
      </c>
      <c r="T72" s="406" t="s">
        <v>1238</v>
      </c>
      <c r="U72" s="406">
        <v>3.0</v>
      </c>
      <c r="V72" s="406">
        <v>3.0</v>
      </c>
      <c r="W72" s="406">
        <v>5.0</v>
      </c>
      <c r="X72" s="406">
        <v>10.0</v>
      </c>
      <c r="Y72" s="406" t="s">
        <v>1239</v>
      </c>
      <c r="Z72" s="407"/>
      <c r="AA72" s="406" t="s">
        <v>1240</v>
      </c>
      <c r="AB72" s="9" t="s">
        <v>39</v>
      </c>
      <c r="AC72" s="10" t="b">
        <v>1</v>
      </c>
      <c r="AD72" s="10"/>
      <c r="AE72" s="10"/>
      <c r="AF72" s="408">
        <f t="shared" si="1"/>
        <v>8</v>
      </c>
    </row>
    <row r="73">
      <c r="A73" s="404" t="s">
        <v>1241</v>
      </c>
      <c r="B73" s="261" t="s">
        <v>1242</v>
      </c>
      <c r="C73" s="405">
        <v>45529.67125</v>
      </c>
      <c r="D73" s="248" t="s">
        <v>318</v>
      </c>
      <c r="E73" s="261" t="s">
        <v>516</v>
      </c>
      <c r="F73" s="406">
        <v>8.0</v>
      </c>
      <c r="G73" s="406">
        <v>10.0</v>
      </c>
      <c r="H73" s="406">
        <v>10.0</v>
      </c>
      <c r="I73" s="406">
        <v>6.0</v>
      </c>
      <c r="J73" s="406" t="s">
        <v>1243</v>
      </c>
      <c r="K73" s="406">
        <v>9.0</v>
      </c>
      <c r="L73" s="406">
        <v>10.0</v>
      </c>
      <c r="M73" s="406">
        <v>10.0</v>
      </c>
      <c r="N73" s="406">
        <v>7.0</v>
      </c>
      <c r="O73" s="406" t="s">
        <v>1244</v>
      </c>
      <c r="P73" s="406">
        <v>10.0</v>
      </c>
      <c r="Q73" s="406">
        <v>10.0</v>
      </c>
      <c r="R73" s="406">
        <v>10.0</v>
      </c>
      <c r="S73" s="406">
        <v>10.0</v>
      </c>
      <c r="T73" s="406" t="s">
        <v>1245</v>
      </c>
      <c r="U73" s="406">
        <v>3.0</v>
      </c>
      <c r="V73" s="406">
        <v>5.0</v>
      </c>
      <c r="W73" s="406">
        <v>8.0</v>
      </c>
      <c r="X73" s="406">
        <v>9.0</v>
      </c>
      <c r="Y73" s="406" t="s">
        <v>1246</v>
      </c>
      <c r="Z73" s="407"/>
      <c r="AA73" s="407"/>
      <c r="AB73" s="9" t="s">
        <v>39</v>
      </c>
      <c r="AC73" s="10" t="b">
        <v>1</v>
      </c>
      <c r="AD73" s="10"/>
      <c r="AE73" s="10"/>
      <c r="AF73" s="408">
        <f t="shared" si="1"/>
        <v>8.4375</v>
      </c>
    </row>
    <row r="74">
      <c r="A74" s="404" t="s">
        <v>1247</v>
      </c>
      <c r="B74" s="261" t="s">
        <v>1248</v>
      </c>
      <c r="C74" s="405">
        <v>45529.742581018516</v>
      </c>
      <c r="D74" s="248" t="s">
        <v>306</v>
      </c>
      <c r="E74" s="261" t="s">
        <v>516</v>
      </c>
      <c r="F74" s="406">
        <v>8.0</v>
      </c>
      <c r="G74" s="406">
        <v>9.0</v>
      </c>
      <c r="H74" s="406">
        <v>9.0</v>
      </c>
      <c r="I74" s="406">
        <v>7.0</v>
      </c>
      <c r="J74" s="406" t="s">
        <v>1249</v>
      </c>
      <c r="K74" s="406">
        <v>7.0</v>
      </c>
      <c r="L74" s="406">
        <v>8.0</v>
      </c>
      <c r="M74" s="406">
        <v>10.0</v>
      </c>
      <c r="N74" s="406">
        <v>8.0</v>
      </c>
      <c r="O74" s="406" t="s">
        <v>38</v>
      </c>
      <c r="P74" s="406">
        <v>8.0</v>
      </c>
      <c r="Q74" s="406">
        <v>7.0</v>
      </c>
      <c r="R74" s="406">
        <v>8.0</v>
      </c>
      <c r="S74" s="406">
        <v>8.0</v>
      </c>
      <c r="T74" s="406" t="s">
        <v>38</v>
      </c>
      <c r="U74" s="406">
        <v>8.0</v>
      </c>
      <c r="V74" s="406">
        <v>9.0</v>
      </c>
      <c r="W74" s="406">
        <v>8.0</v>
      </c>
      <c r="X74" s="406">
        <v>10.0</v>
      </c>
      <c r="Y74" s="406" t="s">
        <v>38</v>
      </c>
      <c r="Z74" s="406" t="s">
        <v>1250</v>
      </c>
      <c r="AA74" s="406" t="s">
        <v>1251</v>
      </c>
      <c r="AB74" s="9" t="s">
        <v>39</v>
      </c>
      <c r="AC74" s="10" t="b">
        <v>1</v>
      </c>
      <c r="AD74" s="10"/>
      <c r="AE74" s="10"/>
      <c r="AF74" s="408">
        <f t="shared" si="1"/>
        <v>8.25</v>
      </c>
    </row>
    <row r="75">
      <c r="A75" s="404" t="s">
        <v>1252</v>
      </c>
      <c r="B75" s="261" t="s">
        <v>107</v>
      </c>
      <c r="C75" s="405">
        <v>45530.26130787037</v>
      </c>
      <c r="D75" s="248" t="s">
        <v>286</v>
      </c>
      <c r="E75" s="261" t="s">
        <v>516</v>
      </c>
      <c r="F75" s="406">
        <v>7.0</v>
      </c>
      <c r="G75" s="406">
        <v>6.0</v>
      </c>
      <c r="H75" s="406">
        <v>7.0</v>
      </c>
      <c r="I75" s="406">
        <v>8.0</v>
      </c>
      <c r="J75" s="406" t="s">
        <v>70</v>
      </c>
      <c r="K75" s="406">
        <v>8.0</v>
      </c>
      <c r="L75" s="406">
        <v>5.0</v>
      </c>
      <c r="M75" s="406">
        <v>9.0</v>
      </c>
      <c r="N75" s="406">
        <v>8.0</v>
      </c>
      <c r="O75" s="406" t="s">
        <v>38</v>
      </c>
      <c r="P75" s="406">
        <v>7.0</v>
      </c>
      <c r="Q75" s="406">
        <v>7.0</v>
      </c>
      <c r="R75" s="406">
        <v>7.0</v>
      </c>
      <c r="S75" s="406">
        <v>7.0</v>
      </c>
      <c r="T75" s="406" t="s">
        <v>70</v>
      </c>
      <c r="U75" s="406">
        <v>7.0</v>
      </c>
      <c r="V75" s="406">
        <v>7.0</v>
      </c>
      <c r="W75" s="406">
        <v>7.0</v>
      </c>
      <c r="X75" s="406">
        <v>8.0</v>
      </c>
      <c r="Y75" s="406" t="s">
        <v>70</v>
      </c>
      <c r="Z75" s="407"/>
      <c r="AA75" s="407"/>
      <c r="AB75" s="9" t="s">
        <v>39</v>
      </c>
      <c r="AC75" s="10" t="b">
        <v>1</v>
      </c>
      <c r="AD75" s="10"/>
      <c r="AE75" s="10"/>
      <c r="AF75" s="408">
        <f t="shared" si="1"/>
        <v>7.1875</v>
      </c>
    </row>
    <row r="76">
      <c r="A76" s="404" t="s">
        <v>1253</v>
      </c>
      <c r="B76" s="261" t="s">
        <v>1254</v>
      </c>
      <c r="C76" s="405">
        <v>45530.32633101852</v>
      </c>
      <c r="D76" s="248" t="s">
        <v>772</v>
      </c>
      <c r="E76" s="261" t="s">
        <v>516</v>
      </c>
      <c r="F76" s="406">
        <v>8.0</v>
      </c>
      <c r="G76" s="406">
        <v>7.0</v>
      </c>
      <c r="H76" s="406">
        <v>7.0</v>
      </c>
      <c r="I76" s="406">
        <v>7.0</v>
      </c>
      <c r="J76" s="406" t="s">
        <v>1255</v>
      </c>
      <c r="K76" s="406">
        <v>7.0</v>
      </c>
      <c r="L76" s="406">
        <v>7.0</v>
      </c>
      <c r="M76" s="406">
        <v>7.0</v>
      </c>
      <c r="N76" s="406">
        <v>6.0</v>
      </c>
      <c r="O76" s="406" t="s">
        <v>1256</v>
      </c>
      <c r="P76" s="406">
        <v>7.0</v>
      </c>
      <c r="Q76" s="406">
        <v>8.0</v>
      </c>
      <c r="R76" s="406">
        <v>7.0</v>
      </c>
      <c r="S76" s="406">
        <v>6.0</v>
      </c>
      <c r="T76" s="406" t="s">
        <v>1257</v>
      </c>
      <c r="U76" s="406">
        <v>7.0</v>
      </c>
      <c r="V76" s="406">
        <v>7.0</v>
      </c>
      <c r="W76" s="406">
        <v>7.0</v>
      </c>
      <c r="X76" s="406">
        <v>7.0</v>
      </c>
      <c r="Y76" s="406" t="s">
        <v>1258</v>
      </c>
      <c r="Z76" s="407"/>
      <c r="AA76" s="407"/>
      <c r="AB76" s="9" t="s">
        <v>39</v>
      </c>
      <c r="AC76" s="10" t="b">
        <v>1</v>
      </c>
      <c r="AD76" s="10"/>
      <c r="AE76" s="10"/>
      <c r="AF76" s="408">
        <f t="shared" si="1"/>
        <v>7</v>
      </c>
    </row>
    <row r="77">
      <c r="A77" s="404" t="s">
        <v>1259</v>
      </c>
      <c r="B77" s="261" t="s">
        <v>506</v>
      </c>
      <c r="C77" s="405">
        <v>45530.3471875</v>
      </c>
      <c r="D77" s="248" t="s">
        <v>1260</v>
      </c>
      <c r="E77" s="261" t="s">
        <v>49</v>
      </c>
      <c r="F77" s="406">
        <v>8.0</v>
      </c>
      <c r="G77" s="406">
        <v>8.0</v>
      </c>
      <c r="H77" s="406">
        <v>8.0</v>
      </c>
      <c r="I77" s="406">
        <v>8.0</v>
      </c>
      <c r="J77" s="406" t="s">
        <v>1261</v>
      </c>
      <c r="K77" s="406">
        <v>8.0</v>
      </c>
      <c r="L77" s="406">
        <v>8.0</v>
      </c>
      <c r="M77" s="406">
        <v>8.0</v>
      </c>
      <c r="N77" s="406">
        <v>8.0</v>
      </c>
      <c r="O77" s="406" t="s">
        <v>1262</v>
      </c>
      <c r="P77" s="406">
        <v>8.0</v>
      </c>
      <c r="Q77" s="406">
        <v>8.0</v>
      </c>
      <c r="R77" s="406">
        <v>8.0</v>
      </c>
      <c r="S77" s="406">
        <v>8.0</v>
      </c>
      <c r="T77" s="406" t="s">
        <v>1263</v>
      </c>
      <c r="U77" s="406">
        <v>8.0</v>
      </c>
      <c r="V77" s="406">
        <v>8.0</v>
      </c>
      <c r="W77" s="406">
        <v>8.0</v>
      </c>
      <c r="X77" s="406">
        <v>8.0</v>
      </c>
      <c r="Y77" s="406" t="s">
        <v>1264</v>
      </c>
      <c r="Z77" s="407"/>
      <c r="AA77" s="407"/>
      <c r="AB77" s="9" t="s">
        <v>39</v>
      </c>
      <c r="AC77" s="10" t="b">
        <v>1</v>
      </c>
      <c r="AD77" s="10"/>
      <c r="AE77" s="10"/>
      <c r="AF77" s="408">
        <f t="shared" si="1"/>
        <v>8</v>
      </c>
    </row>
    <row r="78">
      <c r="A78" s="404" t="s">
        <v>1265</v>
      </c>
      <c r="B78" s="261" t="s">
        <v>457</v>
      </c>
      <c r="C78" s="405">
        <v>45530.61601851852</v>
      </c>
      <c r="D78" s="248" t="s">
        <v>410</v>
      </c>
      <c r="E78" s="261" t="s">
        <v>49</v>
      </c>
      <c r="F78" s="406">
        <v>9.0</v>
      </c>
      <c r="G78" s="406">
        <v>9.0</v>
      </c>
      <c r="H78" s="406">
        <v>9.0</v>
      </c>
      <c r="I78" s="406">
        <v>9.0</v>
      </c>
      <c r="J78" s="406" t="s">
        <v>1266</v>
      </c>
      <c r="K78" s="406">
        <v>9.0</v>
      </c>
      <c r="L78" s="406">
        <v>9.0</v>
      </c>
      <c r="M78" s="406">
        <v>9.0</v>
      </c>
      <c r="N78" s="406">
        <v>8.0</v>
      </c>
      <c r="O78" s="406" t="s">
        <v>1267</v>
      </c>
      <c r="P78" s="406">
        <v>9.0</v>
      </c>
      <c r="Q78" s="406">
        <v>9.0</v>
      </c>
      <c r="R78" s="406">
        <v>9.0</v>
      </c>
      <c r="S78" s="406">
        <v>9.0</v>
      </c>
      <c r="T78" s="406" t="s">
        <v>1268</v>
      </c>
      <c r="U78" s="406">
        <v>10.0</v>
      </c>
      <c r="V78" s="406">
        <v>10.0</v>
      </c>
      <c r="W78" s="406">
        <v>9.0</v>
      </c>
      <c r="X78" s="406">
        <v>9.0</v>
      </c>
      <c r="Y78" s="406" t="s">
        <v>1269</v>
      </c>
      <c r="Z78" s="406"/>
      <c r="AA78" s="407"/>
      <c r="AB78" s="9" t="s">
        <v>39</v>
      </c>
      <c r="AC78" s="10" t="b">
        <v>1</v>
      </c>
      <c r="AD78" s="10"/>
      <c r="AE78" s="10"/>
      <c r="AF78" s="408">
        <f t="shared" si="1"/>
        <v>9.0625</v>
      </c>
    </row>
    <row r="79">
      <c r="A79" s="404" t="s">
        <v>1270</v>
      </c>
      <c r="B79" s="261" t="s">
        <v>1271</v>
      </c>
      <c r="C79" s="405">
        <v>45530.617789351854</v>
      </c>
      <c r="D79" s="248" t="s">
        <v>414</v>
      </c>
      <c r="E79" s="261" t="s">
        <v>49</v>
      </c>
      <c r="F79" s="406">
        <v>9.0</v>
      </c>
      <c r="G79" s="406">
        <v>10.0</v>
      </c>
      <c r="H79" s="406">
        <v>8.0</v>
      </c>
      <c r="I79" s="406">
        <v>10.0</v>
      </c>
      <c r="J79" s="406" t="s">
        <v>1272</v>
      </c>
      <c r="K79" s="406">
        <v>10.0</v>
      </c>
      <c r="L79" s="406">
        <v>9.0</v>
      </c>
      <c r="M79" s="406">
        <v>9.0</v>
      </c>
      <c r="N79" s="406">
        <v>9.0</v>
      </c>
      <c r="O79" s="406" t="s">
        <v>1273</v>
      </c>
      <c r="P79" s="406">
        <v>10.0</v>
      </c>
      <c r="Q79" s="406">
        <v>10.0</v>
      </c>
      <c r="R79" s="406">
        <v>9.0</v>
      </c>
      <c r="S79" s="406">
        <v>10.0</v>
      </c>
      <c r="T79" s="406" t="s">
        <v>38</v>
      </c>
      <c r="U79" s="406">
        <v>8.0</v>
      </c>
      <c r="V79" s="406">
        <v>10.0</v>
      </c>
      <c r="W79" s="406">
        <v>9.0</v>
      </c>
      <c r="X79" s="406">
        <v>10.0</v>
      </c>
      <c r="Y79" s="406" t="s">
        <v>38</v>
      </c>
      <c r="Z79" s="406"/>
      <c r="AA79" s="407"/>
      <c r="AB79" s="9" t="s">
        <v>39</v>
      </c>
      <c r="AC79" s="10" t="b">
        <v>1</v>
      </c>
      <c r="AD79" s="10"/>
      <c r="AE79" s="10"/>
      <c r="AF79" s="408">
        <f t="shared" si="1"/>
        <v>9.375</v>
      </c>
    </row>
    <row r="80">
      <c r="A80" s="404" t="s">
        <v>1274</v>
      </c>
      <c r="B80" s="261" t="s">
        <v>126</v>
      </c>
      <c r="C80" s="405">
        <v>45530.62863425926</v>
      </c>
      <c r="D80" s="248" t="s">
        <v>1275</v>
      </c>
      <c r="E80" s="261" t="s">
        <v>49</v>
      </c>
      <c r="F80" s="406">
        <v>8.0</v>
      </c>
      <c r="G80" s="406">
        <v>8.0</v>
      </c>
      <c r="H80" s="406">
        <v>10.0</v>
      </c>
      <c r="I80" s="406">
        <v>10.0</v>
      </c>
      <c r="J80" s="406" t="s">
        <v>65</v>
      </c>
      <c r="K80" s="406">
        <v>10.0</v>
      </c>
      <c r="L80" s="406">
        <v>10.0</v>
      </c>
      <c r="M80" s="406">
        <v>10.0</v>
      </c>
      <c r="N80" s="406">
        <v>10.0</v>
      </c>
      <c r="O80" s="406" t="s">
        <v>65</v>
      </c>
      <c r="P80" s="406">
        <v>10.0</v>
      </c>
      <c r="Q80" s="406">
        <v>10.0</v>
      </c>
      <c r="R80" s="406">
        <v>10.0</v>
      </c>
      <c r="S80" s="406">
        <v>10.0</v>
      </c>
      <c r="T80" s="406" t="s">
        <v>65</v>
      </c>
      <c r="U80" s="406">
        <v>7.0</v>
      </c>
      <c r="V80" s="406">
        <v>8.0</v>
      </c>
      <c r="W80" s="406">
        <v>9.0</v>
      </c>
      <c r="X80" s="406">
        <v>9.0</v>
      </c>
      <c r="Y80" s="406" t="s">
        <v>65</v>
      </c>
      <c r="Z80" s="407"/>
      <c r="AA80" s="407"/>
      <c r="AB80" s="9" t="s">
        <v>39</v>
      </c>
      <c r="AC80" s="10" t="b">
        <v>1</v>
      </c>
      <c r="AD80" s="10"/>
      <c r="AE80" s="10"/>
      <c r="AF80" s="408">
        <f t="shared" si="1"/>
        <v>9.3125</v>
      </c>
    </row>
    <row r="81">
      <c r="A81" s="404" t="s">
        <v>1276</v>
      </c>
      <c r="B81" s="261" t="s">
        <v>1277</v>
      </c>
      <c r="C81" s="405">
        <v>45530.66297453704</v>
      </c>
      <c r="D81" s="248" t="s">
        <v>781</v>
      </c>
      <c r="E81" s="261" t="s">
        <v>49</v>
      </c>
      <c r="F81" s="406">
        <v>8.0</v>
      </c>
      <c r="G81" s="406">
        <v>8.0</v>
      </c>
      <c r="H81" s="406">
        <v>8.0</v>
      </c>
      <c r="I81" s="406">
        <v>8.0</v>
      </c>
      <c r="J81" s="406" t="s">
        <v>1278</v>
      </c>
      <c r="K81" s="406">
        <v>8.0</v>
      </c>
      <c r="L81" s="406">
        <v>8.0</v>
      </c>
      <c r="M81" s="406">
        <v>8.0</v>
      </c>
      <c r="N81" s="406">
        <v>8.0</v>
      </c>
      <c r="O81" s="406" t="s">
        <v>1279</v>
      </c>
      <c r="P81" s="406">
        <v>8.0</v>
      </c>
      <c r="Q81" s="406">
        <v>8.0</v>
      </c>
      <c r="R81" s="406">
        <v>8.0</v>
      </c>
      <c r="S81" s="406">
        <v>8.0</v>
      </c>
      <c r="T81" s="406" t="s">
        <v>1280</v>
      </c>
      <c r="U81" s="406">
        <v>8.0</v>
      </c>
      <c r="V81" s="406">
        <v>8.0</v>
      </c>
      <c r="W81" s="406">
        <v>8.0</v>
      </c>
      <c r="X81" s="406">
        <v>8.0</v>
      </c>
      <c r="Y81" s="406" t="s">
        <v>1281</v>
      </c>
      <c r="Z81" s="406" t="s">
        <v>1282</v>
      </c>
      <c r="AA81" s="407"/>
      <c r="AB81" s="9" t="s">
        <v>39</v>
      </c>
      <c r="AC81" s="10" t="b">
        <v>1</v>
      </c>
      <c r="AD81" s="10"/>
      <c r="AE81" s="10"/>
      <c r="AF81" s="408">
        <f t="shared" si="1"/>
        <v>8</v>
      </c>
    </row>
    <row r="82">
      <c r="A82" s="404" t="s">
        <v>1283</v>
      </c>
      <c r="B82" s="261" t="s">
        <v>1284</v>
      </c>
      <c r="C82" s="405">
        <v>45530.69724537037</v>
      </c>
      <c r="D82" s="248" t="s">
        <v>1285</v>
      </c>
      <c r="E82" s="261" t="s">
        <v>49</v>
      </c>
      <c r="F82" s="406">
        <v>9.0</v>
      </c>
      <c r="G82" s="406">
        <v>7.0</v>
      </c>
      <c r="H82" s="406">
        <v>8.0</v>
      </c>
      <c r="I82" s="406">
        <v>9.0</v>
      </c>
      <c r="J82" s="406" t="s">
        <v>38</v>
      </c>
      <c r="K82" s="406">
        <v>9.0</v>
      </c>
      <c r="L82" s="406">
        <v>8.0</v>
      </c>
      <c r="M82" s="406">
        <v>9.0</v>
      </c>
      <c r="N82" s="406">
        <v>6.0</v>
      </c>
      <c r="O82" s="406" t="s">
        <v>1286</v>
      </c>
      <c r="P82" s="406">
        <v>9.0</v>
      </c>
      <c r="Q82" s="406">
        <v>7.0</v>
      </c>
      <c r="R82" s="406">
        <v>7.0</v>
      </c>
      <c r="S82" s="406">
        <v>6.0</v>
      </c>
      <c r="T82" s="406" t="s">
        <v>38</v>
      </c>
      <c r="U82" s="406">
        <v>5.0</v>
      </c>
      <c r="V82" s="406">
        <v>8.0</v>
      </c>
      <c r="W82" s="406">
        <v>6.0</v>
      </c>
      <c r="X82" s="406">
        <v>9.0</v>
      </c>
      <c r="Y82" s="406" t="s">
        <v>38</v>
      </c>
      <c r="Z82" s="406" t="s">
        <v>1287</v>
      </c>
      <c r="AA82" s="407"/>
      <c r="AB82" s="9" t="s">
        <v>39</v>
      </c>
      <c r="AC82" s="10" t="b">
        <v>1</v>
      </c>
      <c r="AD82" s="10"/>
      <c r="AE82" s="10"/>
      <c r="AF82" s="408">
        <f t="shared" si="1"/>
        <v>7.625</v>
      </c>
    </row>
    <row r="83">
      <c r="A83" s="404" t="s">
        <v>1288</v>
      </c>
      <c r="B83" s="261" t="s">
        <v>1289</v>
      </c>
      <c r="C83" s="405">
        <v>45530.72489583334</v>
      </c>
      <c r="D83" s="248" t="s">
        <v>773</v>
      </c>
      <c r="E83" s="261" t="s">
        <v>49</v>
      </c>
      <c r="F83" s="406">
        <v>8.0</v>
      </c>
      <c r="G83" s="406">
        <v>6.0</v>
      </c>
      <c r="H83" s="406">
        <v>6.0</v>
      </c>
      <c r="I83" s="406">
        <v>7.0</v>
      </c>
      <c r="J83" s="406" t="s">
        <v>1290</v>
      </c>
      <c r="K83" s="406">
        <v>6.0</v>
      </c>
      <c r="L83" s="406">
        <v>8.0</v>
      </c>
      <c r="M83" s="406">
        <v>8.0</v>
      </c>
      <c r="N83" s="406">
        <v>5.0</v>
      </c>
      <c r="O83" s="406" t="s">
        <v>1291</v>
      </c>
      <c r="P83" s="406">
        <v>7.0</v>
      </c>
      <c r="Q83" s="406">
        <v>8.0</v>
      </c>
      <c r="R83" s="406">
        <v>8.0</v>
      </c>
      <c r="S83" s="406">
        <v>6.0</v>
      </c>
      <c r="T83" s="406" t="s">
        <v>1292</v>
      </c>
      <c r="U83" s="406">
        <v>7.0</v>
      </c>
      <c r="V83" s="406">
        <v>7.0</v>
      </c>
      <c r="W83" s="406">
        <v>8.0</v>
      </c>
      <c r="X83" s="406">
        <v>8.0</v>
      </c>
      <c r="Y83" s="406" t="s">
        <v>1293</v>
      </c>
      <c r="Z83" s="406" t="s">
        <v>1294</v>
      </c>
      <c r="AA83" s="406" t="s">
        <v>1295</v>
      </c>
      <c r="AB83" s="9" t="s">
        <v>39</v>
      </c>
      <c r="AC83" s="10" t="b">
        <v>1</v>
      </c>
      <c r="AD83" s="10"/>
      <c r="AE83" s="10"/>
      <c r="AF83" s="408">
        <f t="shared" si="1"/>
        <v>7.0625</v>
      </c>
    </row>
    <row r="84">
      <c r="A84" s="404" t="s">
        <v>1296</v>
      </c>
      <c r="B84" s="261" t="s">
        <v>41</v>
      </c>
      <c r="C84" s="405">
        <v>45530.81584490741</v>
      </c>
      <c r="D84" s="248" t="s">
        <v>776</v>
      </c>
      <c r="E84" s="261" t="s">
        <v>49</v>
      </c>
      <c r="F84" s="406">
        <v>7.0</v>
      </c>
      <c r="G84" s="406">
        <v>6.0</v>
      </c>
      <c r="H84" s="406">
        <v>7.0</v>
      </c>
      <c r="I84" s="406">
        <v>5.0</v>
      </c>
      <c r="J84" s="406" t="s">
        <v>1297</v>
      </c>
      <c r="K84" s="406">
        <v>8.0</v>
      </c>
      <c r="L84" s="406">
        <v>7.0</v>
      </c>
      <c r="M84" s="406">
        <v>7.0</v>
      </c>
      <c r="N84" s="406">
        <v>7.0</v>
      </c>
      <c r="O84" s="406" t="s">
        <v>1298</v>
      </c>
      <c r="P84" s="406">
        <v>7.0</v>
      </c>
      <c r="Q84" s="406">
        <v>7.0</v>
      </c>
      <c r="R84" s="406">
        <v>6.0</v>
      </c>
      <c r="S84" s="406">
        <v>5.0</v>
      </c>
      <c r="T84" s="406" t="s">
        <v>1299</v>
      </c>
      <c r="U84" s="406">
        <v>7.0</v>
      </c>
      <c r="V84" s="406">
        <v>7.0</v>
      </c>
      <c r="W84" s="406">
        <v>7.0</v>
      </c>
      <c r="X84" s="406">
        <v>8.0</v>
      </c>
      <c r="Y84" s="406" t="s">
        <v>1300</v>
      </c>
      <c r="Z84" s="406"/>
      <c r="AA84" s="407"/>
      <c r="AB84" s="9" t="s">
        <v>39</v>
      </c>
      <c r="AC84" s="10" t="b">
        <v>1</v>
      </c>
      <c r="AD84" s="10"/>
      <c r="AE84" s="10"/>
      <c r="AF84" s="408">
        <f t="shared" si="1"/>
        <v>6.75</v>
      </c>
    </row>
    <row r="85">
      <c r="A85" s="404" t="s">
        <v>1301</v>
      </c>
      <c r="B85" s="261" t="s">
        <v>524</v>
      </c>
      <c r="C85" s="405">
        <v>45531.346967592595</v>
      </c>
      <c r="D85" s="248" t="s">
        <v>433</v>
      </c>
      <c r="E85" s="261" t="s">
        <v>113</v>
      </c>
      <c r="F85" s="406">
        <v>10.0</v>
      </c>
      <c r="G85" s="406">
        <v>10.0</v>
      </c>
      <c r="H85" s="406">
        <v>10.0</v>
      </c>
      <c r="I85" s="406">
        <v>10.0</v>
      </c>
      <c r="J85" s="406" t="s">
        <v>553</v>
      </c>
      <c r="K85" s="406">
        <v>7.0</v>
      </c>
      <c r="L85" s="406">
        <v>7.0</v>
      </c>
      <c r="M85" s="406">
        <v>10.0</v>
      </c>
      <c r="N85" s="406">
        <v>10.0</v>
      </c>
      <c r="O85" s="406" t="s">
        <v>553</v>
      </c>
      <c r="P85" s="406">
        <v>10.0</v>
      </c>
      <c r="Q85" s="406">
        <v>8.0</v>
      </c>
      <c r="R85" s="406">
        <v>10.0</v>
      </c>
      <c r="S85" s="406">
        <v>10.0</v>
      </c>
      <c r="T85" s="406" t="s">
        <v>553</v>
      </c>
      <c r="U85" s="406">
        <v>8.0</v>
      </c>
      <c r="V85" s="406">
        <v>10.0</v>
      </c>
      <c r="W85" s="406">
        <v>10.0</v>
      </c>
      <c r="X85" s="406">
        <v>10.0</v>
      </c>
      <c r="Y85" s="406" t="s">
        <v>1302</v>
      </c>
      <c r="Z85" s="406" t="s">
        <v>1303</v>
      </c>
      <c r="AA85" s="406" t="s">
        <v>1304</v>
      </c>
      <c r="AB85" s="9" t="s">
        <v>39</v>
      </c>
      <c r="AC85" s="10" t="b">
        <v>1</v>
      </c>
      <c r="AD85" s="10"/>
      <c r="AE85" s="10"/>
      <c r="AF85" s="408">
        <f t="shared" si="1"/>
        <v>9.375</v>
      </c>
    </row>
    <row r="86">
      <c r="A86" s="404" t="s">
        <v>1305</v>
      </c>
      <c r="B86" s="261" t="s">
        <v>1306</v>
      </c>
      <c r="C86" s="405">
        <v>45531.81664351852</v>
      </c>
      <c r="D86" s="248" t="s">
        <v>269</v>
      </c>
      <c r="E86" s="261" t="s">
        <v>113</v>
      </c>
      <c r="F86" s="406">
        <v>8.0</v>
      </c>
      <c r="G86" s="406">
        <v>10.0</v>
      </c>
      <c r="H86" s="406">
        <v>8.0</v>
      </c>
      <c r="I86" s="406">
        <v>7.0</v>
      </c>
      <c r="J86" s="406" t="s">
        <v>1307</v>
      </c>
      <c r="K86" s="406">
        <v>9.0</v>
      </c>
      <c r="L86" s="406">
        <v>7.0</v>
      </c>
      <c r="M86" s="406">
        <v>10.0</v>
      </c>
      <c r="N86" s="406">
        <v>10.0</v>
      </c>
      <c r="O86" s="406" t="s">
        <v>1308</v>
      </c>
      <c r="P86" s="406">
        <v>10.0</v>
      </c>
      <c r="Q86" s="406">
        <v>10.0</v>
      </c>
      <c r="R86" s="406">
        <v>10.0</v>
      </c>
      <c r="S86" s="406">
        <v>10.0</v>
      </c>
      <c r="T86" s="406" t="s">
        <v>1309</v>
      </c>
      <c r="U86" s="406">
        <v>7.0</v>
      </c>
      <c r="V86" s="406">
        <v>6.0</v>
      </c>
      <c r="W86" s="406">
        <v>8.0</v>
      </c>
      <c r="X86" s="406">
        <v>8.0</v>
      </c>
      <c r="Y86" s="406" t="s">
        <v>1310</v>
      </c>
      <c r="Z86" s="407"/>
      <c r="AA86" s="407"/>
      <c r="AB86" s="9" t="s">
        <v>39</v>
      </c>
      <c r="AC86" s="10" t="b">
        <v>1</v>
      </c>
      <c r="AD86" s="10"/>
      <c r="AE86" s="10"/>
      <c r="AF86" s="408">
        <f t="shared" si="1"/>
        <v>8.625</v>
      </c>
    </row>
    <row r="87">
      <c r="A87" s="404" t="s">
        <v>1311</v>
      </c>
      <c r="B87" s="261" t="s">
        <v>1312</v>
      </c>
      <c r="C87" s="405">
        <v>45531.90225694444</v>
      </c>
      <c r="D87" s="248" t="s">
        <v>516</v>
      </c>
      <c r="E87" s="261" t="s">
        <v>113</v>
      </c>
      <c r="F87" s="406">
        <v>3.0</v>
      </c>
      <c r="G87" s="406">
        <v>3.0</v>
      </c>
      <c r="H87" s="406">
        <v>5.0</v>
      </c>
      <c r="I87" s="406">
        <v>4.0</v>
      </c>
      <c r="J87" s="406" t="s">
        <v>1313</v>
      </c>
      <c r="K87" s="406">
        <v>7.0</v>
      </c>
      <c r="L87" s="406">
        <v>5.0</v>
      </c>
      <c r="M87" s="406">
        <v>10.0</v>
      </c>
      <c r="N87" s="406">
        <v>5.0</v>
      </c>
      <c r="O87" s="406" t="s">
        <v>1314</v>
      </c>
      <c r="P87" s="406">
        <v>3.0</v>
      </c>
      <c r="Q87" s="406">
        <v>10.0</v>
      </c>
      <c r="R87" s="406">
        <v>2.0</v>
      </c>
      <c r="S87" s="406">
        <v>6.0</v>
      </c>
      <c r="T87" s="406" t="s">
        <v>1315</v>
      </c>
      <c r="U87" s="406">
        <v>1.0</v>
      </c>
      <c r="V87" s="406">
        <v>2.0</v>
      </c>
      <c r="W87" s="406">
        <v>1.0</v>
      </c>
      <c r="X87" s="406">
        <v>2.0</v>
      </c>
      <c r="Y87" s="406" t="s">
        <v>1316</v>
      </c>
      <c r="Z87" s="406" t="s">
        <v>1317</v>
      </c>
      <c r="AA87" s="406" t="s">
        <v>1318</v>
      </c>
      <c r="AB87" s="9" t="s">
        <v>39</v>
      </c>
      <c r="AC87" s="10" t="b">
        <v>1</v>
      </c>
      <c r="AD87" s="10"/>
      <c r="AE87" s="10"/>
      <c r="AF87" s="408">
        <f t="shared" si="1"/>
        <v>4.3125</v>
      </c>
    </row>
    <row r="88">
      <c r="A88" s="404" t="s">
        <v>1319</v>
      </c>
      <c r="B88" s="261" t="s">
        <v>1312</v>
      </c>
      <c r="C88" s="405">
        <v>45531.90712962963</v>
      </c>
      <c r="D88" s="248" t="s">
        <v>449</v>
      </c>
      <c r="E88" s="261" t="s">
        <v>486</v>
      </c>
      <c r="F88" s="406">
        <v>10.0</v>
      </c>
      <c r="G88" s="406">
        <v>9.0</v>
      </c>
      <c r="H88" s="406">
        <v>6.0</v>
      </c>
      <c r="I88" s="406">
        <v>9.0</v>
      </c>
      <c r="J88" s="406" t="s">
        <v>1320</v>
      </c>
      <c r="K88" s="406">
        <v>9.0</v>
      </c>
      <c r="L88" s="406">
        <v>9.0</v>
      </c>
      <c r="M88" s="406">
        <v>9.0</v>
      </c>
      <c r="N88" s="406">
        <v>9.0</v>
      </c>
      <c r="O88" s="406" t="s">
        <v>1321</v>
      </c>
      <c r="P88" s="406">
        <v>9.0</v>
      </c>
      <c r="Q88" s="406">
        <v>9.0</v>
      </c>
      <c r="R88" s="406">
        <v>9.0</v>
      </c>
      <c r="S88" s="406">
        <v>9.0</v>
      </c>
      <c r="T88" s="406" t="s">
        <v>1322</v>
      </c>
      <c r="U88" s="406">
        <v>9.0</v>
      </c>
      <c r="V88" s="406">
        <v>9.0</v>
      </c>
      <c r="W88" s="406">
        <v>9.0</v>
      </c>
      <c r="X88" s="406">
        <v>9.0</v>
      </c>
      <c r="Y88" s="406" t="s">
        <v>1323</v>
      </c>
      <c r="Z88" s="406"/>
      <c r="AA88" s="406" t="s">
        <v>1324</v>
      </c>
      <c r="AB88" s="9" t="s">
        <v>39</v>
      </c>
      <c r="AC88" s="10" t="b">
        <v>1</v>
      </c>
      <c r="AD88" s="10"/>
      <c r="AE88" s="10"/>
      <c r="AF88" s="408">
        <f t="shared" si="1"/>
        <v>8.875</v>
      </c>
    </row>
    <row r="89">
      <c r="A89" s="404" t="s">
        <v>1325</v>
      </c>
      <c r="B89" s="261" t="s">
        <v>1326</v>
      </c>
      <c r="C89" s="405">
        <v>45536.19341435185</v>
      </c>
      <c r="D89" s="248" t="s">
        <v>1327</v>
      </c>
      <c r="E89" s="261" t="s">
        <v>486</v>
      </c>
      <c r="F89" s="406">
        <v>10.0</v>
      </c>
      <c r="G89" s="406">
        <v>10.0</v>
      </c>
      <c r="H89" s="406">
        <v>10.0</v>
      </c>
      <c r="I89" s="406">
        <v>8.0</v>
      </c>
      <c r="J89" s="406" t="s">
        <v>1328</v>
      </c>
      <c r="K89" s="406">
        <v>10.0</v>
      </c>
      <c r="L89" s="406">
        <v>10.0</v>
      </c>
      <c r="M89" s="406">
        <v>10.0</v>
      </c>
      <c r="N89" s="406">
        <v>10.0</v>
      </c>
      <c r="O89" s="406" t="s">
        <v>1329</v>
      </c>
      <c r="P89" s="406">
        <v>10.0</v>
      </c>
      <c r="Q89" s="406">
        <v>10.0</v>
      </c>
      <c r="R89" s="406">
        <v>10.0</v>
      </c>
      <c r="S89" s="406">
        <v>10.0</v>
      </c>
      <c r="T89" s="406" t="s">
        <v>1330</v>
      </c>
      <c r="U89" s="406">
        <v>8.0</v>
      </c>
      <c r="V89" s="406">
        <v>8.0</v>
      </c>
      <c r="W89" s="406">
        <v>7.0</v>
      </c>
      <c r="X89" s="406">
        <v>10.0</v>
      </c>
      <c r="Y89" s="406" t="s">
        <v>1331</v>
      </c>
      <c r="Z89" s="406" t="s">
        <v>1332</v>
      </c>
      <c r="AA89" s="407"/>
      <c r="AB89" s="9" t="s">
        <v>39</v>
      </c>
      <c r="AC89" s="10" t="b">
        <v>1</v>
      </c>
      <c r="AD89" s="10"/>
      <c r="AE89" s="10"/>
      <c r="AF89" s="408">
        <f t="shared" si="1"/>
        <v>9.4375</v>
      </c>
    </row>
    <row r="90">
      <c r="A90" s="404"/>
      <c r="B90" s="261"/>
      <c r="C90" s="405"/>
      <c r="D90" s="248" t="s">
        <v>1333</v>
      </c>
      <c r="E90" s="261" t="s">
        <v>486</v>
      </c>
      <c r="F90" s="406">
        <v>10.0</v>
      </c>
      <c r="G90" s="406">
        <v>10.0</v>
      </c>
      <c r="H90" s="406">
        <v>10.0</v>
      </c>
      <c r="I90" s="406">
        <v>10.0</v>
      </c>
      <c r="J90" s="406" t="s">
        <v>1334</v>
      </c>
      <c r="K90" s="406">
        <v>10.0</v>
      </c>
      <c r="L90" s="406">
        <v>10.0</v>
      </c>
      <c r="M90" s="406">
        <v>10.0</v>
      </c>
      <c r="N90" s="406">
        <v>10.0</v>
      </c>
      <c r="O90" s="406" t="s">
        <v>1110</v>
      </c>
      <c r="P90" s="406">
        <v>8.0</v>
      </c>
      <c r="Q90" s="406">
        <v>10.0</v>
      </c>
      <c r="R90" s="406">
        <v>10.0</v>
      </c>
      <c r="S90" s="406">
        <v>8.0</v>
      </c>
      <c r="T90" s="406" t="s">
        <v>1335</v>
      </c>
      <c r="U90" s="406">
        <v>3.0</v>
      </c>
      <c r="V90" s="406">
        <v>10.0</v>
      </c>
      <c r="W90" s="406">
        <v>9.0</v>
      </c>
      <c r="X90" s="406">
        <v>10.0</v>
      </c>
      <c r="Y90" s="406" t="s">
        <v>1336</v>
      </c>
      <c r="Z90" s="407"/>
      <c r="AA90" s="407"/>
      <c r="AB90" s="9" t="s">
        <v>39</v>
      </c>
      <c r="AC90" s="10" t="b">
        <v>1</v>
      </c>
      <c r="AD90" s="10"/>
      <c r="AE90" s="10"/>
      <c r="AF90" s="408">
        <f t="shared" si="1"/>
        <v>9.25</v>
      </c>
    </row>
    <row r="91">
      <c r="A91" s="404"/>
      <c r="B91" s="261"/>
      <c r="C91" s="405"/>
      <c r="D91" s="248" t="s">
        <v>478</v>
      </c>
      <c r="E91" s="261" t="s">
        <v>486</v>
      </c>
      <c r="F91" s="406">
        <v>10.0</v>
      </c>
      <c r="G91" s="406">
        <v>6.0</v>
      </c>
      <c r="H91" s="406">
        <v>10.0</v>
      </c>
      <c r="I91" s="406">
        <v>10.0</v>
      </c>
      <c r="J91" s="406" t="s">
        <v>1337</v>
      </c>
      <c r="K91" s="406">
        <v>10.0</v>
      </c>
      <c r="L91" s="406">
        <v>10.0</v>
      </c>
      <c r="M91" s="406">
        <v>10.0</v>
      </c>
      <c r="N91" s="406">
        <v>6.0</v>
      </c>
      <c r="O91" s="406" t="s">
        <v>1338</v>
      </c>
      <c r="P91" s="406">
        <v>7.0</v>
      </c>
      <c r="Q91" s="406">
        <v>10.0</v>
      </c>
      <c r="R91" s="406">
        <v>10.0</v>
      </c>
      <c r="S91" s="406">
        <v>10.0</v>
      </c>
      <c r="T91" s="406" t="s">
        <v>1339</v>
      </c>
      <c r="U91" s="406">
        <v>6.0</v>
      </c>
      <c r="V91" s="406">
        <v>10.0</v>
      </c>
      <c r="W91" s="406">
        <v>10.0</v>
      </c>
      <c r="X91" s="406">
        <v>10.0</v>
      </c>
      <c r="Y91" s="406" t="s">
        <v>110</v>
      </c>
      <c r="Z91" s="406" t="s">
        <v>1340</v>
      </c>
      <c r="AA91" s="407"/>
      <c r="AB91" s="9" t="s">
        <v>39</v>
      </c>
      <c r="AC91" s="10" t="b">
        <v>1</v>
      </c>
      <c r="AD91" s="10"/>
      <c r="AE91" s="10"/>
      <c r="AF91" s="408">
        <f t="shared" si="1"/>
        <v>9.0625</v>
      </c>
    </row>
    <row r="92">
      <c r="A92" s="404"/>
      <c r="B92" s="261"/>
      <c r="C92" s="405"/>
      <c r="D92" s="248" t="s">
        <v>781</v>
      </c>
      <c r="E92" s="261" t="s">
        <v>486</v>
      </c>
      <c r="F92" s="406">
        <v>9.0</v>
      </c>
      <c r="G92" s="406">
        <v>8.0</v>
      </c>
      <c r="H92" s="406">
        <v>8.0</v>
      </c>
      <c r="I92" s="406">
        <v>8.0</v>
      </c>
      <c r="J92" s="406" t="s">
        <v>1341</v>
      </c>
      <c r="K92" s="406">
        <v>8.0</v>
      </c>
      <c r="L92" s="406">
        <v>8.0</v>
      </c>
      <c r="M92" s="406">
        <v>8.0</v>
      </c>
      <c r="N92" s="406">
        <v>9.0</v>
      </c>
      <c r="O92" s="406" t="s">
        <v>1342</v>
      </c>
      <c r="P92" s="406">
        <v>7.0</v>
      </c>
      <c r="Q92" s="406">
        <v>8.0</v>
      </c>
      <c r="R92" s="406">
        <v>8.0</v>
      </c>
      <c r="S92" s="406">
        <v>8.0</v>
      </c>
      <c r="T92" s="406" t="s">
        <v>1343</v>
      </c>
      <c r="U92" s="406">
        <v>8.0</v>
      </c>
      <c r="V92" s="406">
        <v>8.0</v>
      </c>
      <c r="W92" s="406">
        <v>8.0</v>
      </c>
      <c r="X92" s="406">
        <v>8.0</v>
      </c>
      <c r="Y92" s="406" t="s">
        <v>1344</v>
      </c>
      <c r="Z92" s="406" t="s">
        <v>1345</v>
      </c>
      <c r="AA92" s="407"/>
      <c r="AB92" s="9" t="s">
        <v>39</v>
      </c>
      <c r="AC92" s="10" t="b">
        <v>1</v>
      </c>
      <c r="AD92" s="10"/>
      <c r="AE92" s="10"/>
      <c r="AF92" s="408">
        <f t="shared" si="1"/>
        <v>8.0625</v>
      </c>
    </row>
    <row r="93">
      <c r="A93" s="404"/>
      <c r="B93" s="261"/>
      <c r="C93" s="405"/>
      <c r="D93" s="248" t="s">
        <v>1346</v>
      </c>
      <c r="E93" s="261" t="s">
        <v>486</v>
      </c>
      <c r="F93" s="406">
        <v>9.0</v>
      </c>
      <c r="G93" s="406">
        <v>10.0</v>
      </c>
      <c r="H93" s="406">
        <v>9.0</v>
      </c>
      <c r="I93" s="406">
        <v>6.0</v>
      </c>
      <c r="J93" s="406" t="s">
        <v>1347</v>
      </c>
      <c r="K93" s="406">
        <v>9.0</v>
      </c>
      <c r="L93" s="406">
        <v>9.0</v>
      </c>
      <c r="M93" s="406">
        <v>10.0</v>
      </c>
      <c r="N93" s="406">
        <v>9.0</v>
      </c>
      <c r="O93" s="406" t="s">
        <v>1348</v>
      </c>
      <c r="P93" s="406">
        <v>5.0</v>
      </c>
      <c r="Q93" s="406">
        <v>7.0</v>
      </c>
      <c r="R93" s="406">
        <v>9.0</v>
      </c>
      <c r="S93" s="406">
        <v>4.0</v>
      </c>
      <c r="T93" s="406" t="s">
        <v>1348</v>
      </c>
      <c r="U93" s="406">
        <v>6.0</v>
      </c>
      <c r="V93" s="406">
        <v>6.0</v>
      </c>
      <c r="W93" s="406">
        <v>7.0</v>
      </c>
      <c r="X93" s="406">
        <v>10.0</v>
      </c>
      <c r="Y93" s="406" t="s">
        <v>1348</v>
      </c>
      <c r="Z93" s="406" t="s">
        <v>1349</v>
      </c>
      <c r="AA93" s="406" t="s">
        <v>1350</v>
      </c>
      <c r="AB93" s="9" t="s">
        <v>39</v>
      </c>
      <c r="AC93" s="10" t="b">
        <v>1</v>
      </c>
      <c r="AD93" s="10"/>
      <c r="AE93" s="10"/>
      <c r="AF93" s="408">
        <f t="shared" si="1"/>
        <v>7.8125</v>
      </c>
    </row>
    <row r="94">
      <c r="A94" s="404"/>
      <c r="B94" s="261"/>
      <c r="C94" s="405"/>
      <c r="D94" s="248" t="s">
        <v>525</v>
      </c>
      <c r="E94" s="261" t="s">
        <v>486</v>
      </c>
      <c r="F94" s="406">
        <v>8.0</v>
      </c>
      <c r="G94" s="406">
        <v>7.0</v>
      </c>
      <c r="H94" s="406">
        <v>7.0</v>
      </c>
      <c r="I94" s="406">
        <v>8.0</v>
      </c>
      <c r="J94" s="406" t="s">
        <v>1351</v>
      </c>
      <c r="K94" s="406">
        <v>8.0</v>
      </c>
      <c r="L94" s="406">
        <v>7.0</v>
      </c>
      <c r="M94" s="406">
        <v>8.0</v>
      </c>
      <c r="N94" s="406">
        <v>6.0</v>
      </c>
      <c r="O94" s="406" t="s">
        <v>1352</v>
      </c>
      <c r="P94" s="406">
        <v>7.0</v>
      </c>
      <c r="Q94" s="406">
        <v>7.0</v>
      </c>
      <c r="R94" s="406">
        <v>7.0</v>
      </c>
      <c r="S94" s="406">
        <v>6.0</v>
      </c>
      <c r="T94" s="406" t="s">
        <v>1353</v>
      </c>
      <c r="U94" s="406">
        <v>6.0</v>
      </c>
      <c r="V94" s="406">
        <v>6.0</v>
      </c>
      <c r="W94" s="406">
        <v>7.0</v>
      </c>
      <c r="X94" s="406">
        <v>7.0</v>
      </c>
      <c r="Y94" s="406" t="s">
        <v>1354</v>
      </c>
      <c r="Z94" s="407"/>
      <c r="AA94" s="407"/>
      <c r="AB94" s="9" t="s">
        <v>39</v>
      </c>
      <c r="AC94" s="10" t="b">
        <v>1</v>
      </c>
      <c r="AD94" s="10"/>
      <c r="AE94" s="10"/>
      <c r="AF94" s="408">
        <f t="shared" si="1"/>
        <v>7</v>
      </c>
    </row>
    <row r="95">
      <c r="A95" s="404"/>
      <c r="B95" s="261"/>
      <c r="C95" s="405"/>
      <c r="D95" s="248" t="s">
        <v>1355</v>
      </c>
      <c r="E95" s="261" t="s">
        <v>724</v>
      </c>
      <c r="F95" s="406">
        <v>10.0</v>
      </c>
      <c r="G95" s="406">
        <v>10.0</v>
      </c>
      <c r="H95" s="406">
        <v>10.0</v>
      </c>
      <c r="I95" s="406">
        <v>10.0</v>
      </c>
      <c r="J95" s="406" t="s">
        <v>396</v>
      </c>
      <c r="K95" s="406">
        <v>10.0</v>
      </c>
      <c r="L95" s="406">
        <v>9.0</v>
      </c>
      <c r="M95" s="406">
        <v>9.0</v>
      </c>
      <c r="N95" s="406">
        <v>8.0</v>
      </c>
      <c r="O95" s="406" t="s">
        <v>154</v>
      </c>
      <c r="P95" s="406">
        <v>9.0</v>
      </c>
      <c r="Q95" s="406">
        <v>8.0</v>
      </c>
      <c r="R95" s="406">
        <v>9.0</v>
      </c>
      <c r="S95" s="406">
        <v>8.0</v>
      </c>
      <c r="T95" s="406" t="s">
        <v>1356</v>
      </c>
      <c r="U95" s="406">
        <v>9.0</v>
      </c>
      <c r="V95" s="406">
        <v>9.0</v>
      </c>
      <c r="W95" s="406">
        <v>9.0</v>
      </c>
      <c r="X95" s="406">
        <v>9.0</v>
      </c>
      <c r="Y95" s="406" t="s">
        <v>154</v>
      </c>
      <c r="Z95" s="406" t="s">
        <v>65</v>
      </c>
      <c r="AA95" s="406" t="s">
        <v>65</v>
      </c>
      <c r="AB95" s="9" t="s">
        <v>39</v>
      </c>
      <c r="AC95" s="10" t="b">
        <v>1</v>
      </c>
      <c r="AD95" s="10"/>
      <c r="AE95" s="10"/>
      <c r="AF95" s="408">
        <f t="shared" si="1"/>
        <v>9.125</v>
      </c>
    </row>
    <row r="96">
      <c r="A96" s="404"/>
      <c r="B96" s="261"/>
      <c r="C96" s="405"/>
      <c r="D96" s="248" t="s">
        <v>173</v>
      </c>
      <c r="E96" s="261" t="s">
        <v>724</v>
      </c>
      <c r="F96" s="406">
        <v>10.0</v>
      </c>
      <c r="G96" s="406">
        <v>10.0</v>
      </c>
      <c r="H96" s="406">
        <v>7.0</v>
      </c>
      <c r="I96" s="406">
        <v>8.0</v>
      </c>
      <c r="J96" s="406" t="s">
        <v>1357</v>
      </c>
      <c r="K96" s="406">
        <v>9.0</v>
      </c>
      <c r="L96" s="406">
        <v>9.0</v>
      </c>
      <c r="M96" s="406">
        <v>10.0</v>
      </c>
      <c r="N96" s="406">
        <v>9.0</v>
      </c>
      <c r="O96" s="406" t="s">
        <v>396</v>
      </c>
      <c r="P96" s="406">
        <v>9.0</v>
      </c>
      <c r="Q96" s="406">
        <v>10.0</v>
      </c>
      <c r="R96" s="406">
        <v>9.0</v>
      </c>
      <c r="S96" s="406">
        <v>7.0</v>
      </c>
      <c r="T96" s="406" t="s">
        <v>1358</v>
      </c>
      <c r="U96" s="406">
        <v>9.0</v>
      </c>
      <c r="V96" s="406">
        <v>10.0</v>
      </c>
      <c r="W96" s="406">
        <v>8.0</v>
      </c>
      <c r="X96" s="406">
        <v>8.0</v>
      </c>
      <c r="Y96" s="406" t="s">
        <v>396</v>
      </c>
      <c r="Z96" s="406" t="s">
        <v>1359</v>
      </c>
      <c r="AA96" s="406" t="s">
        <v>1360</v>
      </c>
      <c r="AB96" s="9" t="s">
        <v>39</v>
      </c>
      <c r="AC96" s="10" t="b">
        <v>1</v>
      </c>
      <c r="AD96" s="10"/>
      <c r="AE96" s="10"/>
      <c r="AF96" s="408">
        <f t="shared" si="1"/>
        <v>8.875</v>
      </c>
    </row>
    <row r="97">
      <c r="A97" s="404"/>
      <c r="B97" s="261"/>
      <c r="C97" s="405"/>
      <c r="D97" s="248" t="s">
        <v>861</v>
      </c>
      <c r="E97" s="261" t="s">
        <v>724</v>
      </c>
      <c r="F97" s="406">
        <v>9.0</v>
      </c>
      <c r="G97" s="406">
        <v>10.0</v>
      </c>
      <c r="H97" s="406">
        <v>9.0</v>
      </c>
      <c r="I97" s="406">
        <v>9.0</v>
      </c>
      <c r="J97" s="406" t="s">
        <v>1361</v>
      </c>
      <c r="K97" s="406">
        <v>8.0</v>
      </c>
      <c r="L97" s="406">
        <v>9.0</v>
      </c>
      <c r="M97" s="406">
        <v>9.0</v>
      </c>
      <c r="N97" s="406">
        <v>8.0</v>
      </c>
      <c r="O97" s="406" t="s">
        <v>1362</v>
      </c>
      <c r="P97" s="406">
        <v>9.0</v>
      </c>
      <c r="Q97" s="406">
        <v>9.0</v>
      </c>
      <c r="R97" s="406">
        <v>8.0</v>
      </c>
      <c r="S97" s="406">
        <v>9.0</v>
      </c>
      <c r="T97" s="406" t="s">
        <v>1363</v>
      </c>
      <c r="U97" s="406">
        <v>8.0</v>
      </c>
      <c r="V97" s="406">
        <v>7.0</v>
      </c>
      <c r="W97" s="406">
        <v>8.0</v>
      </c>
      <c r="X97" s="406">
        <v>9.0</v>
      </c>
      <c r="Y97" s="406" t="s">
        <v>70</v>
      </c>
      <c r="Z97" s="407"/>
      <c r="AA97" s="407"/>
      <c r="AB97" s="9" t="s">
        <v>39</v>
      </c>
      <c r="AC97" s="10" t="b">
        <v>1</v>
      </c>
      <c r="AD97" s="10"/>
      <c r="AE97" s="10"/>
      <c r="AF97" s="408">
        <f t="shared" si="1"/>
        <v>8.625</v>
      </c>
    </row>
    <row r="98" ht="28.5" customHeight="1">
      <c r="A98" s="404"/>
      <c r="B98" s="261"/>
      <c r="C98" s="405"/>
      <c r="D98" s="248" t="s">
        <v>784</v>
      </c>
      <c r="E98" s="261" t="s">
        <v>724</v>
      </c>
      <c r="F98" s="406">
        <v>3.0</v>
      </c>
      <c r="G98" s="406">
        <v>8.0</v>
      </c>
      <c r="H98" s="406">
        <v>5.0</v>
      </c>
      <c r="I98" s="406">
        <v>3.0</v>
      </c>
      <c r="J98" s="406" t="s">
        <v>1364</v>
      </c>
      <c r="K98" s="406">
        <v>2.0</v>
      </c>
      <c r="L98" s="406">
        <v>6.0</v>
      </c>
      <c r="M98" s="406">
        <v>3.0</v>
      </c>
      <c r="N98" s="406">
        <v>3.0</v>
      </c>
      <c r="O98" s="406" t="s">
        <v>1364</v>
      </c>
      <c r="P98" s="406">
        <v>2.0</v>
      </c>
      <c r="Q98" s="406">
        <v>2.0</v>
      </c>
      <c r="R98" s="406">
        <v>2.0</v>
      </c>
      <c r="S98" s="406">
        <v>2.0</v>
      </c>
      <c r="T98" s="406" t="s">
        <v>1364</v>
      </c>
      <c r="U98" s="406">
        <v>1.0</v>
      </c>
      <c r="V98" s="406">
        <v>1.0</v>
      </c>
      <c r="W98" s="406">
        <v>3.0</v>
      </c>
      <c r="X98" s="406">
        <v>1.0</v>
      </c>
      <c r="Y98" s="406" t="s">
        <v>1364</v>
      </c>
      <c r="Z98" s="406" t="s">
        <v>1365</v>
      </c>
      <c r="AA98" s="407"/>
      <c r="AB98" s="9" t="s">
        <v>39</v>
      </c>
      <c r="AC98" s="10" t="b">
        <v>1</v>
      </c>
      <c r="AD98" s="10"/>
      <c r="AE98" s="10"/>
      <c r="AF98" s="408">
        <f t="shared" si="1"/>
        <v>2.9375</v>
      </c>
    </row>
    <row r="99">
      <c r="A99" s="410"/>
      <c r="B99" s="411"/>
      <c r="C99" s="411"/>
      <c r="D99" s="248"/>
      <c r="E99" s="411"/>
      <c r="F99" s="412">
        <f t="shared" ref="F99:I99" si="2">AVERAGE(F3:F98)</f>
        <v>8.114583333</v>
      </c>
      <c r="G99" s="412">
        <f t="shared" si="2"/>
        <v>7.822916667</v>
      </c>
      <c r="H99" s="412">
        <f t="shared" si="2"/>
        <v>8.291666667</v>
      </c>
      <c r="I99" s="412">
        <f t="shared" si="2"/>
        <v>7.854166667</v>
      </c>
      <c r="J99" s="413"/>
      <c r="K99" s="412">
        <f t="shared" ref="K99:N99" si="3">AVERAGE(K3:K98)</f>
        <v>8.489583333</v>
      </c>
      <c r="L99" s="412">
        <f t="shared" si="3"/>
        <v>8.34375</v>
      </c>
      <c r="M99" s="412">
        <f t="shared" si="3"/>
        <v>8.9375</v>
      </c>
      <c r="N99" s="412">
        <f t="shared" si="3"/>
        <v>8.322916667</v>
      </c>
      <c r="O99" s="413"/>
      <c r="P99" s="412">
        <f t="shared" ref="P99:S99" si="4">AVERAGE(P3:P98)</f>
        <v>7.947916667</v>
      </c>
      <c r="Q99" s="412">
        <f t="shared" si="4"/>
        <v>8.364583333</v>
      </c>
      <c r="R99" s="412">
        <f t="shared" si="4"/>
        <v>8.083333333</v>
      </c>
      <c r="S99" s="412">
        <f t="shared" si="4"/>
        <v>7.84375</v>
      </c>
      <c r="T99" s="413"/>
      <c r="U99" s="412">
        <f t="shared" ref="U99:X99" si="5">AVERAGE(U3:U98)</f>
        <v>6.760416667</v>
      </c>
      <c r="V99" s="412">
        <f t="shared" si="5"/>
        <v>7.354166667</v>
      </c>
      <c r="W99" s="412">
        <f t="shared" si="5"/>
        <v>7.885416667</v>
      </c>
      <c r="X99" s="412">
        <f t="shared" si="5"/>
        <v>8.552083333</v>
      </c>
      <c r="Y99" s="413"/>
      <c r="Z99" s="413"/>
      <c r="AA99" s="413"/>
      <c r="AB99" s="413"/>
      <c r="AC99" s="413"/>
      <c r="AD99" s="413"/>
      <c r="AE99" s="413"/>
      <c r="AF99" s="414">
        <f>AVERAGE(F99:X99)</f>
        <v>8.060546875</v>
      </c>
    </row>
  </sheetData>
  <autoFilter ref="$D$1:$AF$98">
    <sortState ref="D1:AF98">
      <sortCondition ref="E1:E98"/>
      <sortCondition descending="1" ref="AF1:AF98"/>
    </sortState>
  </autoFilter>
  <conditionalFormatting sqref="AF1:AF98">
    <cfRule type="cellIs" dxfId="0" priority="1" operator="lessThanOrEqual">
      <formula>7.19</formula>
    </cfRule>
  </conditionalFormatting>
  <conditionalFormatting sqref="AF1:AF98">
    <cfRule type="cellIs" dxfId="1" priority="2" operator="greaterThanOrEqual">
      <formula>9.45</formula>
    </cfRule>
  </conditionalFormatting>
  <conditionalFormatting sqref="F99:X99">
    <cfRule type="cellIs" dxfId="3" priority="3" operator="greaterThanOrEqual">
      <formula>8.6</formula>
    </cfRule>
  </conditionalFormatting>
  <conditionalFormatting sqref="F99:X99">
    <cfRule type="cellIs" dxfId="0" priority="4" operator="lessThanOrEqual">
      <formula>7.6</formula>
    </cfRule>
  </conditionalFormatting>
  <conditionalFormatting sqref="F2:X98">
    <cfRule type="containsBlanks" dxfId="0" priority="5">
      <formula>LEN(TRIM(F2))=0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hidden="1" min="1" max="3" width="12.63"/>
    <col hidden="1" min="28" max="31" width="12.63"/>
  </cols>
  <sheetData>
    <row r="1" ht="78.0" customHeight="1">
      <c r="A1" s="402" t="s">
        <v>0</v>
      </c>
      <c r="B1" s="403" t="s">
        <v>1</v>
      </c>
      <c r="C1" s="403" t="s">
        <v>2</v>
      </c>
      <c r="D1" s="403" t="s">
        <v>3</v>
      </c>
      <c r="E1" s="403" t="s">
        <v>4</v>
      </c>
      <c r="F1" s="403" t="s">
        <v>5</v>
      </c>
      <c r="G1" s="403" t="s">
        <v>6</v>
      </c>
      <c r="H1" s="403" t="s">
        <v>7</v>
      </c>
      <c r="I1" s="403" t="s">
        <v>8</v>
      </c>
      <c r="J1" s="403" t="s">
        <v>9</v>
      </c>
      <c r="K1" s="403" t="s">
        <v>10</v>
      </c>
      <c r="L1" s="403" t="s">
        <v>11</v>
      </c>
      <c r="M1" s="403" t="s">
        <v>12</v>
      </c>
      <c r="N1" s="403" t="s">
        <v>13</v>
      </c>
      <c r="O1" s="403" t="s">
        <v>14</v>
      </c>
      <c r="P1" s="403" t="s">
        <v>15</v>
      </c>
      <c r="Q1" s="403" t="s">
        <v>16</v>
      </c>
      <c r="R1" s="403" t="s">
        <v>17</v>
      </c>
      <c r="S1" s="403" t="s">
        <v>18</v>
      </c>
      <c r="T1" s="403" t="s">
        <v>19</v>
      </c>
      <c r="U1" s="403" t="s">
        <v>20</v>
      </c>
      <c r="V1" s="403" t="s">
        <v>21</v>
      </c>
      <c r="W1" s="403" t="s">
        <v>22</v>
      </c>
      <c r="X1" s="403" t="s">
        <v>23</v>
      </c>
      <c r="Y1" s="403" t="s">
        <v>24</v>
      </c>
      <c r="Z1" s="403" t="s">
        <v>25</v>
      </c>
      <c r="AA1" s="403" t="s">
        <v>791</v>
      </c>
      <c r="AB1" s="3" t="s">
        <v>27</v>
      </c>
      <c r="AC1" s="2" t="s">
        <v>28</v>
      </c>
      <c r="AD1" s="2"/>
      <c r="AE1" s="2"/>
      <c r="AF1" s="2" t="s">
        <v>29</v>
      </c>
    </row>
    <row r="2">
      <c r="A2" s="404" t="s">
        <v>799</v>
      </c>
      <c r="B2" s="261" t="s">
        <v>800</v>
      </c>
      <c r="C2" s="405">
        <v>45519.65677083333</v>
      </c>
      <c r="D2" s="248" t="s">
        <v>42</v>
      </c>
      <c r="E2" s="261" t="s">
        <v>33</v>
      </c>
      <c r="F2" s="406">
        <v>9.0</v>
      </c>
      <c r="G2" s="406">
        <v>10.0</v>
      </c>
      <c r="H2" s="406">
        <v>6.0</v>
      </c>
      <c r="I2" s="406">
        <v>6.0</v>
      </c>
      <c r="J2" s="406" t="s">
        <v>802</v>
      </c>
      <c r="K2" s="406">
        <v>7.0</v>
      </c>
      <c r="L2" s="406">
        <v>9.0</v>
      </c>
      <c r="M2" s="406">
        <v>10.0</v>
      </c>
      <c r="N2" s="406">
        <v>10.0</v>
      </c>
      <c r="O2" s="406" t="s">
        <v>803</v>
      </c>
      <c r="P2" s="406">
        <v>10.0</v>
      </c>
      <c r="Q2" s="406">
        <v>10.0</v>
      </c>
      <c r="R2" s="406">
        <v>10.0</v>
      </c>
      <c r="S2" s="406">
        <v>10.0</v>
      </c>
      <c r="T2" s="406" t="s">
        <v>804</v>
      </c>
      <c r="U2" s="406">
        <v>2.0</v>
      </c>
      <c r="V2" s="406">
        <v>7.0</v>
      </c>
      <c r="W2" s="406">
        <v>8.0</v>
      </c>
      <c r="X2" s="406">
        <v>10.0</v>
      </c>
      <c r="Y2" s="406" t="s">
        <v>65</v>
      </c>
      <c r="Z2" s="407"/>
      <c r="AA2" s="407"/>
      <c r="AB2" s="9" t="s">
        <v>39</v>
      </c>
      <c r="AC2" s="10" t="b">
        <v>1</v>
      </c>
      <c r="AD2" s="10"/>
      <c r="AE2" s="10"/>
      <c r="AF2" s="408">
        <f t="shared" ref="AF2:AF75" si="1">AVERAGE(U2:X2,P2:S2,K2:N2,F2:I2)</f>
        <v>8.375</v>
      </c>
    </row>
    <row r="3">
      <c r="A3" s="404" t="s">
        <v>805</v>
      </c>
      <c r="B3" s="261" t="s">
        <v>806</v>
      </c>
      <c r="C3" s="405">
        <v>45519.66462962963</v>
      </c>
      <c r="D3" s="248" t="s">
        <v>724</v>
      </c>
      <c r="E3" s="261" t="s">
        <v>33</v>
      </c>
      <c r="F3" s="406">
        <v>7.0</v>
      </c>
      <c r="G3" s="406">
        <v>6.0</v>
      </c>
      <c r="H3" s="406">
        <v>9.0</v>
      </c>
      <c r="I3" s="406">
        <v>5.0</v>
      </c>
      <c r="J3" s="406" t="s">
        <v>807</v>
      </c>
      <c r="K3" s="406">
        <v>10.0</v>
      </c>
      <c r="L3" s="406">
        <v>10.0</v>
      </c>
      <c r="M3" s="406">
        <v>10.0</v>
      </c>
      <c r="N3" s="406">
        <v>7.0</v>
      </c>
      <c r="O3" s="406" t="s">
        <v>808</v>
      </c>
      <c r="P3" s="406">
        <v>10.0</v>
      </c>
      <c r="Q3" s="406">
        <v>9.0</v>
      </c>
      <c r="R3" s="406">
        <v>9.0</v>
      </c>
      <c r="S3" s="406">
        <v>5.0</v>
      </c>
      <c r="T3" s="406" t="s">
        <v>809</v>
      </c>
      <c r="U3" s="406">
        <v>7.0</v>
      </c>
      <c r="V3" s="406">
        <v>9.0</v>
      </c>
      <c r="W3" s="406">
        <v>10.0</v>
      </c>
      <c r="X3" s="406">
        <v>9.0</v>
      </c>
      <c r="Y3" s="406" t="s">
        <v>810</v>
      </c>
      <c r="Z3" s="406" t="s">
        <v>811</v>
      </c>
      <c r="AA3" s="406" t="s">
        <v>812</v>
      </c>
      <c r="AB3" s="9" t="s">
        <v>39</v>
      </c>
      <c r="AC3" s="10" t="b">
        <v>1</v>
      </c>
      <c r="AD3" s="10"/>
      <c r="AE3" s="10"/>
      <c r="AF3" s="408">
        <f t="shared" si="1"/>
        <v>8.25</v>
      </c>
    </row>
    <row r="4">
      <c r="A4" s="404" t="s">
        <v>813</v>
      </c>
      <c r="B4" s="261" t="s">
        <v>119</v>
      </c>
      <c r="C4" s="405">
        <v>45519.73043981481</v>
      </c>
      <c r="D4" s="248" t="s">
        <v>448</v>
      </c>
      <c r="E4" s="261" t="s">
        <v>33</v>
      </c>
      <c r="F4" s="406">
        <v>8.0</v>
      </c>
      <c r="G4" s="406">
        <v>6.0</v>
      </c>
      <c r="H4" s="406">
        <v>7.0</v>
      </c>
      <c r="I4" s="406">
        <v>8.0</v>
      </c>
      <c r="J4" s="406" t="s">
        <v>814</v>
      </c>
      <c r="K4" s="406">
        <v>9.0</v>
      </c>
      <c r="L4" s="406">
        <v>8.0</v>
      </c>
      <c r="M4" s="406">
        <v>7.0</v>
      </c>
      <c r="N4" s="406">
        <v>10.0</v>
      </c>
      <c r="O4" s="406" t="s">
        <v>815</v>
      </c>
      <c r="P4" s="406">
        <v>9.0</v>
      </c>
      <c r="Q4" s="406">
        <v>8.0</v>
      </c>
      <c r="R4" s="406">
        <v>9.0</v>
      </c>
      <c r="S4" s="406">
        <v>6.0</v>
      </c>
      <c r="T4" s="406" t="s">
        <v>816</v>
      </c>
      <c r="U4" s="406">
        <v>7.0</v>
      </c>
      <c r="V4" s="406">
        <v>8.0</v>
      </c>
      <c r="W4" s="406">
        <v>10.0</v>
      </c>
      <c r="X4" s="406">
        <v>8.0</v>
      </c>
      <c r="Y4" s="406" t="s">
        <v>817</v>
      </c>
      <c r="Z4" s="407"/>
      <c r="AA4" s="407"/>
      <c r="AB4" s="9" t="s">
        <v>39</v>
      </c>
      <c r="AC4" s="10" t="b">
        <v>1</v>
      </c>
      <c r="AD4" s="10"/>
      <c r="AE4" s="10"/>
      <c r="AF4" s="408">
        <f t="shared" si="1"/>
        <v>8</v>
      </c>
    </row>
    <row r="5">
      <c r="A5" s="404" t="s">
        <v>818</v>
      </c>
      <c r="B5" s="261" t="s">
        <v>819</v>
      </c>
      <c r="C5" s="405">
        <v>45519.91048611111</v>
      </c>
      <c r="D5" s="248" t="s">
        <v>774</v>
      </c>
      <c r="E5" s="261" t="s">
        <v>33</v>
      </c>
      <c r="F5" s="406">
        <v>6.0</v>
      </c>
      <c r="G5" s="406">
        <v>6.0</v>
      </c>
      <c r="H5" s="406">
        <v>9.0</v>
      </c>
      <c r="I5" s="406">
        <v>8.0</v>
      </c>
      <c r="J5" s="406" t="s">
        <v>820</v>
      </c>
      <c r="K5" s="406">
        <v>10.0</v>
      </c>
      <c r="L5" s="406">
        <v>8.0</v>
      </c>
      <c r="M5" s="406">
        <v>9.0</v>
      </c>
      <c r="N5" s="406">
        <v>9.0</v>
      </c>
      <c r="O5" s="406" t="s">
        <v>821</v>
      </c>
      <c r="P5" s="406">
        <v>9.0</v>
      </c>
      <c r="Q5" s="406">
        <v>9.0</v>
      </c>
      <c r="R5" s="406">
        <v>8.0</v>
      </c>
      <c r="S5" s="406">
        <v>6.0</v>
      </c>
      <c r="T5" s="406" t="s">
        <v>822</v>
      </c>
      <c r="U5" s="406">
        <v>6.0</v>
      </c>
      <c r="V5" s="406">
        <v>6.0</v>
      </c>
      <c r="W5" s="406">
        <v>8.0</v>
      </c>
      <c r="X5" s="406">
        <v>10.0</v>
      </c>
      <c r="Y5" s="406" t="s">
        <v>823</v>
      </c>
      <c r="Z5" s="406" t="s">
        <v>1366</v>
      </c>
      <c r="AA5" s="406" t="s">
        <v>825</v>
      </c>
      <c r="AB5" s="9" t="s">
        <v>39</v>
      </c>
      <c r="AC5" s="10" t="b">
        <v>1</v>
      </c>
      <c r="AD5" s="10"/>
      <c r="AE5" s="10"/>
      <c r="AF5" s="408">
        <f t="shared" si="1"/>
        <v>7.9375</v>
      </c>
    </row>
    <row r="6">
      <c r="A6" s="404" t="s">
        <v>826</v>
      </c>
      <c r="B6" s="261" t="s">
        <v>827</v>
      </c>
      <c r="C6" s="405">
        <v>45520.46673611111</v>
      </c>
      <c r="D6" s="248" t="s">
        <v>486</v>
      </c>
      <c r="E6" s="261" t="s">
        <v>33</v>
      </c>
      <c r="F6" s="406">
        <v>8.0</v>
      </c>
      <c r="G6" s="406">
        <v>8.0</v>
      </c>
      <c r="H6" s="406">
        <v>7.0</v>
      </c>
      <c r="I6" s="406">
        <v>7.0</v>
      </c>
      <c r="J6" s="406" t="s">
        <v>65</v>
      </c>
      <c r="K6" s="406">
        <v>9.0</v>
      </c>
      <c r="L6" s="406">
        <v>8.0</v>
      </c>
      <c r="M6" s="406">
        <v>9.0</v>
      </c>
      <c r="N6" s="406">
        <v>10.0</v>
      </c>
      <c r="O6" s="406" t="s">
        <v>65</v>
      </c>
      <c r="P6" s="406">
        <v>8.0</v>
      </c>
      <c r="Q6" s="406">
        <v>8.0</v>
      </c>
      <c r="R6" s="406">
        <v>6.0</v>
      </c>
      <c r="S6" s="406">
        <v>6.0</v>
      </c>
      <c r="T6" s="406" t="s">
        <v>65</v>
      </c>
      <c r="U6" s="406">
        <v>8.0</v>
      </c>
      <c r="V6" s="406">
        <v>6.0</v>
      </c>
      <c r="W6" s="406">
        <v>8.0</v>
      </c>
      <c r="X6" s="406">
        <v>9.0</v>
      </c>
      <c r="Y6" s="406" t="s">
        <v>65</v>
      </c>
      <c r="Z6" s="407"/>
      <c r="AA6" s="407"/>
      <c r="AB6" s="9" t="s">
        <v>39</v>
      </c>
      <c r="AC6" s="10" t="b">
        <v>1</v>
      </c>
      <c r="AD6" s="10"/>
      <c r="AE6" s="10"/>
      <c r="AF6" s="408">
        <f t="shared" si="1"/>
        <v>7.8125</v>
      </c>
    </row>
    <row r="7">
      <c r="A7" s="404" t="s">
        <v>828</v>
      </c>
      <c r="B7" s="261" t="s">
        <v>829</v>
      </c>
      <c r="C7" s="405">
        <v>45521.325949074075</v>
      </c>
      <c r="D7" s="248" t="s">
        <v>830</v>
      </c>
      <c r="E7" s="261" t="s">
        <v>33</v>
      </c>
      <c r="F7" s="406">
        <v>7.0</v>
      </c>
      <c r="G7" s="406">
        <v>7.0</v>
      </c>
      <c r="H7" s="406">
        <v>7.0</v>
      </c>
      <c r="I7" s="406">
        <v>7.0</v>
      </c>
      <c r="J7" s="406" t="s">
        <v>831</v>
      </c>
      <c r="K7" s="406">
        <v>7.0</v>
      </c>
      <c r="L7" s="406">
        <v>7.0</v>
      </c>
      <c r="M7" s="406">
        <v>7.0</v>
      </c>
      <c r="N7" s="406">
        <v>9.0</v>
      </c>
      <c r="O7" s="406" t="s">
        <v>832</v>
      </c>
      <c r="P7" s="406">
        <v>10.0</v>
      </c>
      <c r="Q7" s="406">
        <v>8.0</v>
      </c>
      <c r="R7" s="406">
        <v>9.0</v>
      </c>
      <c r="S7" s="406">
        <v>7.0</v>
      </c>
      <c r="T7" s="406" t="s">
        <v>833</v>
      </c>
      <c r="U7" s="406">
        <v>7.0</v>
      </c>
      <c r="V7" s="406">
        <v>7.0</v>
      </c>
      <c r="W7" s="406">
        <v>7.0</v>
      </c>
      <c r="X7" s="406">
        <v>10.0</v>
      </c>
      <c r="Y7" s="406" t="s">
        <v>834</v>
      </c>
      <c r="Z7" s="406" t="s">
        <v>1367</v>
      </c>
      <c r="AA7" s="406" t="s">
        <v>835</v>
      </c>
      <c r="AB7" s="9" t="s">
        <v>39</v>
      </c>
      <c r="AC7" s="10" t="b">
        <v>1</v>
      </c>
      <c r="AD7" s="10"/>
      <c r="AE7" s="10"/>
      <c r="AF7" s="408">
        <f t="shared" si="1"/>
        <v>7.6875</v>
      </c>
    </row>
    <row r="8">
      <c r="A8" s="404" t="s">
        <v>836</v>
      </c>
      <c r="B8" s="261" t="s">
        <v>240</v>
      </c>
      <c r="C8" s="405">
        <v>45521.813043981485</v>
      </c>
      <c r="D8" s="248" t="s">
        <v>781</v>
      </c>
      <c r="E8" s="261" t="s">
        <v>33</v>
      </c>
      <c r="F8" s="406">
        <v>5.0</v>
      </c>
      <c r="G8" s="406">
        <v>6.0</v>
      </c>
      <c r="H8" s="406">
        <v>7.0</v>
      </c>
      <c r="I8" s="406">
        <v>8.0</v>
      </c>
      <c r="J8" s="406" t="s">
        <v>837</v>
      </c>
      <c r="K8" s="406">
        <v>8.0</v>
      </c>
      <c r="L8" s="406">
        <v>7.0</v>
      </c>
      <c r="M8" s="406">
        <v>7.0</v>
      </c>
      <c r="N8" s="406">
        <v>10.0</v>
      </c>
      <c r="O8" s="406" t="s">
        <v>838</v>
      </c>
      <c r="P8" s="406">
        <v>10.0</v>
      </c>
      <c r="Q8" s="406">
        <v>8.0</v>
      </c>
      <c r="R8" s="406">
        <v>8.0</v>
      </c>
      <c r="S8" s="406">
        <v>5.0</v>
      </c>
      <c r="T8" s="406" t="s">
        <v>839</v>
      </c>
      <c r="U8" s="406">
        <v>6.0</v>
      </c>
      <c r="V8" s="406">
        <v>6.0</v>
      </c>
      <c r="W8" s="406">
        <v>9.0</v>
      </c>
      <c r="X8" s="406">
        <v>10.0</v>
      </c>
      <c r="Y8" s="406" t="s">
        <v>840</v>
      </c>
      <c r="Z8" s="406" t="s">
        <v>841</v>
      </c>
      <c r="AA8" s="407"/>
      <c r="AB8" s="9" t="s">
        <v>39</v>
      </c>
      <c r="AC8" s="10" t="b">
        <v>1</v>
      </c>
      <c r="AD8" s="10"/>
      <c r="AE8" s="10"/>
      <c r="AF8" s="408">
        <f t="shared" si="1"/>
        <v>7.5</v>
      </c>
    </row>
    <row r="9">
      <c r="A9" s="404" t="s">
        <v>842</v>
      </c>
      <c r="B9" s="261" t="s">
        <v>843</v>
      </c>
      <c r="C9" s="405">
        <v>45522.416354166664</v>
      </c>
      <c r="D9" s="248" t="s">
        <v>530</v>
      </c>
      <c r="E9" s="261" t="s">
        <v>33</v>
      </c>
      <c r="F9" s="406">
        <v>8.0</v>
      </c>
      <c r="G9" s="406">
        <v>7.0</v>
      </c>
      <c r="H9" s="406">
        <v>6.0</v>
      </c>
      <c r="I9" s="406">
        <v>8.0</v>
      </c>
      <c r="J9" s="406" t="s">
        <v>844</v>
      </c>
      <c r="K9" s="406">
        <v>7.0</v>
      </c>
      <c r="L9" s="406">
        <v>8.0</v>
      </c>
      <c r="M9" s="406">
        <v>7.0</v>
      </c>
      <c r="N9" s="406">
        <v>4.0</v>
      </c>
      <c r="O9" s="406" t="s">
        <v>367</v>
      </c>
      <c r="P9" s="406">
        <v>6.0</v>
      </c>
      <c r="Q9" s="406">
        <v>8.0</v>
      </c>
      <c r="R9" s="406">
        <v>7.0</v>
      </c>
      <c r="S9" s="406">
        <v>6.0</v>
      </c>
      <c r="T9" s="406" t="s">
        <v>845</v>
      </c>
      <c r="U9" s="406">
        <v>4.0</v>
      </c>
      <c r="V9" s="406">
        <v>4.0</v>
      </c>
      <c r="W9" s="406">
        <v>7.0</v>
      </c>
      <c r="X9" s="406">
        <v>10.0</v>
      </c>
      <c r="Y9" s="406" t="s">
        <v>846</v>
      </c>
      <c r="Z9" s="406" t="s">
        <v>847</v>
      </c>
      <c r="AA9" s="406" t="s">
        <v>848</v>
      </c>
      <c r="AB9" s="9" t="s">
        <v>39</v>
      </c>
      <c r="AC9" s="10" t="b">
        <v>1</v>
      </c>
      <c r="AD9" s="10"/>
      <c r="AE9" s="10"/>
      <c r="AF9" s="408">
        <f t="shared" si="1"/>
        <v>6.6875</v>
      </c>
    </row>
    <row r="10">
      <c r="A10" s="404" t="s">
        <v>849</v>
      </c>
      <c r="B10" s="261" t="s">
        <v>850</v>
      </c>
      <c r="C10" s="405">
        <v>45522.42266203704</v>
      </c>
      <c r="D10" s="248" t="s">
        <v>241</v>
      </c>
      <c r="E10" s="261" t="s">
        <v>33</v>
      </c>
      <c r="F10" s="406">
        <v>8.0</v>
      </c>
      <c r="G10" s="406">
        <v>8.0</v>
      </c>
      <c r="H10" s="406">
        <v>6.0</v>
      </c>
      <c r="I10" s="406">
        <v>6.0</v>
      </c>
      <c r="J10" s="406" t="s">
        <v>851</v>
      </c>
      <c r="K10" s="406">
        <v>4.0</v>
      </c>
      <c r="L10" s="406">
        <v>7.0</v>
      </c>
      <c r="M10" s="406">
        <v>10.0</v>
      </c>
      <c r="N10" s="406">
        <v>8.0</v>
      </c>
      <c r="O10" s="406" t="s">
        <v>852</v>
      </c>
      <c r="P10" s="406">
        <v>5.0</v>
      </c>
      <c r="Q10" s="406">
        <v>5.0</v>
      </c>
      <c r="R10" s="406">
        <v>5.0</v>
      </c>
      <c r="S10" s="406">
        <v>8.0</v>
      </c>
      <c r="T10" s="406" t="s">
        <v>853</v>
      </c>
      <c r="U10" s="406">
        <v>1.0</v>
      </c>
      <c r="V10" s="406">
        <v>5.0</v>
      </c>
      <c r="W10" s="406">
        <v>6.0</v>
      </c>
      <c r="X10" s="406">
        <v>5.0</v>
      </c>
      <c r="Y10" s="406" t="s">
        <v>854</v>
      </c>
      <c r="Z10" s="406" t="s">
        <v>855</v>
      </c>
      <c r="AA10" s="407"/>
      <c r="AB10" s="9" t="s">
        <v>39</v>
      </c>
      <c r="AC10" s="10" t="b">
        <v>1</v>
      </c>
      <c r="AD10" s="10"/>
      <c r="AE10" s="10"/>
      <c r="AF10" s="408">
        <f t="shared" si="1"/>
        <v>6.0625</v>
      </c>
    </row>
    <row r="11">
      <c r="A11" s="404" t="s">
        <v>856</v>
      </c>
      <c r="B11" s="261" t="s">
        <v>857</v>
      </c>
      <c r="C11" s="405">
        <v>45522.520625</v>
      </c>
      <c r="D11" s="248" t="s">
        <v>113</v>
      </c>
      <c r="E11" s="261" t="s">
        <v>33</v>
      </c>
      <c r="F11" s="406">
        <v>6.0</v>
      </c>
      <c r="G11" s="406">
        <v>6.0</v>
      </c>
      <c r="H11" s="406">
        <v>4.0</v>
      </c>
      <c r="I11" s="406">
        <v>6.0</v>
      </c>
      <c r="J11" s="406" t="s">
        <v>858</v>
      </c>
      <c r="K11" s="406">
        <v>2.0</v>
      </c>
      <c r="L11" s="406">
        <v>6.0</v>
      </c>
      <c r="M11" s="406">
        <v>6.0</v>
      </c>
      <c r="N11" s="406">
        <v>4.0</v>
      </c>
      <c r="O11" s="406" t="s">
        <v>858</v>
      </c>
      <c r="P11" s="406">
        <v>6.0</v>
      </c>
      <c r="Q11" s="406">
        <v>6.0</v>
      </c>
      <c r="R11" s="406">
        <v>6.0</v>
      </c>
      <c r="S11" s="406">
        <v>4.0</v>
      </c>
      <c r="T11" s="406" t="s">
        <v>858</v>
      </c>
      <c r="U11" s="406">
        <v>3.0</v>
      </c>
      <c r="V11" s="406">
        <v>2.0</v>
      </c>
      <c r="W11" s="406">
        <v>3.0</v>
      </c>
      <c r="X11" s="406">
        <v>4.0</v>
      </c>
      <c r="Y11" s="406" t="s">
        <v>858</v>
      </c>
      <c r="Z11" s="407"/>
      <c r="AA11" s="407"/>
      <c r="AB11" s="9" t="s">
        <v>39</v>
      </c>
      <c r="AC11" s="10" t="b">
        <v>1</v>
      </c>
      <c r="AD11" s="10"/>
      <c r="AE11" s="10"/>
      <c r="AF11" s="408">
        <f t="shared" si="1"/>
        <v>4.625</v>
      </c>
    </row>
    <row r="12">
      <c r="A12" s="404" t="s">
        <v>859</v>
      </c>
      <c r="B12" s="261" t="s">
        <v>860</v>
      </c>
      <c r="C12" s="405">
        <v>45522.54609953704</v>
      </c>
      <c r="D12" s="248" t="s">
        <v>861</v>
      </c>
      <c r="E12" s="261" t="s">
        <v>770</v>
      </c>
      <c r="F12" s="406">
        <v>8.0</v>
      </c>
      <c r="G12" s="406">
        <v>8.0</v>
      </c>
      <c r="H12" s="406">
        <v>8.0</v>
      </c>
      <c r="I12" s="406">
        <v>8.0</v>
      </c>
      <c r="J12" s="406" t="s">
        <v>862</v>
      </c>
      <c r="K12" s="406">
        <v>9.0</v>
      </c>
      <c r="L12" s="406">
        <v>8.0</v>
      </c>
      <c r="M12" s="406">
        <v>8.0</v>
      </c>
      <c r="N12" s="406">
        <v>8.0</v>
      </c>
      <c r="O12" s="406" t="s">
        <v>863</v>
      </c>
      <c r="P12" s="406">
        <v>8.0</v>
      </c>
      <c r="Q12" s="406">
        <v>8.0</v>
      </c>
      <c r="R12" s="406">
        <v>7.0</v>
      </c>
      <c r="S12" s="406">
        <v>8.0</v>
      </c>
      <c r="T12" s="406" t="s">
        <v>864</v>
      </c>
      <c r="U12" s="406">
        <v>6.0</v>
      </c>
      <c r="V12" s="406">
        <v>8.0</v>
      </c>
      <c r="W12" s="406">
        <v>8.0</v>
      </c>
      <c r="X12" s="406">
        <v>8.0</v>
      </c>
      <c r="Y12" s="406" t="s">
        <v>70</v>
      </c>
      <c r="Z12" s="407"/>
      <c r="AA12" s="407"/>
      <c r="AB12" s="9" t="s">
        <v>39</v>
      </c>
      <c r="AC12" s="10" t="b">
        <v>1</v>
      </c>
      <c r="AD12" s="10"/>
      <c r="AE12" s="10"/>
      <c r="AF12" s="408">
        <f t="shared" si="1"/>
        <v>7.875</v>
      </c>
    </row>
    <row r="13">
      <c r="A13" s="404" t="s">
        <v>865</v>
      </c>
      <c r="B13" s="261" t="s">
        <v>866</v>
      </c>
      <c r="C13" s="405">
        <v>45522.547685185185</v>
      </c>
      <c r="D13" s="248" t="s">
        <v>867</v>
      </c>
      <c r="E13" s="261" t="s">
        <v>42</v>
      </c>
      <c r="F13" s="406">
        <v>9.0</v>
      </c>
      <c r="G13" s="406">
        <v>10.0</v>
      </c>
      <c r="H13" s="406">
        <v>10.0</v>
      </c>
      <c r="I13" s="406">
        <v>10.0</v>
      </c>
      <c r="J13" s="406" t="s">
        <v>868</v>
      </c>
      <c r="K13" s="406">
        <v>10.0</v>
      </c>
      <c r="L13" s="406">
        <v>10.0</v>
      </c>
      <c r="M13" s="406">
        <v>10.0</v>
      </c>
      <c r="N13" s="406">
        <v>10.0</v>
      </c>
      <c r="O13" s="406" t="s">
        <v>869</v>
      </c>
      <c r="P13" s="406">
        <v>10.0</v>
      </c>
      <c r="Q13" s="406">
        <v>10.0</v>
      </c>
      <c r="R13" s="406">
        <v>10.0</v>
      </c>
      <c r="S13" s="406">
        <v>10.0</v>
      </c>
      <c r="T13" s="406" t="s">
        <v>86</v>
      </c>
      <c r="U13" s="406">
        <v>10.0</v>
      </c>
      <c r="V13" s="406">
        <v>8.0</v>
      </c>
      <c r="W13" s="406">
        <v>10.0</v>
      </c>
      <c r="X13" s="406">
        <v>10.0</v>
      </c>
      <c r="Y13" s="406" t="s">
        <v>870</v>
      </c>
      <c r="Z13" s="406" t="s">
        <v>871</v>
      </c>
      <c r="AA13" s="407"/>
      <c r="AB13" s="9" t="s">
        <v>39</v>
      </c>
      <c r="AC13" s="10" t="b">
        <v>1</v>
      </c>
      <c r="AD13" s="10"/>
      <c r="AE13" s="10"/>
      <c r="AF13" s="408">
        <f t="shared" si="1"/>
        <v>9.8125</v>
      </c>
    </row>
    <row r="14">
      <c r="A14" s="404" t="s">
        <v>872</v>
      </c>
      <c r="B14" s="261" t="s">
        <v>358</v>
      </c>
      <c r="C14" s="405">
        <v>45522.55012731482</v>
      </c>
      <c r="D14" s="248" t="s">
        <v>873</v>
      </c>
      <c r="E14" s="261" t="s">
        <v>42</v>
      </c>
      <c r="F14" s="406">
        <v>8.0</v>
      </c>
      <c r="G14" s="406">
        <v>10.0</v>
      </c>
      <c r="H14" s="406">
        <v>10.0</v>
      </c>
      <c r="I14" s="406">
        <v>10.0</v>
      </c>
      <c r="J14" s="406" t="s">
        <v>874</v>
      </c>
      <c r="K14" s="406">
        <v>10.0</v>
      </c>
      <c r="L14" s="406">
        <v>10.0</v>
      </c>
      <c r="M14" s="406">
        <v>10.0</v>
      </c>
      <c r="N14" s="406">
        <v>10.0</v>
      </c>
      <c r="O14" s="406" t="s">
        <v>875</v>
      </c>
      <c r="P14" s="406">
        <v>9.0</v>
      </c>
      <c r="Q14" s="406">
        <v>8.0</v>
      </c>
      <c r="R14" s="406">
        <v>10.0</v>
      </c>
      <c r="S14" s="406">
        <v>10.0</v>
      </c>
      <c r="T14" s="406" t="s">
        <v>876</v>
      </c>
      <c r="U14" s="406">
        <v>10.0</v>
      </c>
      <c r="V14" s="406">
        <v>6.0</v>
      </c>
      <c r="W14" s="406">
        <v>10.0</v>
      </c>
      <c r="X14" s="406">
        <v>10.0</v>
      </c>
      <c r="Y14" s="406" t="s">
        <v>877</v>
      </c>
      <c r="Z14" s="407"/>
      <c r="AA14" s="409" t="s">
        <v>878</v>
      </c>
      <c r="AB14" s="9" t="s">
        <v>39</v>
      </c>
      <c r="AC14" s="10" t="b">
        <v>1</v>
      </c>
      <c r="AD14" s="10"/>
      <c r="AE14" s="10"/>
      <c r="AF14" s="408">
        <f t="shared" si="1"/>
        <v>9.4375</v>
      </c>
    </row>
    <row r="15">
      <c r="A15" s="404" t="s">
        <v>879</v>
      </c>
      <c r="B15" s="261" t="s">
        <v>880</v>
      </c>
      <c r="C15" s="405">
        <v>45522.55229166667</v>
      </c>
      <c r="D15" s="248" t="s">
        <v>881</v>
      </c>
      <c r="E15" s="261" t="s">
        <v>42</v>
      </c>
      <c r="F15" s="406">
        <v>8.0</v>
      </c>
      <c r="G15" s="406">
        <v>7.0</v>
      </c>
      <c r="H15" s="406">
        <v>9.0</v>
      </c>
      <c r="I15" s="406">
        <v>7.0</v>
      </c>
      <c r="J15" s="406" t="s">
        <v>882</v>
      </c>
      <c r="K15" s="406">
        <v>8.0</v>
      </c>
      <c r="L15" s="406">
        <v>10.0</v>
      </c>
      <c r="M15" s="406">
        <v>10.0</v>
      </c>
      <c r="N15" s="406">
        <v>8.0</v>
      </c>
      <c r="O15" s="406" t="s">
        <v>883</v>
      </c>
      <c r="P15" s="406">
        <v>10.0</v>
      </c>
      <c r="Q15" s="406">
        <v>9.0</v>
      </c>
      <c r="R15" s="406">
        <v>8.0</v>
      </c>
      <c r="S15" s="406">
        <v>10.0</v>
      </c>
      <c r="T15" s="406" t="s">
        <v>884</v>
      </c>
      <c r="U15" s="406">
        <v>6.0</v>
      </c>
      <c r="V15" s="406">
        <v>6.0</v>
      </c>
      <c r="W15" s="406">
        <v>8.0</v>
      </c>
      <c r="X15" s="406">
        <v>8.0</v>
      </c>
      <c r="Y15" s="406" t="s">
        <v>885</v>
      </c>
      <c r="Z15" s="406" t="s">
        <v>886</v>
      </c>
      <c r="AA15" s="406" t="s">
        <v>887</v>
      </c>
      <c r="AB15" s="9" t="s">
        <v>39</v>
      </c>
      <c r="AC15" s="10" t="b">
        <v>1</v>
      </c>
      <c r="AD15" s="10"/>
      <c r="AE15" s="10"/>
      <c r="AF15" s="408">
        <f t="shared" si="1"/>
        <v>8.25</v>
      </c>
    </row>
    <row r="16">
      <c r="A16" s="404" t="s">
        <v>888</v>
      </c>
      <c r="B16" s="261" t="s">
        <v>889</v>
      </c>
      <c r="C16" s="405">
        <v>45522.55756944444</v>
      </c>
      <c r="D16" s="248" t="s">
        <v>890</v>
      </c>
      <c r="E16" s="261" t="s">
        <v>42</v>
      </c>
      <c r="F16" s="406">
        <v>7.0</v>
      </c>
      <c r="G16" s="406">
        <v>6.0</v>
      </c>
      <c r="H16" s="406">
        <v>10.0</v>
      </c>
      <c r="I16" s="406">
        <v>8.0</v>
      </c>
      <c r="J16" s="406" t="s">
        <v>891</v>
      </c>
      <c r="K16" s="406">
        <v>10.0</v>
      </c>
      <c r="L16" s="406">
        <v>10.0</v>
      </c>
      <c r="M16" s="406">
        <v>10.0</v>
      </c>
      <c r="N16" s="406">
        <v>10.0</v>
      </c>
      <c r="O16" s="406" t="s">
        <v>892</v>
      </c>
      <c r="P16" s="406">
        <v>5.0</v>
      </c>
      <c r="Q16" s="406">
        <v>5.0</v>
      </c>
      <c r="R16" s="406">
        <v>5.0</v>
      </c>
      <c r="S16" s="406">
        <v>5.0</v>
      </c>
      <c r="T16" s="406" t="s">
        <v>893</v>
      </c>
      <c r="U16" s="406">
        <v>7.0</v>
      </c>
      <c r="V16" s="406">
        <v>7.0</v>
      </c>
      <c r="W16" s="406">
        <v>9.0</v>
      </c>
      <c r="X16" s="406">
        <v>10.0</v>
      </c>
      <c r="Y16" s="406" t="s">
        <v>894</v>
      </c>
      <c r="Z16" s="407"/>
      <c r="AA16" s="406" t="s">
        <v>895</v>
      </c>
      <c r="AB16" s="9" t="s">
        <v>39</v>
      </c>
      <c r="AC16" s="10" t="b">
        <v>1</v>
      </c>
      <c r="AD16" s="10"/>
      <c r="AE16" s="10"/>
      <c r="AF16" s="408">
        <f t="shared" si="1"/>
        <v>7.75</v>
      </c>
    </row>
    <row r="17">
      <c r="A17" s="404" t="s">
        <v>896</v>
      </c>
      <c r="B17" s="261" t="s">
        <v>897</v>
      </c>
      <c r="C17" s="405">
        <v>45522.55813657407</v>
      </c>
      <c r="D17" s="248" t="s">
        <v>898</v>
      </c>
      <c r="E17" s="261" t="s">
        <v>42</v>
      </c>
      <c r="F17" s="406">
        <v>9.0</v>
      </c>
      <c r="G17" s="406">
        <v>8.0</v>
      </c>
      <c r="H17" s="406">
        <v>8.0</v>
      </c>
      <c r="I17" s="406">
        <v>9.0</v>
      </c>
      <c r="J17" s="406" t="s">
        <v>899</v>
      </c>
      <c r="K17" s="406">
        <v>9.0</v>
      </c>
      <c r="L17" s="406">
        <v>8.0</v>
      </c>
      <c r="M17" s="406">
        <v>7.0</v>
      </c>
      <c r="N17" s="406">
        <v>10.0</v>
      </c>
      <c r="O17" s="406" t="s">
        <v>900</v>
      </c>
      <c r="P17" s="406">
        <v>6.0</v>
      </c>
      <c r="Q17" s="406">
        <v>8.0</v>
      </c>
      <c r="R17" s="406">
        <v>7.0</v>
      </c>
      <c r="S17" s="406">
        <v>5.0</v>
      </c>
      <c r="T17" s="406" t="s">
        <v>901</v>
      </c>
      <c r="U17" s="406">
        <v>6.0</v>
      </c>
      <c r="V17" s="406">
        <v>6.0</v>
      </c>
      <c r="W17" s="406">
        <v>8.0</v>
      </c>
      <c r="X17" s="406">
        <v>9.0</v>
      </c>
      <c r="Y17" s="406" t="s">
        <v>902</v>
      </c>
      <c r="Z17" s="407"/>
      <c r="AA17" s="407"/>
      <c r="AB17" s="9" t="s">
        <v>39</v>
      </c>
      <c r="AC17" s="10" t="b">
        <v>1</v>
      </c>
      <c r="AD17" s="10"/>
      <c r="AE17" s="10"/>
      <c r="AF17" s="408">
        <f t="shared" si="1"/>
        <v>7.6875</v>
      </c>
    </row>
    <row r="18">
      <c r="A18" s="404" t="s">
        <v>903</v>
      </c>
      <c r="B18" s="261" t="s">
        <v>904</v>
      </c>
      <c r="C18" s="405">
        <v>45522.558483796296</v>
      </c>
      <c r="D18" s="248" t="s">
        <v>905</v>
      </c>
      <c r="E18" s="261" t="s">
        <v>42</v>
      </c>
      <c r="F18" s="406">
        <v>7.0</v>
      </c>
      <c r="G18" s="406">
        <v>6.0</v>
      </c>
      <c r="H18" s="406">
        <v>9.0</v>
      </c>
      <c r="I18" s="406">
        <v>7.0</v>
      </c>
      <c r="J18" s="406" t="s">
        <v>906</v>
      </c>
      <c r="K18" s="406">
        <v>9.0</v>
      </c>
      <c r="L18" s="406">
        <v>7.0</v>
      </c>
      <c r="M18" s="406">
        <v>10.0</v>
      </c>
      <c r="N18" s="406">
        <v>8.0</v>
      </c>
      <c r="O18" s="406" t="s">
        <v>907</v>
      </c>
      <c r="P18" s="406">
        <v>6.0</v>
      </c>
      <c r="Q18" s="406">
        <v>10.0</v>
      </c>
      <c r="R18" s="406">
        <v>9.0</v>
      </c>
      <c r="S18" s="406">
        <v>8.0</v>
      </c>
      <c r="T18" s="406" t="s">
        <v>908</v>
      </c>
      <c r="U18" s="406">
        <v>6.0</v>
      </c>
      <c r="V18" s="406">
        <v>7.0</v>
      </c>
      <c r="W18" s="406">
        <v>7.0</v>
      </c>
      <c r="X18" s="406">
        <v>6.0</v>
      </c>
      <c r="Y18" s="406" t="s">
        <v>909</v>
      </c>
      <c r="Z18" s="406" t="s">
        <v>910</v>
      </c>
      <c r="AA18" s="406" t="s">
        <v>911</v>
      </c>
      <c r="AB18" s="9" t="s">
        <v>39</v>
      </c>
      <c r="AC18" s="10" t="b">
        <v>1</v>
      </c>
      <c r="AD18" s="10"/>
      <c r="AE18" s="10"/>
      <c r="AF18" s="408">
        <f t="shared" si="1"/>
        <v>7.625</v>
      </c>
    </row>
    <row r="19">
      <c r="A19" s="404" t="s">
        <v>912</v>
      </c>
      <c r="B19" s="261" t="s">
        <v>913</v>
      </c>
      <c r="C19" s="405">
        <v>45522.55914351852</v>
      </c>
      <c r="D19" s="248" t="s">
        <v>914</v>
      </c>
      <c r="E19" s="261" t="s">
        <v>241</v>
      </c>
      <c r="F19" s="406">
        <v>10.0</v>
      </c>
      <c r="G19" s="406">
        <v>10.0</v>
      </c>
      <c r="H19" s="406">
        <v>10.0</v>
      </c>
      <c r="I19" s="406">
        <v>10.0</v>
      </c>
      <c r="J19" s="406" t="s">
        <v>65</v>
      </c>
      <c r="K19" s="406">
        <v>10.0</v>
      </c>
      <c r="L19" s="406">
        <v>10.0</v>
      </c>
      <c r="M19" s="406">
        <v>10.0</v>
      </c>
      <c r="N19" s="406">
        <v>10.0</v>
      </c>
      <c r="O19" s="406" t="s">
        <v>65</v>
      </c>
      <c r="P19" s="406">
        <v>10.0</v>
      </c>
      <c r="Q19" s="406">
        <v>10.0</v>
      </c>
      <c r="R19" s="406">
        <v>10.0</v>
      </c>
      <c r="S19" s="406">
        <v>10.0</v>
      </c>
      <c r="T19" s="406" t="s">
        <v>65</v>
      </c>
      <c r="U19" s="406">
        <v>10.0</v>
      </c>
      <c r="V19" s="406">
        <v>10.0</v>
      </c>
      <c r="W19" s="406">
        <v>10.0</v>
      </c>
      <c r="X19" s="407"/>
      <c r="Y19" s="406" t="s">
        <v>65</v>
      </c>
      <c r="Z19" s="407"/>
      <c r="AA19" s="406" t="s">
        <v>915</v>
      </c>
      <c r="AB19" s="9" t="s">
        <v>39</v>
      </c>
      <c r="AC19" s="10" t="b">
        <v>1</v>
      </c>
      <c r="AD19" s="10"/>
      <c r="AE19" s="10"/>
      <c r="AF19" s="408">
        <f t="shared" si="1"/>
        <v>10</v>
      </c>
    </row>
    <row r="20">
      <c r="A20" s="404" t="s">
        <v>916</v>
      </c>
      <c r="B20" s="261" t="s">
        <v>917</v>
      </c>
      <c r="C20" s="405">
        <v>45522.56177083333</v>
      </c>
      <c r="D20" s="248" t="s">
        <v>918</v>
      </c>
      <c r="E20" s="261" t="s">
        <v>241</v>
      </c>
      <c r="F20" s="406">
        <v>9.0</v>
      </c>
      <c r="G20" s="406">
        <v>8.0</v>
      </c>
      <c r="H20" s="406">
        <v>8.0</v>
      </c>
      <c r="I20" s="406">
        <v>10.0</v>
      </c>
      <c r="J20" s="406" t="s">
        <v>919</v>
      </c>
      <c r="K20" s="406">
        <v>10.0</v>
      </c>
      <c r="L20" s="406">
        <v>9.0</v>
      </c>
      <c r="M20" s="406">
        <v>8.0</v>
      </c>
      <c r="N20" s="406">
        <v>10.0</v>
      </c>
      <c r="O20" s="406" t="s">
        <v>920</v>
      </c>
      <c r="P20" s="406">
        <v>9.0</v>
      </c>
      <c r="Q20" s="406">
        <v>9.0</v>
      </c>
      <c r="R20" s="406">
        <v>9.0</v>
      </c>
      <c r="S20" s="406">
        <v>7.0</v>
      </c>
      <c r="T20" s="406" t="s">
        <v>921</v>
      </c>
      <c r="U20" s="406">
        <v>8.0</v>
      </c>
      <c r="V20" s="406">
        <v>8.0</v>
      </c>
      <c r="W20" s="406">
        <v>9.0</v>
      </c>
      <c r="X20" s="406">
        <v>10.0</v>
      </c>
      <c r="Y20" s="406" t="s">
        <v>65</v>
      </c>
      <c r="Z20" s="406" t="s">
        <v>922</v>
      </c>
      <c r="AA20" s="406" t="s">
        <v>923</v>
      </c>
      <c r="AB20" s="9" t="s">
        <v>39</v>
      </c>
      <c r="AC20" s="10" t="b">
        <v>1</v>
      </c>
      <c r="AD20" s="10"/>
      <c r="AE20" s="10"/>
      <c r="AF20" s="408">
        <f t="shared" si="1"/>
        <v>8.8125</v>
      </c>
    </row>
    <row r="21">
      <c r="A21" s="404" t="s">
        <v>924</v>
      </c>
      <c r="B21" s="261" t="s">
        <v>925</v>
      </c>
      <c r="C21" s="405">
        <v>45522.56775462963</v>
      </c>
      <c r="D21" s="248" t="s">
        <v>926</v>
      </c>
      <c r="E21" s="261" t="s">
        <v>241</v>
      </c>
      <c r="F21" s="406">
        <v>8.0</v>
      </c>
      <c r="G21" s="406">
        <v>8.0</v>
      </c>
      <c r="H21" s="406">
        <v>8.0</v>
      </c>
      <c r="I21" s="406">
        <v>8.0</v>
      </c>
      <c r="J21" s="406" t="s">
        <v>927</v>
      </c>
      <c r="K21" s="406">
        <v>10.0</v>
      </c>
      <c r="L21" s="406">
        <v>9.0</v>
      </c>
      <c r="M21" s="406">
        <v>9.0</v>
      </c>
      <c r="N21" s="406">
        <v>8.0</v>
      </c>
      <c r="O21" s="406" t="s">
        <v>927</v>
      </c>
      <c r="P21" s="406">
        <v>8.0</v>
      </c>
      <c r="Q21" s="406">
        <v>8.0</v>
      </c>
      <c r="R21" s="406">
        <v>8.0</v>
      </c>
      <c r="S21" s="406">
        <v>6.0</v>
      </c>
      <c r="T21" s="406" t="s">
        <v>927</v>
      </c>
      <c r="U21" s="406">
        <v>5.0</v>
      </c>
      <c r="V21" s="406">
        <v>7.0</v>
      </c>
      <c r="W21" s="406">
        <v>7.0</v>
      </c>
      <c r="X21" s="406">
        <v>9.0</v>
      </c>
      <c r="Y21" s="406" t="s">
        <v>927</v>
      </c>
      <c r="Z21" s="406" t="s">
        <v>928</v>
      </c>
      <c r="AA21" s="406" t="s">
        <v>929</v>
      </c>
      <c r="AB21" s="9" t="s">
        <v>39</v>
      </c>
      <c r="AC21" s="10" t="b">
        <v>1</v>
      </c>
      <c r="AD21" s="10"/>
      <c r="AE21" s="10"/>
      <c r="AF21" s="408">
        <f t="shared" si="1"/>
        <v>7.875</v>
      </c>
    </row>
    <row r="22">
      <c r="A22" s="404" t="s">
        <v>930</v>
      </c>
      <c r="B22" s="261" t="s">
        <v>931</v>
      </c>
      <c r="C22" s="405">
        <v>45522.568715277775</v>
      </c>
      <c r="D22" s="248" t="s">
        <v>778</v>
      </c>
      <c r="E22" s="261" t="s">
        <v>241</v>
      </c>
      <c r="F22" s="406">
        <v>6.0</v>
      </c>
      <c r="G22" s="406">
        <v>5.0</v>
      </c>
      <c r="H22" s="406">
        <v>10.0</v>
      </c>
      <c r="I22" s="406">
        <v>10.0</v>
      </c>
      <c r="J22" s="406" t="s">
        <v>932</v>
      </c>
      <c r="K22" s="406">
        <v>8.0</v>
      </c>
      <c r="L22" s="406">
        <v>10.0</v>
      </c>
      <c r="M22" s="406">
        <v>8.0</v>
      </c>
      <c r="N22" s="406">
        <v>5.0</v>
      </c>
      <c r="O22" s="406" t="s">
        <v>933</v>
      </c>
      <c r="P22" s="406">
        <v>3.0</v>
      </c>
      <c r="Q22" s="406">
        <v>6.0</v>
      </c>
      <c r="R22" s="406">
        <v>3.0</v>
      </c>
      <c r="S22" s="406">
        <v>7.0</v>
      </c>
      <c r="T22" s="406" t="s">
        <v>934</v>
      </c>
      <c r="U22" s="406">
        <v>5.0</v>
      </c>
      <c r="V22" s="406">
        <v>5.0</v>
      </c>
      <c r="W22" s="406">
        <v>5.0</v>
      </c>
      <c r="X22" s="406">
        <v>7.0</v>
      </c>
      <c r="Y22" s="406" t="s">
        <v>935</v>
      </c>
      <c r="Z22" s="406" t="s">
        <v>936</v>
      </c>
      <c r="AA22" s="406" t="s">
        <v>937</v>
      </c>
      <c r="AB22" s="9" t="s">
        <v>39</v>
      </c>
      <c r="AC22" s="10" t="b">
        <v>1</v>
      </c>
      <c r="AD22" s="10"/>
      <c r="AE22" s="10"/>
      <c r="AF22" s="408">
        <f t="shared" si="1"/>
        <v>6.4375</v>
      </c>
    </row>
    <row r="23">
      <c r="A23" s="404" t="s">
        <v>938</v>
      </c>
      <c r="B23" s="261" t="s">
        <v>939</v>
      </c>
      <c r="C23" s="405">
        <v>45522.58331018518</v>
      </c>
      <c r="D23" s="248" t="s">
        <v>558</v>
      </c>
      <c r="E23" s="261" t="s">
        <v>241</v>
      </c>
      <c r="F23" s="406">
        <v>4.0</v>
      </c>
      <c r="G23" s="406">
        <v>4.0</v>
      </c>
      <c r="H23" s="406">
        <v>6.0</v>
      </c>
      <c r="I23" s="406">
        <v>7.0</v>
      </c>
      <c r="J23" s="406" t="s">
        <v>940</v>
      </c>
      <c r="K23" s="406">
        <v>9.0</v>
      </c>
      <c r="L23" s="406">
        <v>7.0</v>
      </c>
      <c r="M23" s="406">
        <v>4.0</v>
      </c>
      <c r="N23" s="406">
        <v>5.0</v>
      </c>
      <c r="O23" s="406" t="s">
        <v>941</v>
      </c>
      <c r="P23" s="406">
        <v>6.0</v>
      </c>
      <c r="Q23" s="406">
        <v>8.0</v>
      </c>
      <c r="R23" s="406">
        <v>9.0</v>
      </c>
      <c r="S23" s="406">
        <v>6.0</v>
      </c>
      <c r="T23" s="406" t="s">
        <v>942</v>
      </c>
      <c r="U23" s="406">
        <v>3.0</v>
      </c>
      <c r="V23" s="406">
        <v>2.0</v>
      </c>
      <c r="W23" s="406">
        <v>4.0</v>
      </c>
      <c r="X23" s="406">
        <v>8.0</v>
      </c>
      <c r="Y23" s="406" t="s">
        <v>943</v>
      </c>
      <c r="Z23" s="406" t="s">
        <v>944</v>
      </c>
      <c r="AA23" s="406" t="s">
        <v>945</v>
      </c>
      <c r="AB23" s="9" t="s">
        <v>39</v>
      </c>
      <c r="AC23" s="10" t="b">
        <v>1</v>
      </c>
      <c r="AD23" s="10"/>
      <c r="AE23" s="10"/>
      <c r="AF23" s="408">
        <f t="shared" si="1"/>
        <v>5.75</v>
      </c>
    </row>
    <row r="24">
      <c r="A24" s="404" t="s">
        <v>856</v>
      </c>
      <c r="B24" s="261" t="s">
        <v>857</v>
      </c>
      <c r="C24" s="405">
        <v>45522.520625</v>
      </c>
      <c r="D24" s="248" t="s">
        <v>537</v>
      </c>
      <c r="E24" s="261" t="s">
        <v>241</v>
      </c>
      <c r="F24" s="406">
        <v>5.0</v>
      </c>
      <c r="G24" s="406">
        <v>4.0</v>
      </c>
      <c r="H24" s="406">
        <v>8.0</v>
      </c>
      <c r="I24" s="406">
        <v>9.0</v>
      </c>
      <c r="J24" s="406" t="s">
        <v>946</v>
      </c>
      <c r="K24" s="406">
        <v>3.0</v>
      </c>
      <c r="L24" s="406">
        <v>5.0</v>
      </c>
      <c r="M24" s="406">
        <v>9.0</v>
      </c>
      <c r="N24" s="406">
        <v>3.0</v>
      </c>
      <c r="O24" s="406" t="s">
        <v>947</v>
      </c>
      <c r="P24" s="406">
        <v>2.0</v>
      </c>
      <c r="Q24" s="406">
        <v>6.0</v>
      </c>
      <c r="R24" s="406">
        <v>6.0</v>
      </c>
      <c r="S24" s="406">
        <v>3.0</v>
      </c>
      <c r="T24" s="406" t="s">
        <v>948</v>
      </c>
      <c r="U24" s="406">
        <v>5.0</v>
      </c>
      <c r="V24" s="406">
        <v>7.0</v>
      </c>
      <c r="W24" s="406">
        <v>7.0</v>
      </c>
      <c r="X24" s="406">
        <v>9.0</v>
      </c>
      <c r="Y24" s="406" t="s">
        <v>65</v>
      </c>
      <c r="Z24" s="406" t="s">
        <v>65</v>
      </c>
      <c r="AA24" s="406" t="s">
        <v>949</v>
      </c>
      <c r="AB24" s="9" t="s">
        <v>39</v>
      </c>
      <c r="AC24" s="10" t="b">
        <v>1</v>
      </c>
      <c r="AD24" s="10"/>
      <c r="AE24" s="10"/>
      <c r="AF24" s="408">
        <f t="shared" si="1"/>
        <v>5.6875</v>
      </c>
    </row>
    <row r="25">
      <c r="A25" s="404" t="s">
        <v>950</v>
      </c>
      <c r="B25" s="261" t="s">
        <v>365</v>
      </c>
      <c r="C25" s="405">
        <v>45522.590520833335</v>
      </c>
      <c r="D25" s="248" t="s">
        <v>559</v>
      </c>
      <c r="E25" s="261" t="s">
        <v>241</v>
      </c>
      <c r="F25" s="406">
        <v>6.0</v>
      </c>
      <c r="G25" s="406">
        <v>6.0</v>
      </c>
      <c r="H25" s="406">
        <v>8.0</v>
      </c>
      <c r="I25" s="406">
        <v>7.0</v>
      </c>
      <c r="J25" s="406" t="s">
        <v>951</v>
      </c>
      <c r="K25" s="406">
        <v>5.0</v>
      </c>
      <c r="L25" s="406">
        <v>5.0</v>
      </c>
      <c r="M25" s="406">
        <v>7.0</v>
      </c>
      <c r="N25" s="406">
        <v>6.0</v>
      </c>
      <c r="O25" s="406" t="s">
        <v>952</v>
      </c>
      <c r="P25" s="406">
        <v>5.0</v>
      </c>
      <c r="Q25" s="406">
        <v>6.0</v>
      </c>
      <c r="R25" s="406">
        <v>4.0</v>
      </c>
      <c r="S25" s="406">
        <v>2.0</v>
      </c>
      <c r="T25" s="406" t="s">
        <v>953</v>
      </c>
      <c r="U25" s="406">
        <v>4.0</v>
      </c>
      <c r="V25" s="406">
        <v>6.0</v>
      </c>
      <c r="W25" s="406">
        <v>7.0</v>
      </c>
      <c r="X25" s="406">
        <v>7.0</v>
      </c>
      <c r="Y25" s="406" t="s">
        <v>954</v>
      </c>
      <c r="Z25" s="406" t="s">
        <v>65</v>
      </c>
      <c r="AA25" s="406" t="s">
        <v>955</v>
      </c>
      <c r="AB25" s="9" t="s">
        <v>39</v>
      </c>
      <c r="AC25" s="10" t="b">
        <v>1</v>
      </c>
      <c r="AD25" s="10"/>
      <c r="AE25" s="10"/>
      <c r="AF25" s="408">
        <f t="shared" si="1"/>
        <v>5.6875</v>
      </c>
    </row>
    <row r="26">
      <c r="A26" s="404" t="s">
        <v>956</v>
      </c>
      <c r="B26" s="261" t="s">
        <v>957</v>
      </c>
      <c r="C26" s="405">
        <v>45522.597650462965</v>
      </c>
      <c r="D26" s="248" t="s">
        <v>958</v>
      </c>
      <c r="E26" s="261" t="s">
        <v>774</v>
      </c>
      <c r="F26" s="406">
        <v>10.0</v>
      </c>
      <c r="G26" s="406">
        <v>8.0</v>
      </c>
      <c r="H26" s="406">
        <v>10.0</v>
      </c>
      <c r="I26" s="406">
        <v>9.0</v>
      </c>
      <c r="J26" s="406" t="s">
        <v>38</v>
      </c>
      <c r="K26" s="406">
        <v>10.0</v>
      </c>
      <c r="L26" s="407"/>
      <c r="M26" s="406">
        <v>10.0</v>
      </c>
      <c r="N26" s="406">
        <v>10.0</v>
      </c>
      <c r="O26" s="406" t="s">
        <v>38</v>
      </c>
      <c r="P26" s="406">
        <v>10.0</v>
      </c>
      <c r="Q26" s="406">
        <v>9.0</v>
      </c>
      <c r="R26" s="406">
        <v>10.0</v>
      </c>
      <c r="S26" s="406">
        <v>10.0</v>
      </c>
      <c r="T26" s="406" t="s">
        <v>38</v>
      </c>
      <c r="U26" s="406">
        <v>8.0</v>
      </c>
      <c r="V26" s="406">
        <v>8.0</v>
      </c>
      <c r="W26" s="406">
        <v>9.0</v>
      </c>
      <c r="X26" s="406">
        <v>10.0</v>
      </c>
      <c r="Y26" s="406" t="s">
        <v>959</v>
      </c>
      <c r="Z26" s="407"/>
      <c r="AA26" s="407"/>
      <c r="AB26" s="9" t="s">
        <v>39</v>
      </c>
      <c r="AC26" s="10" t="b">
        <v>1</v>
      </c>
      <c r="AD26" s="10"/>
      <c r="AE26" s="10"/>
      <c r="AF26" s="408">
        <f t="shared" si="1"/>
        <v>9.4</v>
      </c>
    </row>
    <row r="27">
      <c r="A27" s="404" t="s">
        <v>960</v>
      </c>
      <c r="B27" s="261" t="s">
        <v>961</v>
      </c>
      <c r="C27" s="405">
        <v>45522.61413194444</v>
      </c>
      <c r="D27" s="248" t="s">
        <v>777</v>
      </c>
      <c r="E27" s="261" t="s">
        <v>717</v>
      </c>
      <c r="F27" s="406">
        <v>9.0</v>
      </c>
      <c r="G27" s="406">
        <v>10.0</v>
      </c>
      <c r="H27" s="406">
        <v>10.0</v>
      </c>
      <c r="I27" s="406">
        <v>10.0</v>
      </c>
      <c r="J27" s="406" t="s">
        <v>962</v>
      </c>
      <c r="K27" s="406">
        <v>10.0</v>
      </c>
      <c r="L27" s="406">
        <v>10.0</v>
      </c>
      <c r="M27" s="406">
        <v>10.0</v>
      </c>
      <c r="N27" s="406">
        <v>10.0</v>
      </c>
      <c r="O27" s="406" t="s">
        <v>962</v>
      </c>
      <c r="P27" s="406">
        <v>8.0</v>
      </c>
      <c r="Q27" s="406">
        <v>10.0</v>
      </c>
      <c r="R27" s="406">
        <v>10.0</v>
      </c>
      <c r="S27" s="406">
        <v>10.0</v>
      </c>
      <c r="T27" s="406" t="s">
        <v>962</v>
      </c>
      <c r="U27" s="406">
        <v>7.0</v>
      </c>
      <c r="V27" s="406">
        <v>7.0</v>
      </c>
      <c r="W27" s="406">
        <v>10.0</v>
      </c>
      <c r="X27" s="406">
        <v>10.0</v>
      </c>
      <c r="Y27" s="406" t="s">
        <v>962</v>
      </c>
      <c r="Z27" s="407"/>
      <c r="AA27" s="407"/>
      <c r="AB27" s="9" t="s">
        <v>39</v>
      </c>
      <c r="AC27" s="10" t="b">
        <v>1</v>
      </c>
      <c r="AD27" s="10"/>
      <c r="AE27" s="10"/>
      <c r="AF27" s="408">
        <f t="shared" si="1"/>
        <v>9.4375</v>
      </c>
    </row>
    <row r="28">
      <c r="A28" s="404" t="s">
        <v>963</v>
      </c>
      <c r="B28" s="261" t="s">
        <v>964</v>
      </c>
      <c r="C28" s="405">
        <v>45522.62021990741</v>
      </c>
      <c r="D28" s="248" t="s">
        <v>781</v>
      </c>
      <c r="E28" s="261" t="s">
        <v>717</v>
      </c>
      <c r="F28" s="406">
        <v>10.0</v>
      </c>
      <c r="G28" s="406">
        <v>10.0</v>
      </c>
      <c r="H28" s="406">
        <v>10.0</v>
      </c>
      <c r="I28" s="406">
        <v>10.0</v>
      </c>
      <c r="J28" s="406" t="s">
        <v>965</v>
      </c>
      <c r="K28" s="406">
        <v>10.0</v>
      </c>
      <c r="L28" s="406">
        <v>10.0</v>
      </c>
      <c r="M28" s="406">
        <v>10.0</v>
      </c>
      <c r="N28" s="406">
        <v>9.0</v>
      </c>
      <c r="O28" s="406" t="s">
        <v>966</v>
      </c>
      <c r="P28" s="406">
        <v>8.0</v>
      </c>
      <c r="Q28" s="406">
        <v>8.0</v>
      </c>
      <c r="R28" s="406">
        <v>8.0</v>
      </c>
      <c r="S28" s="406">
        <v>10.0</v>
      </c>
      <c r="T28" s="406" t="s">
        <v>967</v>
      </c>
      <c r="U28" s="406">
        <v>7.0</v>
      </c>
      <c r="V28" s="406">
        <v>7.0</v>
      </c>
      <c r="W28" s="406">
        <v>8.0</v>
      </c>
      <c r="X28" s="406">
        <v>10.0</v>
      </c>
      <c r="Y28" s="406" t="s">
        <v>968</v>
      </c>
      <c r="Z28" s="406" t="s">
        <v>969</v>
      </c>
      <c r="AA28" s="407"/>
      <c r="AB28" s="9" t="s">
        <v>39</v>
      </c>
      <c r="AC28" s="10" t="b">
        <v>1</v>
      </c>
      <c r="AD28" s="10"/>
      <c r="AE28" s="10"/>
      <c r="AF28" s="408">
        <f t="shared" si="1"/>
        <v>9.0625</v>
      </c>
    </row>
    <row r="29">
      <c r="A29" s="404" t="s">
        <v>970</v>
      </c>
      <c r="B29" s="261" t="s">
        <v>971</v>
      </c>
      <c r="C29" s="405">
        <v>45522.62305555555</v>
      </c>
      <c r="D29" s="248" t="s">
        <v>972</v>
      </c>
      <c r="E29" s="261" t="s">
        <v>530</v>
      </c>
      <c r="F29" s="406">
        <v>9.0</v>
      </c>
      <c r="G29" s="406">
        <v>10.0</v>
      </c>
      <c r="H29" s="406">
        <v>9.0</v>
      </c>
      <c r="I29" s="406">
        <v>10.0</v>
      </c>
      <c r="J29" s="406" t="s">
        <v>1155</v>
      </c>
      <c r="K29" s="406">
        <v>10.0</v>
      </c>
      <c r="L29" s="406">
        <v>9.0</v>
      </c>
      <c r="M29" s="406">
        <v>10.0</v>
      </c>
      <c r="N29" s="406">
        <v>10.0</v>
      </c>
      <c r="O29" s="406" t="s">
        <v>1155</v>
      </c>
      <c r="P29" s="406">
        <v>8.0</v>
      </c>
      <c r="Q29" s="406">
        <v>10.0</v>
      </c>
      <c r="R29" s="406">
        <v>10.0</v>
      </c>
      <c r="S29" s="406">
        <v>10.0</v>
      </c>
      <c r="T29" s="406" t="s">
        <v>1155</v>
      </c>
      <c r="U29" s="406">
        <v>6.0</v>
      </c>
      <c r="V29" s="406">
        <v>7.0</v>
      </c>
      <c r="W29" s="406">
        <v>7.0</v>
      </c>
      <c r="X29" s="406">
        <v>9.0</v>
      </c>
      <c r="Y29" s="406" t="s">
        <v>973</v>
      </c>
      <c r="Z29" s="407"/>
      <c r="AA29" s="407"/>
      <c r="AB29" s="9" t="s">
        <v>39</v>
      </c>
      <c r="AC29" s="10" t="b">
        <v>1</v>
      </c>
      <c r="AD29" s="10"/>
      <c r="AE29" s="10"/>
      <c r="AF29" s="408">
        <f t="shared" si="1"/>
        <v>9</v>
      </c>
    </row>
    <row r="30">
      <c r="A30" s="404" t="s">
        <v>974</v>
      </c>
      <c r="B30" s="261" t="s">
        <v>975</v>
      </c>
      <c r="C30" s="405">
        <v>45522.627280092594</v>
      </c>
      <c r="D30" s="248" t="s">
        <v>306</v>
      </c>
      <c r="E30" s="261" t="s">
        <v>530</v>
      </c>
      <c r="F30" s="406">
        <v>8.0</v>
      </c>
      <c r="G30" s="406">
        <v>8.0</v>
      </c>
      <c r="H30" s="406">
        <v>9.0</v>
      </c>
      <c r="I30" s="406">
        <v>9.0</v>
      </c>
      <c r="J30" s="406" t="s">
        <v>38</v>
      </c>
      <c r="K30" s="406">
        <v>9.0</v>
      </c>
      <c r="L30" s="406">
        <v>9.0</v>
      </c>
      <c r="M30" s="406">
        <v>9.0</v>
      </c>
      <c r="N30" s="406">
        <v>9.0</v>
      </c>
      <c r="O30" s="406" t="s">
        <v>38</v>
      </c>
      <c r="P30" s="406">
        <v>9.0</v>
      </c>
      <c r="Q30" s="406">
        <v>9.0</v>
      </c>
      <c r="R30" s="406">
        <v>10.0</v>
      </c>
      <c r="S30" s="406">
        <v>10.0</v>
      </c>
      <c r="T30" s="406" t="s">
        <v>976</v>
      </c>
      <c r="U30" s="406">
        <v>9.0</v>
      </c>
      <c r="V30" s="406">
        <v>9.0</v>
      </c>
      <c r="W30" s="406">
        <v>9.0</v>
      </c>
      <c r="X30" s="406">
        <v>9.0</v>
      </c>
      <c r="Y30" s="406" t="s">
        <v>977</v>
      </c>
      <c r="Z30" s="406" t="s">
        <v>978</v>
      </c>
      <c r="AA30" s="407"/>
      <c r="AB30" s="9" t="s">
        <v>39</v>
      </c>
      <c r="AC30" s="10" t="b">
        <v>1</v>
      </c>
      <c r="AD30" s="10"/>
      <c r="AE30" s="10"/>
      <c r="AF30" s="408">
        <f t="shared" si="1"/>
        <v>9</v>
      </c>
    </row>
    <row r="31">
      <c r="A31" s="404" t="s">
        <v>979</v>
      </c>
      <c r="B31" s="261" t="s">
        <v>980</v>
      </c>
      <c r="C31" s="405">
        <v>45522.63297453704</v>
      </c>
      <c r="D31" s="248" t="s">
        <v>779</v>
      </c>
      <c r="E31" s="261" t="s">
        <v>530</v>
      </c>
      <c r="F31" s="406">
        <v>6.0</v>
      </c>
      <c r="G31" s="406">
        <v>6.0</v>
      </c>
      <c r="H31" s="406">
        <v>6.0</v>
      </c>
      <c r="I31" s="406">
        <v>5.0</v>
      </c>
      <c r="J31" s="406" t="s">
        <v>981</v>
      </c>
      <c r="K31" s="406">
        <v>7.0</v>
      </c>
      <c r="L31" s="406">
        <v>7.0</v>
      </c>
      <c r="M31" s="406">
        <v>7.0</v>
      </c>
      <c r="N31" s="406">
        <v>7.0</v>
      </c>
      <c r="O31" s="406" t="s">
        <v>982</v>
      </c>
      <c r="P31" s="406">
        <v>7.0</v>
      </c>
      <c r="Q31" s="406">
        <v>7.0</v>
      </c>
      <c r="R31" s="406">
        <v>7.0</v>
      </c>
      <c r="S31" s="406">
        <v>6.0</v>
      </c>
      <c r="T31" s="406" t="s">
        <v>983</v>
      </c>
      <c r="U31" s="406">
        <v>4.0</v>
      </c>
      <c r="V31" s="406">
        <v>4.0</v>
      </c>
      <c r="W31" s="406">
        <v>5.0</v>
      </c>
      <c r="X31" s="406">
        <v>5.0</v>
      </c>
      <c r="Y31" s="406" t="s">
        <v>984</v>
      </c>
      <c r="Z31" s="406" t="s">
        <v>985</v>
      </c>
      <c r="AA31" s="407"/>
      <c r="AB31" s="9" t="s">
        <v>39</v>
      </c>
      <c r="AC31" s="10" t="b">
        <v>1</v>
      </c>
      <c r="AD31" s="10"/>
      <c r="AE31" s="10"/>
      <c r="AF31" s="408">
        <f t="shared" si="1"/>
        <v>6</v>
      </c>
    </row>
    <row r="32">
      <c r="A32" s="404" t="s">
        <v>986</v>
      </c>
      <c r="B32" s="261" t="s">
        <v>987</v>
      </c>
      <c r="C32" s="405">
        <v>45522.633622685185</v>
      </c>
      <c r="D32" s="248" t="s">
        <v>988</v>
      </c>
      <c r="E32" s="261" t="s">
        <v>777</v>
      </c>
      <c r="F32" s="406">
        <v>8.0</v>
      </c>
      <c r="G32" s="406">
        <v>8.0</v>
      </c>
      <c r="H32" s="406">
        <v>9.0</v>
      </c>
      <c r="I32" s="406">
        <v>8.0</v>
      </c>
      <c r="J32" s="406" t="s">
        <v>989</v>
      </c>
      <c r="K32" s="406">
        <v>9.0</v>
      </c>
      <c r="L32" s="406">
        <v>9.0</v>
      </c>
      <c r="M32" s="406">
        <v>9.0</v>
      </c>
      <c r="N32" s="406">
        <v>7.0</v>
      </c>
      <c r="O32" s="406" t="s">
        <v>990</v>
      </c>
      <c r="P32" s="406">
        <v>8.0</v>
      </c>
      <c r="Q32" s="406">
        <v>9.0</v>
      </c>
      <c r="R32" s="406">
        <v>9.0</v>
      </c>
      <c r="S32" s="406">
        <v>9.0</v>
      </c>
      <c r="T32" s="406" t="s">
        <v>991</v>
      </c>
      <c r="U32" s="406">
        <v>8.0</v>
      </c>
      <c r="V32" s="406">
        <v>8.0</v>
      </c>
      <c r="W32" s="406">
        <v>9.0</v>
      </c>
      <c r="X32" s="406">
        <v>9.0</v>
      </c>
      <c r="Y32" s="406" t="s">
        <v>992</v>
      </c>
      <c r="Z32" s="406" t="s">
        <v>993</v>
      </c>
      <c r="AA32" s="406" t="s">
        <v>994</v>
      </c>
      <c r="AB32" s="9" t="s">
        <v>39</v>
      </c>
      <c r="AC32" s="10" t="b">
        <v>1</v>
      </c>
      <c r="AD32" s="10"/>
      <c r="AE32" s="10"/>
      <c r="AF32" s="408">
        <f t="shared" si="1"/>
        <v>8.5</v>
      </c>
    </row>
    <row r="33">
      <c r="A33" s="404" t="s">
        <v>995</v>
      </c>
      <c r="B33" s="261" t="s">
        <v>996</v>
      </c>
      <c r="C33" s="405">
        <v>45522.6428125</v>
      </c>
      <c r="D33" s="248" t="s">
        <v>997</v>
      </c>
      <c r="E33" s="261" t="s">
        <v>248</v>
      </c>
      <c r="F33" s="406">
        <v>8.0</v>
      </c>
      <c r="G33" s="406">
        <v>8.0</v>
      </c>
      <c r="H33" s="406">
        <v>8.0</v>
      </c>
      <c r="I33" s="406">
        <v>8.0</v>
      </c>
      <c r="J33" s="406" t="s">
        <v>998</v>
      </c>
      <c r="K33" s="406">
        <v>8.0</v>
      </c>
      <c r="L33" s="406">
        <v>8.0</v>
      </c>
      <c r="M33" s="406">
        <v>9.0</v>
      </c>
      <c r="N33" s="406">
        <v>8.0</v>
      </c>
      <c r="O33" s="406" t="s">
        <v>999</v>
      </c>
      <c r="P33" s="406">
        <v>8.0</v>
      </c>
      <c r="Q33" s="406">
        <v>8.0</v>
      </c>
      <c r="R33" s="406">
        <v>8.0</v>
      </c>
      <c r="S33" s="406">
        <v>8.0</v>
      </c>
      <c r="T33" s="406" t="s">
        <v>1000</v>
      </c>
      <c r="U33" s="406">
        <v>8.0</v>
      </c>
      <c r="V33" s="406">
        <v>8.0</v>
      </c>
      <c r="W33" s="406">
        <v>8.0</v>
      </c>
      <c r="X33" s="406">
        <v>8.0</v>
      </c>
      <c r="Y33" s="406" t="s">
        <v>38</v>
      </c>
      <c r="Z33" s="406" t="s">
        <v>1001</v>
      </c>
      <c r="AA33" s="407"/>
      <c r="AB33" s="9" t="s">
        <v>39</v>
      </c>
      <c r="AC33" s="10" t="b">
        <v>1</v>
      </c>
      <c r="AD33" s="10"/>
      <c r="AE33" s="10"/>
      <c r="AF33" s="408">
        <f t="shared" si="1"/>
        <v>8.0625</v>
      </c>
    </row>
    <row r="34">
      <c r="A34" s="404" t="s">
        <v>1002</v>
      </c>
      <c r="B34" s="261" t="s">
        <v>1003</v>
      </c>
      <c r="C34" s="405">
        <v>45522.665358796294</v>
      </c>
      <c r="D34" s="248" t="s">
        <v>780</v>
      </c>
      <c r="E34" s="261" t="s">
        <v>248</v>
      </c>
      <c r="F34" s="406">
        <v>10.0</v>
      </c>
      <c r="G34" s="406">
        <v>5.0</v>
      </c>
      <c r="H34" s="406">
        <v>4.0</v>
      </c>
      <c r="I34" s="406">
        <v>4.0</v>
      </c>
      <c r="J34" s="406" t="s">
        <v>1004</v>
      </c>
      <c r="K34" s="406">
        <v>4.0</v>
      </c>
      <c r="L34" s="406">
        <v>4.0</v>
      </c>
      <c r="M34" s="406">
        <v>10.0</v>
      </c>
      <c r="N34" s="406">
        <v>6.0</v>
      </c>
      <c r="O34" s="406" t="s">
        <v>1005</v>
      </c>
      <c r="P34" s="406">
        <v>6.0</v>
      </c>
      <c r="Q34" s="406">
        <v>6.0</v>
      </c>
      <c r="R34" s="406">
        <v>3.0</v>
      </c>
      <c r="S34" s="406">
        <v>6.0</v>
      </c>
      <c r="T34" s="406" t="s">
        <v>1006</v>
      </c>
      <c r="U34" s="406">
        <v>10.0</v>
      </c>
      <c r="V34" s="406">
        <v>6.0</v>
      </c>
      <c r="W34" s="406">
        <v>7.0</v>
      </c>
      <c r="X34" s="406">
        <v>5.0</v>
      </c>
      <c r="Y34" s="406" t="s">
        <v>86</v>
      </c>
      <c r="Z34" s="406" t="s">
        <v>1007</v>
      </c>
      <c r="AA34" s="406" t="s">
        <v>1008</v>
      </c>
      <c r="AB34" s="9" t="s">
        <v>39</v>
      </c>
      <c r="AC34" s="10" t="b">
        <v>1</v>
      </c>
      <c r="AD34" s="10"/>
      <c r="AE34" s="10"/>
      <c r="AF34" s="408">
        <f t="shared" si="1"/>
        <v>6</v>
      </c>
    </row>
    <row r="35">
      <c r="A35" s="404" t="s">
        <v>1009</v>
      </c>
      <c r="B35" s="261" t="s">
        <v>1010</v>
      </c>
      <c r="C35" s="405">
        <v>45522.68268518519</v>
      </c>
      <c r="D35" s="248" t="s">
        <v>143</v>
      </c>
      <c r="E35" s="261" t="s">
        <v>248</v>
      </c>
      <c r="F35" s="406">
        <v>3.0</v>
      </c>
      <c r="G35" s="406">
        <v>2.0</v>
      </c>
      <c r="H35" s="406">
        <v>4.0</v>
      </c>
      <c r="I35" s="406">
        <v>1.0</v>
      </c>
      <c r="J35" s="406" t="s">
        <v>1011</v>
      </c>
      <c r="K35" s="406">
        <v>10.0</v>
      </c>
      <c r="L35" s="406">
        <v>2.0</v>
      </c>
      <c r="M35" s="406">
        <v>6.0</v>
      </c>
      <c r="N35" s="406">
        <v>10.0</v>
      </c>
      <c r="O35" s="406" t="s">
        <v>1012</v>
      </c>
      <c r="P35" s="406">
        <v>5.0</v>
      </c>
      <c r="Q35" s="406">
        <v>2.0</v>
      </c>
      <c r="R35" s="406">
        <v>3.0</v>
      </c>
      <c r="S35" s="406">
        <v>6.0</v>
      </c>
      <c r="T35" s="406" t="s">
        <v>86</v>
      </c>
      <c r="U35" s="406">
        <v>5.0</v>
      </c>
      <c r="V35" s="406">
        <v>8.0</v>
      </c>
      <c r="W35" s="406">
        <v>5.0</v>
      </c>
      <c r="X35" s="406">
        <v>5.0</v>
      </c>
      <c r="Y35" s="406" t="s">
        <v>1013</v>
      </c>
      <c r="Z35" s="406" t="s">
        <v>1014</v>
      </c>
      <c r="AA35" s="406" t="s">
        <v>1015</v>
      </c>
      <c r="AB35" s="9" t="s">
        <v>39</v>
      </c>
      <c r="AC35" s="10" t="b">
        <v>1</v>
      </c>
      <c r="AD35" s="10"/>
      <c r="AE35" s="10"/>
      <c r="AF35" s="408">
        <f t="shared" si="1"/>
        <v>4.8125</v>
      </c>
    </row>
    <row r="36">
      <c r="A36" s="404" t="s">
        <v>1016</v>
      </c>
      <c r="B36" s="261" t="s">
        <v>1010</v>
      </c>
      <c r="C36" s="405">
        <v>45522.68430555556</v>
      </c>
      <c r="D36" s="248" t="s">
        <v>1017</v>
      </c>
      <c r="E36" s="261" t="s">
        <v>771</v>
      </c>
      <c r="F36" s="406">
        <v>10.0</v>
      </c>
      <c r="G36" s="406">
        <v>10.0</v>
      </c>
      <c r="H36" s="406">
        <v>10.0</v>
      </c>
      <c r="I36" s="406">
        <v>10.0</v>
      </c>
      <c r="J36" s="406" t="s">
        <v>1018</v>
      </c>
      <c r="K36" s="406">
        <v>10.0</v>
      </c>
      <c r="L36" s="406">
        <v>10.0</v>
      </c>
      <c r="M36" s="406">
        <v>10.0</v>
      </c>
      <c r="N36" s="406">
        <v>10.0</v>
      </c>
      <c r="O36" s="406" t="s">
        <v>1019</v>
      </c>
      <c r="P36" s="406">
        <v>10.0</v>
      </c>
      <c r="Q36" s="406">
        <v>10.0</v>
      </c>
      <c r="R36" s="406">
        <v>10.0</v>
      </c>
      <c r="S36" s="406">
        <v>10.0</v>
      </c>
      <c r="T36" s="406" t="s">
        <v>1020</v>
      </c>
      <c r="U36" s="406">
        <v>10.0</v>
      </c>
      <c r="V36" s="406">
        <v>10.0</v>
      </c>
      <c r="W36" s="406">
        <v>10.0</v>
      </c>
      <c r="X36" s="406">
        <v>10.0</v>
      </c>
      <c r="Y36" s="406" t="s">
        <v>1021</v>
      </c>
      <c r="Z36" s="406" t="s">
        <v>1022</v>
      </c>
      <c r="AA36" s="406" t="s">
        <v>1023</v>
      </c>
      <c r="AB36" s="9" t="s">
        <v>39</v>
      </c>
      <c r="AC36" s="10" t="b">
        <v>1</v>
      </c>
      <c r="AD36" s="10"/>
      <c r="AE36" s="10"/>
      <c r="AF36" s="408">
        <f t="shared" si="1"/>
        <v>10</v>
      </c>
    </row>
    <row r="37">
      <c r="A37" s="404" t="s">
        <v>1024</v>
      </c>
      <c r="B37" s="261" t="s">
        <v>1025</v>
      </c>
      <c r="C37" s="405">
        <v>45522.686423611114</v>
      </c>
      <c r="D37" s="248" t="s">
        <v>1026</v>
      </c>
      <c r="E37" s="261" t="s">
        <v>771</v>
      </c>
      <c r="F37" s="406">
        <v>10.0</v>
      </c>
      <c r="G37" s="406">
        <v>10.0</v>
      </c>
      <c r="H37" s="406">
        <v>9.0</v>
      </c>
      <c r="I37" s="406">
        <v>9.0</v>
      </c>
      <c r="J37" s="406" t="s">
        <v>1027</v>
      </c>
      <c r="K37" s="406">
        <v>8.0</v>
      </c>
      <c r="L37" s="406">
        <v>10.0</v>
      </c>
      <c r="M37" s="406">
        <v>10.0</v>
      </c>
      <c r="N37" s="406">
        <v>8.0</v>
      </c>
      <c r="O37" s="406" t="s">
        <v>1028</v>
      </c>
      <c r="P37" s="406">
        <v>8.0</v>
      </c>
      <c r="Q37" s="406">
        <v>10.0</v>
      </c>
      <c r="R37" s="406">
        <v>10.0</v>
      </c>
      <c r="S37" s="406">
        <v>10.0</v>
      </c>
      <c r="T37" s="406" t="s">
        <v>1029</v>
      </c>
      <c r="U37" s="406">
        <v>8.0</v>
      </c>
      <c r="V37" s="406">
        <v>10.0</v>
      </c>
      <c r="W37" s="406">
        <v>10.0</v>
      </c>
      <c r="X37" s="406">
        <v>8.0</v>
      </c>
      <c r="Y37" s="406" t="s">
        <v>1030</v>
      </c>
      <c r="Z37" s="406" t="s">
        <v>1031</v>
      </c>
      <c r="AA37" s="407"/>
      <c r="AB37" s="9" t="s">
        <v>39</v>
      </c>
      <c r="AC37" s="10" t="b">
        <v>1</v>
      </c>
      <c r="AD37" s="10"/>
      <c r="AE37" s="10"/>
      <c r="AF37" s="408">
        <f t="shared" si="1"/>
        <v>9.25</v>
      </c>
    </row>
    <row r="38">
      <c r="A38" s="404" t="s">
        <v>1032</v>
      </c>
      <c r="B38" s="261" t="s">
        <v>1033</v>
      </c>
      <c r="C38" s="405">
        <v>45522.73458333333</v>
      </c>
      <c r="D38" s="248" t="s">
        <v>1034</v>
      </c>
      <c r="E38" s="261" t="s">
        <v>720</v>
      </c>
      <c r="F38" s="406">
        <v>9.0</v>
      </c>
      <c r="G38" s="406">
        <v>10.0</v>
      </c>
      <c r="H38" s="406">
        <v>9.0</v>
      </c>
      <c r="I38" s="406">
        <v>10.0</v>
      </c>
      <c r="J38" s="406" t="s">
        <v>1035</v>
      </c>
      <c r="K38" s="406">
        <v>9.0</v>
      </c>
      <c r="L38" s="406">
        <v>10.0</v>
      </c>
      <c r="M38" s="406">
        <v>9.0</v>
      </c>
      <c r="N38" s="406">
        <v>10.0</v>
      </c>
      <c r="O38" s="406" t="s">
        <v>1036</v>
      </c>
      <c r="P38" s="406">
        <v>9.0</v>
      </c>
      <c r="Q38" s="406">
        <v>10.0</v>
      </c>
      <c r="R38" s="406">
        <v>9.0</v>
      </c>
      <c r="S38" s="406">
        <v>10.0</v>
      </c>
      <c r="T38" s="406" t="s">
        <v>1037</v>
      </c>
      <c r="U38" s="406">
        <v>9.0</v>
      </c>
      <c r="V38" s="406">
        <v>10.0</v>
      </c>
      <c r="W38" s="406">
        <v>9.0</v>
      </c>
      <c r="X38" s="406">
        <v>10.0</v>
      </c>
      <c r="Y38" s="406" t="s">
        <v>1038</v>
      </c>
      <c r="Z38" s="407"/>
      <c r="AA38" s="407"/>
      <c r="AB38" s="9" t="s">
        <v>39</v>
      </c>
      <c r="AC38" s="10" t="b">
        <v>1</v>
      </c>
      <c r="AD38" s="10"/>
      <c r="AE38" s="10"/>
      <c r="AF38" s="408">
        <f t="shared" si="1"/>
        <v>9.5</v>
      </c>
    </row>
    <row r="39">
      <c r="A39" s="404" t="s">
        <v>1039</v>
      </c>
      <c r="B39" s="261" t="s">
        <v>340</v>
      </c>
      <c r="C39" s="405">
        <v>45522.77438657408</v>
      </c>
      <c r="D39" s="248" t="s">
        <v>1040</v>
      </c>
      <c r="E39" s="261" t="s">
        <v>720</v>
      </c>
      <c r="F39" s="406">
        <v>10.0</v>
      </c>
      <c r="G39" s="406">
        <v>9.0</v>
      </c>
      <c r="H39" s="406">
        <v>10.0</v>
      </c>
      <c r="I39" s="406">
        <v>9.0</v>
      </c>
      <c r="J39" s="406" t="s">
        <v>553</v>
      </c>
      <c r="K39" s="406">
        <v>9.0</v>
      </c>
      <c r="L39" s="406">
        <v>9.0</v>
      </c>
      <c r="M39" s="406">
        <v>10.0</v>
      </c>
      <c r="N39" s="406">
        <v>10.0</v>
      </c>
      <c r="O39" s="406" t="s">
        <v>553</v>
      </c>
      <c r="P39" s="406">
        <v>10.0</v>
      </c>
      <c r="Q39" s="406">
        <v>10.0</v>
      </c>
      <c r="R39" s="406">
        <v>10.0</v>
      </c>
      <c r="S39" s="406">
        <v>9.0</v>
      </c>
      <c r="T39" s="406" t="s">
        <v>553</v>
      </c>
      <c r="U39" s="406">
        <v>8.0</v>
      </c>
      <c r="V39" s="406">
        <v>9.0</v>
      </c>
      <c r="W39" s="406">
        <v>9.0</v>
      </c>
      <c r="X39" s="406">
        <v>10.0</v>
      </c>
      <c r="Y39" s="406" t="s">
        <v>553</v>
      </c>
      <c r="Z39" s="406" t="s">
        <v>553</v>
      </c>
      <c r="AA39" s="406" t="s">
        <v>553</v>
      </c>
      <c r="AB39" s="9" t="s">
        <v>39</v>
      </c>
      <c r="AC39" s="10" t="b">
        <v>1</v>
      </c>
      <c r="AD39" s="10"/>
      <c r="AE39" s="10"/>
      <c r="AF39" s="408">
        <f t="shared" si="1"/>
        <v>9.4375</v>
      </c>
    </row>
    <row r="40">
      <c r="A40" s="404" t="s">
        <v>1041</v>
      </c>
      <c r="B40" s="261" t="s">
        <v>1042</v>
      </c>
      <c r="C40" s="405">
        <v>45522.80025462963</v>
      </c>
      <c r="D40" s="248" t="s">
        <v>720</v>
      </c>
      <c r="E40" s="261" t="s">
        <v>109</v>
      </c>
      <c r="F40" s="406">
        <v>9.0</v>
      </c>
      <c r="G40" s="406">
        <v>9.0</v>
      </c>
      <c r="H40" s="406">
        <v>9.0</v>
      </c>
      <c r="I40" s="406">
        <v>8.0</v>
      </c>
      <c r="J40" s="406" t="s">
        <v>1043</v>
      </c>
      <c r="K40" s="406">
        <v>10.0</v>
      </c>
      <c r="L40" s="406">
        <v>9.0</v>
      </c>
      <c r="M40" s="406">
        <v>9.0</v>
      </c>
      <c r="N40" s="406">
        <v>10.0</v>
      </c>
      <c r="O40" s="406" t="s">
        <v>1044</v>
      </c>
      <c r="P40" s="406">
        <v>10.0</v>
      </c>
      <c r="Q40" s="406">
        <v>10.0</v>
      </c>
      <c r="R40" s="406">
        <v>9.0</v>
      </c>
      <c r="S40" s="406">
        <v>9.0</v>
      </c>
      <c r="T40" s="406" t="s">
        <v>65</v>
      </c>
      <c r="U40" s="406">
        <v>8.0</v>
      </c>
      <c r="V40" s="406">
        <v>8.0</v>
      </c>
      <c r="W40" s="406">
        <v>8.0</v>
      </c>
      <c r="X40" s="406">
        <v>9.0</v>
      </c>
      <c r="Y40" s="406" t="s">
        <v>65</v>
      </c>
      <c r="Z40" s="406" t="s">
        <v>65</v>
      </c>
      <c r="AA40" s="406" t="s">
        <v>65</v>
      </c>
      <c r="AB40" s="9" t="s">
        <v>39</v>
      </c>
      <c r="AC40" s="10" t="b">
        <v>1</v>
      </c>
      <c r="AD40" s="10"/>
      <c r="AE40" s="10"/>
      <c r="AF40" s="408">
        <f t="shared" si="1"/>
        <v>9</v>
      </c>
    </row>
    <row r="41">
      <c r="A41" s="404" t="s">
        <v>1045</v>
      </c>
      <c r="B41" s="261" t="s">
        <v>1046</v>
      </c>
      <c r="C41" s="405">
        <v>45522.831608796296</v>
      </c>
      <c r="D41" s="248" t="s">
        <v>33</v>
      </c>
      <c r="E41" s="261" t="s">
        <v>109</v>
      </c>
      <c r="F41" s="406">
        <v>7.0</v>
      </c>
      <c r="G41" s="406">
        <v>7.0</v>
      </c>
      <c r="H41" s="406">
        <v>10.0</v>
      </c>
      <c r="I41" s="406">
        <v>8.0</v>
      </c>
      <c r="J41" s="406" t="s">
        <v>1047</v>
      </c>
      <c r="K41" s="406">
        <v>10.0</v>
      </c>
      <c r="L41" s="406">
        <v>10.0</v>
      </c>
      <c r="M41" s="406">
        <v>10.0</v>
      </c>
      <c r="N41" s="406">
        <v>8.0</v>
      </c>
      <c r="O41" s="406" t="s">
        <v>1048</v>
      </c>
      <c r="P41" s="406">
        <v>10.0</v>
      </c>
      <c r="Q41" s="406">
        <v>10.0</v>
      </c>
      <c r="R41" s="406">
        <v>10.0</v>
      </c>
      <c r="S41" s="406">
        <v>8.0</v>
      </c>
      <c r="T41" s="406" t="s">
        <v>1049</v>
      </c>
      <c r="U41" s="406">
        <v>7.0</v>
      </c>
      <c r="V41" s="406">
        <v>10.0</v>
      </c>
      <c r="W41" s="406">
        <v>8.0</v>
      </c>
      <c r="X41" s="406">
        <v>10.0</v>
      </c>
      <c r="Y41" s="406" t="s">
        <v>1050</v>
      </c>
      <c r="Z41" s="406" t="s">
        <v>1051</v>
      </c>
      <c r="AA41" s="406" t="s">
        <v>86</v>
      </c>
      <c r="AB41" s="9" t="s">
        <v>39</v>
      </c>
      <c r="AC41" s="10" t="b">
        <v>1</v>
      </c>
      <c r="AD41" s="10"/>
      <c r="AE41" s="10"/>
      <c r="AF41" s="408">
        <f t="shared" si="1"/>
        <v>8.9375</v>
      </c>
    </row>
    <row r="42">
      <c r="A42" s="404" t="s">
        <v>1052</v>
      </c>
      <c r="B42" s="261" t="s">
        <v>1053</v>
      </c>
      <c r="C42" s="405">
        <v>45522.83660879629</v>
      </c>
      <c r="D42" s="248" t="s">
        <v>134</v>
      </c>
      <c r="E42" s="261" t="s">
        <v>109</v>
      </c>
      <c r="F42" s="406">
        <v>7.0</v>
      </c>
      <c r="G42" s="406">
        <v>9.0</v>
      </c>
      <c r="H42" s="406">
        <v>7.0</v>
      </c>
      <c r="I42" s="406">
        <v>10.0</v>
      </c>
      <c r="J42" s="406" t="s">
        <v>1054</v>
      </c>
      <c r="K42" s="406">
        <v>10.0</v>
      </c>
      <c r="L42" s="406">
        <v>10.0</v>
      </c>
      <c r="M42" s="406">
        <v>9.0</v>
      </c>
      <c r="N42" s="406">
        <v>10.0</v>
      </c>
      <c r="O42" s="406" t="s">
        <v>1055</v>
      </c>
      <c r="P42" s="406">
        <v>10.0</v>
      </c>
      <c r="Q42" s="406">
        <v>5.0</v>
      </c>
      <c r="R42" s="406">
        <v>10.0</v>
      </c>
      <c r="S42" s="406">
        <v>9.0</v>
      </c>
      <c r="T42" s="406" t="s">
        <v>1056</v>
      </c>
      <c r="U42" s="406">
        <v>6.0</v>
      </c>
      <c r="V42" s="406">
        <v>9.0</v>
      </c>
      <c r="W42" s="406">
        <v>10.0</v>
      </c>
      <c r="X42" s="406">
        <v>10.0</v>
      </c>
      <c r="Y42" s="406" t="s">
        <v>1057</v>
      </c>
      <c r="Z42" s="406" t="s">
        <v>1058</v>
      </c>
      <c r="AA42" s="407"/>
      <c r="AB42" s="9" t="s">
        <v>39</v>
      </c>
      <c r="AC42" s="10" t="b">
        <v>1</v>
      </c>
      <c r="AD42" s="10"/>
      <c r="AE42" s="10"/>
      <c r="AF42" s="408">
        <f t="shared" si="1"/>
        <v>8.8125</v>
      </c>
    </row>
    <row r="43">
      <c r="A43" s="404" t="s">
        <v>1059</v>
      </c>
      <c r="B43" s="261" t="s">
        <v>1060</v>
      </c>
      <c r="C43" s="405">
        <v>45522.98944444444</v>
      </c>
      <c r="D43" s="248" t="s">
        <v>783</v>
      </c>
      <c r="E43" s="261" t="s">
        <v>109</v>
      </c>
      <c r="F43" s="406">
        <v>6.0</v>
      </c>
      <c r="G43" s="406">
        <v>6.0</v>
      </c>
      <c r="H43" s="406">
        <v>8.0</v>
      </c>
      <c r="I43" s="406">
        <v>9.0</v>
      </c>
      <c r="J43" s="406" t="s">
        <v>38</v>
      </c>
      <c r="K43" s="406">
        <v>10.0</v>
      </c>
      <c r="L43" s="406">
        <v>10.0</v>
      </c>
      <c r="M43" s="406">
        <v>9.0</v>
      </c>
      <c r="N43" s="406">
        <v>8.0</v>
      </c>
      <c r="O43" s="406" t="s">
        <v>1061</v>
      </c>
      <c r="P43" s="406">
        <v>10.0</v>
      </c>
      <c r="Q43" s="406">
        <v>8.0</v>
      </c>
      <c r="R43" s="406">
        <v>8.0</v>
      </c>
      <c r="S43" s="406">
        <v>9.0</v>
      </c>
      <c r="T43" s="406" t="s">
        <v>1061</v>
      </c>
      <c r="U43" s="406">
        <v>7.0</v>
      </c>
      <c r="V43" s="406">
        <v>6.0</v>
      </c>
      <c r="W43" s="406">
        <v>6.0</v>
      </c>
      <c r="X43" s="406">
        <v>8.0</v>
      </c>
      <c r="Y43" s="406" t="s">
        <v>1061</v>
      </c>
      <c r="Z43" s="407"/>
      <c r="AA43" s="407"/>
      <c r="AB43" s="9" t="s">
        <v>39</v>
      </c>
      <c r="AC43" s="10" t="b">
        <v>1</v>
      </c>
      <c r="AD43" s="10"/>
      <c r="AE43" s="10"/>
      <c r="AF43" s="408">
        <f t="shared" si="1"/>
        <v>8</v>
      </c>
    </row>
    <row r="44">
      <c r="A44" s="404" t="s">
        <v>1062</v>
      </c>
      <c r="B44" s="261" t="s">
        <v>1063</v>
      </c>
      <c r="C44" s="405">
        <v>45523.136145833334</v>
      </c>
      <c r="D44" s="248" t="s">
        <v>717</v>
      </c>
      <c r="E44" s="261" t="s">
        <v>109</v>
      </c>
      <c r="F44" s="406">
        <v>8.0</v>
      </c>
      <c r="G44" s="406">
        <v>8.0</v>
      </c>
      <c r="H44" s="406">
        <v>9.0</v>
      </c>
      <c r="I44" s="406">
        <v>6.0</v>
      </c>
      <c r="J44" s="406" t="s">
        <v>1064</v>
      </c>
      <c r="K44" s="406">
        <v>9.0</v>
      </c>
      <c r="L44" s="406">
        <v>8.0</v>
      </c>
      <c r="M44" s="406">
        <v>9.0</v>
      </c>
      <c r="N44" s="406">
        <v>8.0</v>
      </c>
      <c r="O44" s="406" t="s">
        <v>1065</v>
      </c>
      <c r="P44" s="406">
        <v>6.0</v>
      </c>
      <c r="Q44" s="406">
        <v>8.0</v>
      </c>
      <c r="R44" s="406">
        <v>7.0</v>
      </c>
      <c r="S44" s="406">
        <v>7.0</v>
      </c>
      <c r="T44" s="406" t="s">
        <v>1066</v>
      </c>
      <c r="U44" s="406">
        <v>6.0</v>
      </c>
      <c r="V44" s="406">
        <v>7.0</v>
      </c>
      <c r="W44" s="406">
        <v>8.0</v>
      </c>
      <c r="X44" s="406">
        <v>9.0</v>
      </c>
      <c r="Y44" s="406" t="s">
        <v>1067</v>
      </c>
      <c r="Z44" s="406" t="s">
        <v>1068</v>
      </c>
      <c r="AA44" s="406" t="s">
        <v>38</v>
      </c>
      <c r="AB44" s="9" t="s">
        <v>39</v>
      </c>
      <c r="AC44" s="10" t="b">
        <v>1</v>
      </c>
      <c r="AD44" s="10"/>
      <c r="AE44" s="10"/>
      <c r="AF44" s="408">
        <f t="shared" si="1"/>
        <v>7.6875</v>
      </c>
    </row>
    <row r="45">
      <c r="A45" s="404" t="s">
        <v>1069</v>
      </c>
      <c r="B45" s="261" t="s">
        <v>440</v>
      </c>
      <c r="C45" s="405">
        <v>45523.19494212963</v>
      </c>
      <c r="D45" s="248" t="s">
        <v>1070</v>
      </c>
      <c r="E45" s="261" t="s">
        <v>109</v>
      </c>
      <c r="F45" s="406">
        <v>8.0</v>
      </c>
      <c r="G45" s="406">
        <v>7.0</v>
      </c>
      <c r="H45" s="406">
        <v>9.0</v>
      </c>
      <c r="I45" s="406">
        <v>10.0</v>
      </c>
      <c r="J45" s="406" t="s">
        <v>1071</v>
      </c>
      <c r="K45" s="406">
        <v>6.0</v>
      </c>
      <c r="L45" s="406">
        <v>6.0</v>
      </c>
      <c r="M45" s="406">
        <v>10.0</v>
      </c>
      <c r="N45" s="406">
        <v>7.0</v>
      </c>
      <c r="O45" s="406" t="s">
        <v>1072</v>
      </c>
      <c r="P45" s="406">
        <v>7.0</v>
      </c>
      <c r="Q45" s="406">
        <v>10.0</v>
      </c>
      <c r="R45" s="406">
        <v>8.0</v>
      </c>
      <c r="S45" s="406">
        <v>10.0</v>
      </c>
      <c r="T45" s="406" t="s">
        <v>1073</v>
      </c>
      <c r="U45" s="406">
        <v>6.0</v>
      </c>
      <c r="V45" s="406">
        <v>6.0</v>
      </c>
      <c r="W45" s="406">
        <v>6.0</v>
      </c>
      <c r="X45" s="406">
        <v>6.0</v>
      </c>
      <c r="Y45" s="406" t="s">
        <v>1074</v>
      </c>
      <c r="Z45" s="406" t="s">
        <v>1075</v>
      </c>
      <c r="AA45" s="406" t="s">
        <v>1076</v>
      </c>
      <c r="AB45" s="9" t="s">
        <v>39</v>
      </c>
      <c r="AC45" s="10" t="b">
        <v>1</v>
      </c>
      <c r="AD45" s="10"/>
      <c r="AE45" s="10"/>
      <c r="AF45" s="408">
        <f t="shared" si="1"/>
        <v>7.625</v>
      </c>
    </row>
    <row r="46">
      <c r="A46" s="404" t="s">
        <v>1077</v>
      </c>
      <c r="B46" s="261" t="s">
        <v>440</v>
      </c>
      <c r="C46" s="405">
        <v>45523.20667824074</v>
      </c>
      <c r="D46" s="248" t="s">
        <v>242</v>
      </c>
      <c r="E46" s="261" t="s">
        <v>109</v>
      </c>
      <c r="F46" s="406">
        <v>7.0</v>
      </c>
      <c r="G46" s="406">
        <v>3.0</v>
      </c>
      <c r="H46" s="406">
        <v>8.0</v>
      </c>
      <c r="I46" s="406">
        <v>2.0</v>
      </c>
      <c r="J46" s="406" t="s">
        <v>1078</v>
      </c>
      <c r="K46" s="406">
        <v>8.0</v>
      </c>
      <c r="L46" s="406">
        <v>9.0</v>
      </c>
      <c r="M46" s="406">
        <v>9.0</v>
      </c>
      <c r="N46" s="406">
        <v>10.0</v>
      </c>
      <c r="O46" s="406" t="s">
        <v>1079</v>
      </c>
      <c r="P46" s="406">
        <v>3.0</v>
      </c>
      <c r="Q46" s="406">
        <v>6.0</v>
      </c>
      <c r="R46" s="406">
        <v>4.0</v>
      </c>
      <c r="S46" s="406">
        <v>3.0</v>
      </c>
      <c r="T46" s="406" t="s">
        <v>1080</v>
      </c>
      <c r="U46" s="406">
        <v>2.0</v>
      </c>
      <c r="V46" s="406">
        <v>3.0</v>
      </c>
      <c r="W46" s="406">
        <v>2.0</v>
      </c>
      <c r="X46" s="406">
        <v>3.0</v>
      </c>
      <c r="Y46" s="406" t="s">
        <v>1081</v>
      </c>
      <c r="Z46" s="406" t="s">
        <v>1368</v>
      </c>
      <c r="AA46" s="406" t="s">
        <v>1083</v>
      </c>
      <c r="AB46" s="9" t="s">
        <v>39</v>
      </c>
      <c r="AC46" s="10" t="b">
        <v>1</v>
      </c>
      <c r="AD46" s="10"/>
      <c r="AE46" s="10"/>
      <c r="AF46" s="408">
        <f t="shared" si="1"/>
        <v>5.125</v>
      </c>
    </row>
    <row r="47">
      <c r="A47" s="404" t="s">
        <v>1084</v>
      </c>
      <c r="B47" s="261" t="s">
        <v>1085</v>
      </c>
      <c r="C47" s="405">
        <v>45523.365752314814</v>
      </c>
      <c r="D47" s="248" t="s">
        <v>1086</v>
      </c>
      <c r="E47" s="261" t="s">
        <v>781</v>
      </c>
      <c r="F47" s="406">
        <v>10.0</v>
      </c>
      <c r="G47" s="406">
        <v>10.0</v>
      </c>
      <c r="H47" s="406">
        <v>10.0</v>
      </c>
      <c r="I47" s="406">
        <v>10.0</v>
      </c>
      <c r="J47" s="406" t="s">
        <v>1087</v>
      </c>
      <c r="K47" s="406">
        <v>10.0</v>
      </c>
      <c r="L47" s="406">
        <v>10.0</v>
      </c>
      <c r="M47" s="406">
        <v>10.0</v>
      </c>
      <c r="N47" s="406">
        <v>10.0</v>
      </c>
      <c r="O47" s="406" t="s">
        <v>1088</v>
      </c>
      <c r="P47" s="406">
        <v>10.0</v>
      </c>
      <c r="Q47" s="406">
        <v>10.0</v>
      </c>
      <c r="R47" s="406">
        <v>10.0</v>
      </c>
      <c r="S47" s="406">
        <v>10.0</v>
      </c>
      <c r="T47" s="406" t="s">
        <v>1089</v>
      </c>
      <c r="U47" s="407"/>
      <c r="V47" s="406">
        <v>10.0</v>
      </c>
      <c r="W47" s="406">
        <v>10.0</v>
      </c>
      <c r="X47" s="406">
        <v>10.0</v>
      </c>
      <c r="Y47" s="406" t="s">
        <v>1090</v>
      </c>
      <c r="Z47" s="406" t="s">
        <v>1091</v>
      </c>
      <c r="AA47" s="406" t="s">
        <v>1092</v>
      </c>
      <c r="AB47" s="9" t="s">
        <v>39</v>
      </c>
      <c r="AC47" s="10" t="b">
        <v>1</v>
      </c>
      <c r="AD47" s="10"/>
      <c r="AE47" s="10"/>
      <c r="AF47" s="408">
        <f t="shared" si="1"/>
        <v>10</v>
      </c>
    </row>
    <row r="48">
      <c r="A48" s="404" t="s">
        <v>1093</v>
      </c>
      <c r="B48" s="261" t="s">
        <v>1094</v>
      </c>
      <c r="C48" s="405">
        <v>45523.45936342593</v>
      </c>
      <c r="D48" s="248" t="s">
        <v>1095</v>
      </c>
      <c r="E48" s="261" t="s">
        <v>781</v>
      </c>
      <c r="F48" s="406">
        <v>9.0</v>
      </c>
      <c r="G48" s="406">
        <v>10.0</v>
      </c>
      <c r="H48" s="406">
        <v>9.0</v>
      </c>
      <c r="I48" s="406">
        <v>9.0</v>
      </c>
      <c r="J48" s="406" t="s">
        <v>1096</v>
      </c>
      <c r="K48" s="406">
        <v>10.0</v>
      </c>
      <c r="L48" s="406">
        <v>10.0</v>
      </c>
      <c r="M48" s="406">
        <v>10.0</v>
      </c>
      <c r="N48" s="406">
        <v>10.0</v>
      </c>
      <c r="O48" s="406" t="s">
        <v>1097</v>
      </c>
      <c r="P48" s="406">
        <v>10.0</v>
      </c>
      <c r="Q48" s="406">
        <v>10.0</v>
      </c>
      <c r="R48" s="406">
        <v>10.0</v>
      </c>
      <c r="S48" s="406">
        <v>10.0</v>
      </c>
      <c r="T48" s="406" t="s">
        <v>1098</v>
      </c>
      <c r="U48" s="406">
        <v>9.0</v>
      </c>
      <c r="V48" s="406">
        <v>7.0</v>
      </c>
      <c r="W48" s="406">
        <v>10.0</v>
      </c>
      <c r="X48" s="406">
        <v>10.0</v>
      </c>
      <c r="Y48" s="406" t="s">
        <v>1099</v>
      </c>
      <c r="Z48" s="406" t="s">
        <v>1100</v>
      </c>
      <c r="AA48" s="406" t="s">
        <v>1101</v>
      </c>
      <c r="AB48" s="9" t="s">
        <v>39</v>
      </c>
      <c r="AC48" s="10" t="b">
        <v>1</v>
      </c>
      <c r="AD48" s="10"/>
      <c r="AE48" s="10"/>
      <c r="AF48" s="408">
        <f t="shared" si="1"/>
        <v>9.5625</v>
      </c>
    </row>
    <row r="49">
      <c r="A49" s="404" t="s">
        <v>1102</v>
      </c>
      <c r="B49" s="261" t="s">
        <v>1103</v>
      </c>
      <c r="C49" s="405">
        <v>45523.47578703704</v>
      </c>
      <c r="D49" s="248" t="s">
        <v>1104</v>
      </c>
      <c r="E49" s="261" t="s">
        <v>781</v>
      </c>
      <c r="F49" s="406">
        <v>10.0</v>
      </c>
      <c r="G49" s="406">
        <v>6.0</v>
      </c>
      <c r="H49" s="406">
        <v>10.0</v>
      </c>
      <c r="I49" s="406">
        <v>8.0</v>
      </c>
      <c r="J49" s="406" t="s">
        <v>1105</v>
      </c>
      <c r="K49" s="406">
        <v>9.0</v>
      </c>
      <c r="L49" s="406">
        <v>10.0</v>
      </c>
      <c r="M49" s="406">
        <v>10.0</v>
      </c>
      <c r="N49" s="406">
        <v>10.0</v>
      </c>
      <c r="O49" s="406" t="s">
        <v>1106</v>
      </c>
      <c r="P49" s="406">
        <v>8.0</v>
      </c>
      <c r="Q49" s="406">
        <v>9.0</v>
      </c>
      <c r="R49" s="406">
        <v>8.0</v>
      </c>
      <c r="S49" s="406">
        <v>7.0</v>
      </c>
      <c r="T49" s="406" t="s">
        <v>1107</v>
      </c>
      <c r="U49" s="406">
        <v>6.0</v>
      </c>
      <c r="V49" s="406">
        <v>10.0</v>
      </c>
      <c r="W49" s="406">
        <v>9.0</v>
      </c>
      <c r="X49" s="406">
        <v>9.0</v>
      </c>
      <c r="Y49" s="406" t="s">
        <v>1108</v>
      </c>
      <c r="Z49" s="406" t="s">
        <v>1109</v>
      </c>
      <c r="AA49" s="406" t="s">
        <v>1110</v>
      </c>
      <c r="AB49" s="9" t="s">
        <v>39</v>
      </c>
      <c r="AC49" s="10" t="b">
        <v>1</v>
      </c>
      <c r="AD49" s="10"/>
      <c r="AE49" s="10"/>
      <c r="AF49" s="408">
        <f t="shared" si="1"/>
        <v>8.6875</v>
      </c>
    </row>
    <row r="50">
      <c r="A50" s="404" t="s">
        <v>1111</v>
      </c>
      <c r="B50" s="261" t="s">
        <v>1112</v>
      </c>
      <c r="C50" s="405">
        <v>45523.542037037034</v>
      </c>
      <c r="D50" s="248" t="s">
        <v>771</v>
      </c>
      <c r="E50" s="261" t="s">
        <v>134</v>
      </c>
      <c r="F50" s="406">
        <v>10.0</v>
      </c>
      <c r="G50" s="406">
        <v>10.0</v>
      </c>
      <c r="H50" s="406">
        <v>10.0</v>
      </c>
      <c r="I50" s="406">
        <v>10.0</v>
      </c>
      <c r="J50" s="406" t="s">
        <v>110</v>
      </c>
      <c r="K50" s="406">
        <v>10.0</v>
      </c>
      <c r="L50" s="406">
        <v>10.0</v>
      </c>
      <c r="M50" s="406">
        <v>10.0</v>
      </c>
      <c r="N50" s="406">
        <v>10.0</v>
      </c>
      <c r="O50" s="406" t="s">
        <v>110</v>
      </c>
      <c r="P50" s="406">
        <v>10.0</v>
      </c>
      <c r="Q50" s="406">
        <v>10.0</v>
      </c>
      <c r="R50" s="406">
        <v>10.0</v>
      </c>
      <c r="S50" s="406">
        <v>10.0</v>
      </c>
      <c r="T50" s="406" t="s">
        <v>110</v>
      </c>
      <c r="U50" s="406">
        <v>10.0</v>
      </c>
      <c r="V50" s="406">
        <v>10.0</v>
      </c>
      <c r="W50" s="406">
        <v>10.0</v>
      </c>
      <c r="X50" s="406">
        <v>10.0</v>
      </c>
      <c r="Y50" s="406" t="s">
        <v>110</v>
      </c>
      <c r="Z50" s="407"/>
      <c r="AA50" s="407"/>
      <c r="AB50" s="9" t="s">
        <v>39</v>
      </c>
      <c r="AC50" s="10" t="b">
        <v>1</v>
      </c>
      <c r="AD50" s="10"/>
      <c r="AE50" s="10"/>
      <c r="AF50" s="408">
        <f t="shared" si="1"/>
        <v>10</v>
      </c>
    </row>
    <row r="51">
      <c r="A51" s="404" t="s">
        <v>1113</v>
      </c>
      <c r="B51" s="261" t="s">
        <v>484</v>
      </c>
      <c r="C51" s="405">
        <v>45523.68976851852</v>
      </c>
      <c r="D51" s="248" t="s">
        <v>359</v>
      </c>
      <c r="E51" s="261" t="s">
        <v>134</v>
      </c>
      <c r="F51" s="406">
        <v>10.0</v>
      </c>
      <c r="G51" s="406">
        <v>10.0</v>
      </c>
      <c r="H51" s="406">
        <v>10.0</v>
      </c>
      <c r="I51" s="406">
        <v>10.0</v>
      </c>
      <c r="J51" s="406" t="s">
        <v>1114</v>
      </c>
      <c r="K51" s="406">
        <v>10.0</v>
      </c>
      <c r="L51" s="406">
        <v>10.0</v>
      </c>
      <c r="M51" s="406">
        <v>10.0</v>
      </c>
      <c r="N51" s="406">
        <v>10.0</v>
      </c>
      <c r="O51" s="406" t="s">
        <v>1115</v>
      </c>
      <c r="P51" s="406">
        <v>10.0</v>
      </c>
      <c r="Q51" s="406">
        <v>10.0</v>
      </c>
      <c r="R51" s="406">
        <v>10.0</v>
      </c>
      <c r="S51" s="406">
        <v>10.0</v>
      </c>
      <c r="T51" s="406" t="s">
        <v>1116</v>
      </c>
      <c r="U51" s="406">
        <v>8.0</v>
      </c>
      <c r="V51" s="406">
        <v>10.0</v>
      </c>
      <c r="W51" s="406">
        <v>10.0</v>
      </c>
      <c r="X51" s="406">
        <v>10.0</v>
      </c>
      <c r="Y51" s="406" t="s">
        <v>1117</v>
      </c>
      <c r="Z51" s="406" t="s">
        <v>1118</v>
      </c>
      <c r="AA51" s="406" t="s">
        <v>1119</v>
      </c>
      <c r="AB51" s="9" t="s">
        <v>39</v>
      </c>
      <c r="AC51" s="10" t="b">
        <v>1</v>
      </c>
      <c r="AD51" s="10"/>
      <c r="AE51" s="10"/>
      <c r="AF51" s="408">
        <f t="shared" si="1"/>
        <v>9.875</v>
      </c>
    </row>
    <row r="52">
      <c r="A52" s="404" t="s">
        <v>1120</v>
      </c>
      <c r="B52" s="261" t="s">
        <v>1121</v>
      </c>
      <c r="C52" s="405">
        <v>45523.836747685185</v>
      </c>
      <c r="D52" s="248" t="s">
        <v>1017</v>
      </c>
      <c r="E52" s="261" t="s">
        <v>134</v>
      </c>
      <c r="F52" s="406">
        <v>9.0</v>
      </c>
      <c r="G52" s="406">
        <v>10.0</v>
      </c>
      <c r="H52" s="406">
        <v>10.0</v>
      </c>
      <c r="I52" s="406">
        <v>10.0</v>
      </c>
      <c r="J52" s="406" t="s">
        <v>1122</v>
      </c>
      <c r="K52" s="406">
        <v>10.0</v>
      </c>
      <c r="L52" s="406">
        <v>10.0</v>
      </c>
      <c r="M52" s="406">
        <v>10.0</v>
      </c>
      <c r="N52" s="406">
        <v>10.0</v>
      </c>
      <c r="O52" s="406" t="s">
        <v>1123</v>
      </c>
      <c r="P52" s="406">
        <v>10.0</v>
      </c>
      <c r="Q52" s="406">
        <v>10.0</v>
      </c>
      <c r="R52" s="406">
        <v>10.0</v>
      </c>
      <c r="S52" s="406">
        <v>10.0</v>
      </c>
      <c r="T52" s="406" t="s">
        <v>1124</v>
      </c>
      <c r="U52" s="406">
        <v>9.0</v>
      </c>
      <c r="V52" s="406">
        <v>10.0</v>
      </c>
      <c r="W52" s="406">
        <v>10.0</v>
      </c>
      <c r="X52" s="406">
        <v>10.0</v>
      </c>
      <c r="Y52" s="406" t="s">
        <v>1125</v>
      </c>
      <c r="Z52" s="406" t="s">
        <v>1126</v>
      </c>
      <c r="AA52" s="406" t="s">
        <v>1127</v>
      </c>
      <c r="AB52" s="9" t="s">
        <v>39</v>
      </c>
      <c r="AC52" s="10" t="b">
        <v>1</v>
      </c>
      <c r="AD52" s="10"/>
      <c r="AE52" s="10"/>
      <c r="AF52" s="408">
        <f t="shared" si="1"/>
        <v>9.875</v>
      </c>
    </row>
    <row r="53">
      <c r="A53" s="404" t="s">
        <v>1128</v>
      </c>
      <c r="B53" s="261" t="s">
        <v>1121</v>
      </c>
      <c r="C53" s="405">
        <v>45523.83928240741</v>
      </c>
      <c r="D53" s="248" t="s">
        <v>1129</v>
      </c>
      <c r="E53" s="261" t="s">
        <v>134</v>
      </c>
      <c r="F53" s="406">
        <v>9.0</v>
      </c>
      <c r="G53" s="406">
        <v>10.0</v>
      </c>
      <c r="H53" s="406">
        <v>10.0</v>
      </c>
      <c r="I53" s="406">
        <v>10.0</v>
      </c>
      <c r="J53" s="406" t="s">
        <v>1130</v>
      </c>
      <c r="K53" s="406">
        <v>10.0</v>
      </c>
      <c r="L53" s="406">
        <v>10.0</v>
      </c>
      <c r="M53" s="406">
        <v>10.0</v>
      </c>
      <c r="N53" s="406">
        <v>10.0</v>
      </c>
      <c r="O53" s="406" t="s">
        <v>70</v>
      </c>
      <c r="P53" s="406">
        <v>9.0</v>
      </c>
      <c r="Q53" s="406">
        <v>10.0</v>
      </c>
      <c r="R53" s="406">
        <v>10.0</v>
      </c>
      <c r="S53" s="406">
        <v>10.0</v>
      </c>
      <c r="T53" s="406" t="s">
        <v>38</v>
      </c>
      <c r="U53" s="406">
        <v>10.0</v>
      </c>
      <c r="V53" s="406">
        <v>10.0</v>
      </c>
      <c r="W53" s="406">
        <v>10.0</v>
      </c>
      <c r="X53" s="406">
        <v>10.0</v>
      </c>
      <c r="Y53" s="406" t="s">
        <v>38</v>
      </c>
      <c r="Z53" s="406" t="s">
        <v>1131</v>
      </c>
      <c r="AA53" s="406" t="s">
        <v>1132</v>
      </c>
      <c r="AB53" s="9" t="s">
        <v>39</v>
      </c>
      <c r="AC53" s="10" t="b">
        <v>1</v>
      </c>
      <c r="AD53" s="10"/>
      <c r="AE53" s="10"/>
      <c r="AF53" s="408">
        <f t="shared" si="1"/>
        <v>9.875</v>
      </c>
    </row>
    <row r="54">
      <c r="A54" s="404" t="s">
        <v>1133</v>
      </c>
      <c r="B54" s="261" t="s">
        <v>1134</v>
      </c>
      <c r="C54" s="405">
        <v>45524.62731481482</v>
      </c>
      <c r="D54" s="248" t="s">
        <v>1135</v>
      </c>
      <c r="E54" s="261" t="s">
        <v>134</v>
      </c>
      <c r="F54" s="406">
        <v>8.0</v>
      </c>
      <c r="G54" s="406">
        <v>8.0</v>
      </c>
      <c r="H54" s="406">
        <v>10.0</v>
      </c>
      <c r="I54" s="406">
        <v>8.0</v>
      </c>
      <c r="J54" s="406" t="s">
        <v>1136</v>
      </c>
      <c r="K54" s="406">
        <v>10.0</v>
      </c>
      <c r="L54" s="406">
        <v>10.0</v>
      </c>
      <c r="M54" s="406">
        <v>9.0</v>
      </c>
      <c r="N54" s="406">
        <v>8.0</v>
      </c>
      <c r="O54" s="406" t="s">
        <v>1136</v>
      </c>
      <c r="P54" s="406">
        <v>8.0</v>
      </c>
      <c r="Q54" s="406">
        <v>10.0</v>
      </c>
      <c r="R54" s="406">
        <v>10.0</v>
      </c>
      <c r="S54" s="406">
        <v>9.0</v>
      </c>
      <c r="T54" s="406" t="s">
        <v>1136</v>
      </c>
      <c r="U54" s="406">
        <v>7.0</v>
      </c>
      <c r="V54" s="406">
        <v>7.0</v>
      </c>
      <c r="W54" s="406">
        <v>9.0</v>
      </c>
      <c r="X54" s="406">
        <v>8.0</v>
      </c>
      <c r="Y54" s="406" t="s">
        <v>1136</v>
      </c>
      <c r="Z54" s="407"/>
      <c r="AA54" s="407"/>
      <c r="AB54" s="9" t="s">
        <v>39</v>
      </c>
      <c r="AC54" s="10" t="b">
        <v>1</v>
      </c>
      <c r="AD54" s="10"/>
      <c r="AE54" s="10"/>
      <c r="AF54" s="408">
        <f t="shared" si="1"/>
        <v>8.6875</v>
      </c>
    </row>
    <row r="55">
      <c r="A55" s="404" t="s">
        <v>1137</v>
      </c>
      <c r="B55" s="261" t="s">
        <v>1138</v>
      </c>
      <c r="C55" s="405">
        <v>45525.33688657408</v>
      </c>
      <c r="D55" s="248" t="s">
        <v>775</v>
      </c>
      <c r="E55" s="261" t="s">
        <v>134</v>
      </c>
      <c r="F55" s="406">
        <v>10.0</v>
      </c>
      <c r="G55" s="406">
        <v>6.0</v>
      </c>
      <c r="H55" s="406">
        <v>8.0</v>
      </c>
      <c r="I55" s="406">
        <v>9.0</v>
      </c>
      <c r="J55" s="406" t="s">
        <v>1139</v>
      </c>
      <c r="K55" s="406">
        <v>8.0</v>
      </c>
      <c r="L55" s="406">
        <v>8.0</v>
      </c>
      <c r="M55" s="406">
        <v>10.0</v>
      </c>
      <c r="N55" s="406">
        <v>8.0</v>
      </c>
      <c r="O55" s="406" t="s">
        <v>1140</v>
      </c>
      <c r="P55" s="406">
        <v>8.0</v>
      </c>
      <c r="Q55" s="406">
        <v>8.0</v>
      </c>
      <c r="R55" s="406">
        <v>6.0</v>
      </c>
      <c r="S55" s="406">
        <v>5.0</v>
      </c>
      <c r="T55" s="406" t="s">
        <v>1141</v>
      </c>
      <c r="U55" s="406">
        <v>10.0</v>
      </c>
      <c r="V55" s="406">
        <v>10.0</v>
      </c>
      <c r="W55" s="406">
        <v>10.0</v>
      </c>
      <c r="X55" s="406">
        <v>10.0</v>
      </c>
      <c r="Y55" s="406" t="s">
        <v>38</v>
      </c>
      <c r="Z55" s="407"/>
      <c r="AA55" s="407"/>
      <c r="AB55" s="9" t="s">
        <v>39</v>
      </c>
      <c r="AC55" s="10" t="b">
        <v>1</v>
      </c>
      <c r="AD55" s="10"/>
      <c r="AE55" s="10"/>
      <c r="AF55" s="408">
        <f t="shared" si="1"/>
        <v>8.375</v>
      </c>
    </row>
    <row r="56">
      <c r="A56" s="404" t="s">
        <v>1142</v>
      </c>
      <c r="B56" s="261" t="s">
        <v>1143</v>
      </c>
      <c r="C56" s="405">
        <v>45525.344560185185</v>
      </c>
      <c r="D56" s="248" t="s">
        <v>1144</v>
      </c>
      <c r="E56" s="261" t="s">
        <v>134</v>
      </c>
      <c r="F56" s="406">
        <v>10.0</v>
      </c>
      <c r="G56" s="406">
        <v>4.0</v>
      </c>
      <c r="H56" s="406">
        <v>9.0</v>
      </c>
      <c r="I56" s="406">
        <v>8.0</v>
      </c>
      <c r="J56" s="406" t="s">
        <v>1145</v>
      </c>
      <c r="K56" s="406">
        <v>8.0</v>
      </c>
      <c r="L56" s="406">
        <v>8.0</v>
      </c>
      <c r="M56" s="406">
        <v>9.0</v>
      </c>
      <c r="N56" s="406">
        <v>9.0</v>
      </c>
      <c r="O56" s="406" t="s">
        <v>65</v>
      </c>
      <c r="P56" s="406">
        <v>5.0</v>
      </c>
      <c r="Q56" s="406">
        <v>7.0</v>
      </c>
      <c r="R56" s="406">
        <v>9.0</v>
      </c>
      <c r="S56" s="406">
        <v>10.0</v>
      </c>
      <c r="T56" s="406" t="s">
        <v>65</v>
      </c>
      <c r="U56" s="406">
        <v>5.0</v>
      </c>
      <c r="V56" s="406">
        <v>7.0</v>
      </c>
      <c r="W56" s="406">
        <v>9.0</v>
      </c>
      <c r="X56" s="406">
        <v>8.0</v>
      </c>
      <c r="Y56" s="406" t="s">
        <v>1146</v>
      </c>
      <c r="Z56" s="406" t="s">
        <v>1147</v>
      </c>
      <c r="AA56" s="407"/>
      <c r="AB56" s="9" t="s">
        <v>39</v>
      </c>
      <c r="AC56" s="10" t="b">
        <v>1</v>
      </c>
      <c r="AD56" s="10"/>
      <c r="AE56" s="10"/>
      <c r="AF56" s="408">
        <f t="shared" si="1"/>
        <v>7.8125</v>
      </c>
    </row>
    <row r="57">
      <c r="A57" s="404" t="s">
        <v>1148</v>
      </c>
      <c r="B57" s="261" t="s">
        <v>1149</v>
      </c>
      <c r="C57" s="405">
        <v>45525.56811342593</v>
      </c>
      <c r="D57" s="248" t="s">
        <v>236</v>
      </c>
      <c r="E57" s="261" t="s">
        <v>775</v>
      </c>
      <c r="F57" s="406">
        <v>10.0</v>
      </c>
      <c r="G57" s="406">
        <v>10.0</v>
      </c>
      <c r="H57" s="406">
        <v>10.0</v>
      </c>
      <c r="I57" s="406">
        <v>9.0</v>
      </c>
      <c r="J57" s="406" t="s">
        <v>38</v>
      </c>
      <c r="K57" s="406">
        <v>10.0</v>
      </c>
      <c r="L57" s="406">
        <v>8.0</v>
      </c>
      <c r="M57" s="406">
        <v>10.0</v>
      </c>
      <c r="N57" s="407"/>
      <c r="O57" s="406" t="s">
        <v>65</v>
      </c>
      <c r="P57" s="406">
        <v>8.0</v>
      </c>
      <c r="Q57" s="406">
        <v>9.0</v>
      </c>
      <c r="R57" s="406">
        <v>10.0</v>
      </c>
      <c r="S57" s="406">
        <v>10.0</v>
      </c>
      <c r="T57" s="406" t="s">
        <v>65</v>
      </c>
      <c r="U57" s="407"/>
      <c r="V57" s="406">
        <v>10.0</v>
      </c>
      <c r="W57" s="406">
        <v>10.0</v>
      </c>
      <c r="X57" s="406">
        <v>10.0</v>
      </c>
      <c r="Y57" s="406" t="s">
        <v>65</v>
      </c>
      <c r="Z57" s="407"/>
      <c r="AA57" s="407"/>
      <c r="AB57" s="9" t="s">
        <v>39</v>
      </c>
      <c r="AC57" s="10" t="b">
        <v>1</v>
      </c>
      <c r="AD57" s="10"/>
      <c r="AE57" s="10"/>
      <c r="AF57" s="408">
        <f t="shared" si="1"/>
        <v>9.571428571</v>
      </c>
    </row>
    <row r="58">
      <c r="A58" s="404" t="s">
        <v>1150</v>
      </c>
      <c r="B58" s="261" t="s">
        <v>1151</v>
      </c>
      <c r="C58" s="405">
        <v>45526.547534722224</v>
      </c>
      <c r="D58" s="248" t="s">
        <v>1135</v>
      </c>
      <c r="E58" s="261" t="s">
        <v>775</v>
      </c>
      <c r="F58" s="406">
        <v>9.0</v>
      </c>
      <c r="G58" s="406">
        <v>10.0</v>
      </c>
      <c r="H58" s="406">
        <v>9.0</v>
      </c>
      <c r="I58" s="406">
        <v>9.0</v>
      </c>
      <c r="J58" s="406" t="s">
        <v>1152</v>
      </c>
      <c r="K58" s="406">
        <v>10.0</v>
      </c>
      <c r="L58" s="406">
        <v>10.0</v>
      </c>
      <c r="M58" s="406">
        <v>10.0</v>
      </c>
      <c r="N58" s="406">
        <v>10.0</v>
      </c>
      <c r="O58" s="406" t="s">
        <v>1152</v>
      </c>
      <c r="P58" s="406">
        <v>10.0</v>
      </c>
      <c r="Q58" s="406">
        <v>9.0</v>
      </c>
      <c r="R58" s="406">
        <v>9.0</v>
      </c>
      <c r="S58" s="406">
        <v>10.0</v>
      </c>
      <c r="T58" s="406" t="s">
        <v>1136</v>
      </c>
      <c r="U58" s="406">
        <v>8.0</v>
      </c>
      <c r="V58" s="406">
        <v>8.0</v>
      </c>
      <c r="W58" s="406">
        <v>10.0</v>
      </c>
      <c r="X58" s="406">
        <v>9.0</v>
      </c>
      <c r="Y58" s="406" t="s">
        <v>1152</v>
      </c>
      <c r="Z58" s="407"/>
      <c r="AA58" s="407"/>
      <c r="AB58" s="9" t="s">
        <v>39</v>
      </c>
      <c r="AC58" s="10" t="b">
        <v>1</v>
      </c>
      <c r="AD58" s="10"/>
      <c r="AE58" s="10"/>
      <c r="AF58" s="408">
        <f t="shared" si="1"/>
        <v>9.375</v>
      </c>
    </row>
    <row r="59">
      <c r="A59" s="404" t="s">
        <v>1153</v>
      </c>
      <c r="B59" s="261" t="s">
        <v>1154</v>
      </c>
      <c r="C59" s="405">
        <v>45526.71325231482</v>
      </c>
      <c r="D59" s="248" t="s">
        <v>202</v>
      </c>
      <c r="E59" s="261" t="s">
        <v>775</v>
      </c>
      <c r="F59" s="406">
        <v>9.0</v>
      </c>
      <c r="G59" s="406">
        <v>8.0</v>
      </c>
      <c r="H59" s="406">
        <v>8.0</v>
      </c>
      <c r="I59" s="406">
        <v>8.0</v>
      </c>
      <c r="J59" s="406" t="s">
        <v>1155</v>
      </c>
      <c r="K59" s="406">
        <v>9.0</v>
      </c>
      <c r="L59" s="406">
        <v>8.0</v>
      </c>
      <c r="M59" s="406">
        <v>10.0</v>
      </c>
      <c r="N59" s="406">
        <v>8.0</v>
      </c>
      <c r="O59" s="406" t="s">
        <v>1155</v>
      </c>
      <c r="P59" s="406">
        <v>9.0</v>
      </c>
      <c r="Q59" s="406">
        <v>9.0</v>
      </c>
      <c r="R59" s="406">
        <v>9.0</v>
      </c>
      <c r="S59" s="406">
        <v>9.0</v>
      </c>
      <c r="T59" s="406" t="s">
        <v>1155</v>
      </c>
      <c r="U59" s="406">
        <v>8.0</v>
      </c>
      <c r="V59" s="406">
        <v>8.0</v>
      </c>
      <c r="W59" s="406">
        <v>8.0</v>
      </c>
      <c r="X59" s="406">
        <v>8.0</v>
      </c>
      <c r="Y59" s="406" t="s">
        <v>1155</v>
      </c>
      <c r="Z59" s="406" t="s">
        <v>1155</v>
      </c>
      <c r="AA59" s="406" t="s">
        <v>1155</v>
      </c>
      <c r="AB59" s="9" t="s">
        <v>39</v>
      </c>
      <c r="AC59" s="10" t="b">
        <v>1</v>
      </c>
      <c r="AD59" s="10"/>
      <c r="AE59" s="10"/>
      <c r="AF59" s="408">
        <f t="shared" si="1"/>
        <v>8.5</v>
      </c>
    </row>
    <row r="60">
      <c r="A60" s="404" t="s">
        <v>1156</v>
      </c>
      <c r="B60" s="261" t="s">
        <v>1157</v>
      </c>
      <c r="C60" s="405">
        <v>45527.59547453704</v>
      </c>
      <c r="D60" s="248" t="s">
        <v>1158</v>
      </c>
      <c r="E60" s="261" t="s">
        <v>775</v>
      </c>
      <c r="F60" s="406">
        <v>8.0</v>
      </c>
      <c r="G60" s="406">
        <v>8.0</v>
      </c>
      <c r="H60" s="406">
        <v>6.0</v>
      </c>
      <c r="I60" s="406">
        <v>6.0</v>
      </c>
      <c r="J60" s="406" t="s">
        <v>1159</v>
      </c>
      <c r="K60" s="406">
        <v>10.0</v>
      </c>
      <c r="L60" s="406">
        <v>10.0</v>
      </c>
      <c r="M60" s="406">
        <v>10.0</v>
      </c>
      <c r="N60" s="407"/>
      <c r="O60" s="406" t="s">
        <v>1160</v>
      </c>
      <c r="P60" s="406">
        <v>6.0</v>
      </c>
      <c r="Q60" s="406">
        <v>10.0</v>
      </c>
      <c r="R60" s="406">
        <v>7.0</v>
      </c>
      <c r="S60" s="406">
        <v>5.0</v>
      </c>
      <c r="T60" s="406" t="s">
        <v>1161</v>
      </c>
      <c r="U60" s="406">
        <v>6.0</v>
      </c>
      <c r="V60" s="406">
        <v>6.0</v>
      </c>
      <c r="W60" s="406">
        <v>10.0</v>
      </c>
      <c r="X60" s="406">
        <v>10.0</v>
      </c>
      <c r="Y60" s="406" t="s">
        <v>1162</v>
      </c>
      <c r="Z60" s="407"/>
      <c r="AA60" s="407"/>
      <c r="AB60" s="9" t="s">
        <v>39</v>
      </c>
      <c r="AC60" s="10" t="b">
        <v>1</v>
      </c>
      <c r="AD60" s="10"/>
      <c r="AE60" s="10"/>
      <c r="AF60" s="408">
        <f t="shared" si="1"/>
        <v>7.866666667</v>
      </c>
    </row>
    <row r="61">
      <c r="A61" s="404" t="s">
        <v>1163</v>
      </c>
      <c r="B61" s="261" t="s">
        <v>1164</v>
      </c>
      <c r="C61" s="405">
        <v>45528.52381944445</v>
      </c>
      <c r="D61" s="248" t="s">
        <v>997</v>
      </c>
      <c r="E61" s="261" t="s">
        <v>242</v>
      </c>
      <c r="F61" s="406">
        <v>10.0</v>
      </c>
      <c r="G61" s="406">
        <v>10.0</v>
      </c>
      <c r="H61" s="406">
        <v>9.0</v>
      </c>
      <c r="I61" s="406">
        <v>9.0</v>
      </c>
      <c r="J61" s="406" t="s">
        <v>1369</v>
      </c>
      <c r="K61" s="406">
        <v>10.0</v>
      </c>
      <c r="L61" s="406">
        <v>9.0</v>
      </c>
      <c r="M61" s="406">
        <v>10.0</v>
      </c>
      <c r="N61" s="406">
        <v>9.0</v>
      </c>
      <c r="O61" s="406" t="s">
        <v>1166</v>
      </c>
      <c r="P61" s="406">
        <v>10.0</v>
      </c>
      <c r="Q61" s="406">
        <v>10.0</v>
      </c>
      <c r="R61" s="406">
        <v>10.0</v>
      </c>
      <c r="S61" s="406">
        <v>10.0</v>
      </c>
      <c r="T61" s="406" t="s">
        <v>1167</v>
      </c>
      <c r="U61" s="406">
        <v>9.0</v>
      </c>
      <c r="V61" s="406">
        <v>10.0</v>
      </c>
      <c r="W61" s="406">
        <v>9.0</v>
      </c>
      <c r="X61" s="406">
        <v>10.0</v>
      </c>
      <c r="Y61" s="406" t="s">
        <v>1168</v>
      </c>
      <c r="Z61" s="406" t="s">
        <v>1169</v>
      </c>
      <c r="AA61" s="406" t="s">
        <v>1170</v>
      </c>
      <c r="AB61" s="9" t="s">
        <v>39</v>
      </c>
      <c r="AC61" s="10" t="b">
        <v>1</v>
      </c>
      <c r="AD61" s="10"/>
      <c r="AE61" s="10"/>
      <c r="AF61" s="408">
        <f t="shared" si="1"/>
        <v>9.625</v>
      </c>
    </row>
    <row r="62">
      <c r="A62" s="404" t="s">
        <v>1171</v>
      </c>
      <c r="B62" s="261" t="s">
        <v>1164</v>
      </c>
      <c r="C62" s="405">
        <v>45528.53943287037</v>
      </c>
      <c r="D62" s="248" t="s">
        <v>144</v>
      </c>
      <c r="E62" s="261" t="s">
        <v>242</v>
      </c>
      <c r="F62" s="406">
        <v>10.0</v>
      </c>
      <c r="G62" s="406">
        <v>9.0</v>
      </c>
      <c r="H62" s="406">
        <v>10.0</v>
      </c>
      <c r="I62" s="406">
        <v>9.0</v>
      </c>
      <c r="J62" s="406" t="s">
        <v>1172</v>
      </c>
      <c r="K62" s="406">
        <v>9.0</v>
      </c>
      <c r="L62" s="406">
        <v>9.0</v>
      </c>
      <c r="M62" s="406">
        <v>10.0</v>
      </c>
      <c r="N62" s="406">
        <v>10.0</v>
      </c>
      <c r="O62" s="406" t="s">
        <v>1173</v>
      </c>
      <c r="P62" s="406">
        <v>9.0</v>
      </c>
      <c r="Q62" s="406">
        <v>10.0</v>
      </c>
      <c r="R62" s="406">
        <v>10.0</v>
      </c>
      <c r="S62" s="406">
        <v>10.0</v>
      </c>
      <c r="T62" s="406" t="s">
        <v>1174</v>
      </c>
      <c r="U62" s="406">
        <v>10.0</v>
      </c>
      <c r="V62" s="406">
        <v>9.0</v>
      </c>
      <c r="W62" s="406">
        <v>9.0</v>
      </c>
      <c r="X62" s="406">
        <v>10.0</v>
      </c>
      <c r="Y62" s="406" t="s">
        <v>1175</v>
      </c>
      <c r="Z62" s="406" t="s">
        <v>1176</v>
      </c>
      <c r="AA62" s="406" t="s">
        <v>1177</v>
      </c>
      <c r="AB62" s="9" t="s">
        <v>39</v>
      </c>
      <c r="AC62" s="10" t="b">
        <v>1</v>
      </c>
      <c r="AD62" s="10"/>
      <c r="AE62" s="10"/>
      <c r="AF62" s="408">
        <f t="shared" si="1"/>
        <v>9.5625</v>
      </c>
    </row>
    <row r="63">
      <c r="A63" s="404" t="s">
        <v>1178</v>
      </c>
      <c r="B63" s="261" t="s">
        <v>1179</v>
      </c>
      <c r="C63" s="405">
        <v>45528.63811342593</v>
      </c>
      <c r="D63" s="248" t="s">
        <v>780</v>
      </c>
      <c r="E63" s="261" t="s">
        <v>242</v>
      </c>
      <c r="F63" s="406">
        <v>7.0</v>
      </c>
      <c r="G63" s="406">
        <v>10.0</v>
      </c>
      <c r="H63" s="406">
        <v>10.0</v>
      </c>
      <c r="I63" s="406">
        <v>9.0</v>
      </c>
      <c r="J63" s="406" t="s">
        <v>1180</v>
      </c>
      <c r="K63" s="406">
        <v>10.0</v>
      </c>
      <c r="L63" s="406">
        <v>8.0</v>
      </c>
      <c r="M63" s="406">
        <v>10.0</v>
      </c>
      <c r="N63" s="406">
        <v>10.0</v>
      </c>
      <c r="O63" s="406" t="s">
        <v>1181</v>
      </c>
      <c r="P63" s="406">
        <v>10.0</v>
      </c>
      <c r="Q63" s="406">
        <v>10.0</v>
      </c>
      <c r="R63" s="406">
        <v>10.0</v>
      </c>
      <c r="S63" s="406">
        <v>7.0</v>
      </c>
      <c r="T63" s="406" t="s">
        <v>1182</v>
      </c>
      <c r="U63" s="406">
        <v>8.0</v>
      </c>
      <c r="V63" s="406">
        <v>10.0</v>
      </c>
      <c r="W63" s="406">
        <v>7.0</v>
      </c>
      <c r="X63" s="406">
        <v>9.0</v>
      </c>
      <c r="Y63" s="406" t="s">
        <v>1183</v>
      </c>
      <c r="Z63" s="406" t="s">
        <v>1184</v>
      </c>
      <c r="AA63" s="406" t="s">
        <v>1185</v>
      </c>
      <c r="AB63" s="9" t="s">
        <v>39</v>
      </c>
      <c r="AC63" s="10" t="b">
        <v>1</v>
      </c>
      <c r="AD63" s="10"/>
      <c r="AE63" s="10"/>
      <c r="AF63" s="408">
        <f t="shared" si="1"/>
        <v>9.0625</v>
      </c>
    </row>
    <row r="64">
      <c r="A64" s="404" t="s">
        <v>1186</v>
      </c>
      <c r="B64" s="261" t="s">
        <v>1179</v>
      </c>
      <c r="C64" s="405">
        <v>45528.66034722222</v>
      </c>
      <c r="D64" s="248" t="s">
        <v>143</v>
      </c>
      <c r="E64" s="261" t="s">
        <v>242</v>
      </c>
      <c r="F64" s="406">
        <v>5.0</v>
      </c>
      <c r="G64" s="406">
        <v>10.0</v>
      </c>
      <c r="H64" s="406">
        <v>9.0</v>
      </c>
      <c r="I64" s="406">
        <v>8.0</v>
      </c>
      <c r="J64" s="406" t="s">
        <v>1187</v>
      </c>
      <c r="K64" s="406">
        <v>6.0</v>
      </c>
      <c r="L64" s="406">
        <v>8.0</v>
      </c>
      <c r="M64" s="406">
        <v>10.0</v>
      </c>
      <c r="N64" s="406">
        <v>6.0</v>
      </c>
      <c r="O64" s="406" t="s">
        <v>1188</v>
      </c>
      <c r="P64" s="406">
        <v>6.0</v>
      </c>
      <c r="Q64" s="406">
        <v>10.0</v>
      </c>
      <c r="R64" s="406">
        <v>7.0</v>
      </c>
      <c r="S64" s="406">
        <v>8.0</v>
      </c>
      <c r="T64" s="406" t="s">
        <v>1189</v>
      </c>
      <c r="U64" s="406">
        <v>7.0</v>
      </c>
      <c r="V64" s="406">
        <v>5.0</v>
      </c>
      <c r="W64" s="406">
        <v>10.0</v>
      </c>
      <c r="X64" s="406">
        <v>10.0</v>
      </c>
      <c r="Y64" s="406" t="s">
        <v>1190</v>
      </c>
      <c r="Z64" s="406" t="s">
        <v>553</v>
      </c>
      <c r="AA64" s="406" t="s">
        <v>1191</v>
      </c>
      <c r="AB64" s="9" t="s">
        <v>39</v>
      </c>
      <c r="AC64" s="10" t="b">
        <v>1</v>
      </c>
      <c r="AD64" s="10"/>
      <c r="AE64" s="10"/>
      <c r="AF64" s="408">
        <f t="shared" si="1"/>
        <v>7.8125</v>
      </c>
    </row>
    <row r="65">
      <c r="A65" s="404" t="s">
        <v>1192</v>
      </c>
      <c r="B65" s="261" t="s">
        <v>1003</v>
      </c>
      <c r="C65" s="405">
        <v>45529.557754629626</v>
      </c>
      <c r="D65" s="248" t="s">
        <v>720</v>
      </c>
      <c r="E65" s="261" t="s">
        <v>242</v>
      </c>
      <c r="F65" s="406">
        <v>5.0</v>
      </c>
      <c r="G65" s="406">
        <v>6.0</v>
      </c>
      <c r="H65" s="406">
        <v>7.0</v>
      </c>
      <c r="I65" s="406">
        <v>7.0</v>
      </c>
      <c r="J65" s="406" t="s">
        <v>1193</v>
      </c>
      <c r="K65" s="406">
        <v>7.0</v>
      </c>
      <c r="L65" s="406">
        <v>6.0</v>
      </c>
      <c r="M65" s="406">
        <v>9.0</v>
      </c>
      <c r="N65" s="406">
        <v>8.0</v>
      </c>
      <c r="O65" s="406" t="s">
        <v>1194</v>
      </c>
      <c r="P65" s="406">
        <v>7.0</v>
      </c>
      <c r="Q65" s="406">
        <v>8.0</v>
      </c>
      <c r="R65" s="406">
        <v>7.0</v>
      </c>
      <c r="S65" s="406">
        <v>8.0</v>
      </c>
      <c r="T65" s="406" t="s">
        <v>65</v>
      </c>
      <c r="U65" s="406">
        <v>7.0</v>
      </c>
      <c r="V65" s="406">
        <v>7.0</v>
      </c>
      <c r="W65" s="406">
        <v>7.0</v>
      </c>
      <c r="X65" s="406">
        <v>8.0</v>
      </c>
      <c r="Y65" s="406" t="s">
        <v>65</v>
      </c>
      <c r="Z65" s="406" t="s">
        <v>65</v>
      </c>
      <c r="AA65" s="406" t="s">
        <v>1195</v>
      </c>
      <c r="AB65" s="9" t="s">
        <v>39</v>
      </c>
      <c r="AC65" s="10" t="b">
        <v>1</v>
      </c>
      <c r="AD65" s="10"/>
      <c r="AE65" s="10"/>
      <c r="AF65" s="408">
        <f t="shared" si="1"/>
        <v>7.125</v>
      </c>
    </row>
    <row r="66">
      <c r="A66" s="404" t="s">
        <v>1196</v>
      </c>
      <c r="B66" s="261" t="s">
        <v>112</v>
      </c>
      <c r="C66" s="405">
        <v>45529.56668981481</v>
      </c>
      <c r="D66" s="248" t="s">
        <v>248</v>
      </c>
      <c r="E66" s="261" t="s">
        <v>242</v>
      </c>
      <c r="F66" s="406">
        <v>8.0</v>
      </c>
      <c r="G66" s="406">
        <v>6.0</v>
      </c>
      <c r="H66" s="406">
        <v>6.0</v>
      </c>
      <c r="I66" s="406">
        <v>6.0</v>
      </c>
      <c r="J66" s="406" t="s">
        <v>1197</v>
      </c>
      <c r="K66" s="406">
        <v>6.0</v>
      </c>
      <c r="L66" s="406">
        <v>6.0</v>
      </c>
      <c r="M66" s="406">
        <v>6.0</v>
      </c>
      <c r="N66" s="406">
        <v>6.0</v>
      </c>
      <c r="O66" s="406" t="s">
        <v>1198</v>
      </c>
      <c r="P66" s="406">
        <v>6.0</v>
      </c>
      <c r="Q66" s="406">
        <v>8.0</v>
      </c>
      <c r="R66" s="406">
        <v>6.0</v>
      </c>
      <c r="S66" s="406">
        <v>6.0</v>
      </c>
      <c r="T66" s="406" t="s">
        <v>1199</v>
      </c>
      <c r="U66" s="406">
        <v>6.0</v>
      </c>
      <c r="V66" s="406">
        <v>5.0</v>
      </c>
      <c r="W66" s="406">
        <v>6.0</v>
      </c>
      <c r="X66" s="406">
        <v>8.0</v>
      </c>
      <c r="Y66" s="406" t="s">
        <v>1200</v>
      </c>
      <c r="Z66" s="406" t="s">
        <v>1201</v>
      </c>
      <c r="AA66" s="406" t="s">
        <v>1202</v>
      </c>
      <c r="AB66" s="9" t="s">
        <v>39</v>
      </c>
      <c r="AC66" s="10" t="b">
        <v>1</v>
      </c>
      <c r="AD66" s="10"/>
      <c r="AE66" s="10"/>
      <c r="AF66" s="408">
        <f t="shared" si="1"/>
        <v>6.3125</v>
      </c>
    </row>
    <row r="67">
      <c r="A67" s="404" t="s">
        <v>1203</v>
      </c>
      <c r="B67" s="261" t="s">
        <v>1204</v>
      </c>
      <c r="C67" s="405">
        <v>45529.56795138889</v>
      </c>
      <c r="D67" s="248" t="s">
        <v>1205</v>
      </c>
      <c r="E67" s="261" t="s">
        <v>782</v>
      </c>
      <c r="F67" s="406">
        <v>10.0</v>
      </c>
      <c r="G67" s="406">
        <v>10.0</v>
      </c>
      <c r="H67" s="406">
        <v>10.0</v>
      </c>
      <c r="I67" s="406">
        <v>10.0</v>
      </c>
      <c r="J67" s="406" t="s">
        <v>1206</v>
      </c>
      <c r="K67" s="406">
        <v>10.0</v>
      </c>
      <c r="L67" s="406">
        <v>8.0</v>
      </c>
      <c r="M67" s="406">
        <v>10.0</v>
      </c>
      <c r="N67" s="406">
        <v>10.0</v>
      </c>
      <c r="O67" s="406" t="s">
        <v>1207</v>
      </c>
      <c r="P67" s="406">
        <v>10.0</v>
      </c>
      <c r="Q67" s="406">
        <v>10.0</v>
      </c>
      <c r="R67" s="406">
        <v>10.0</v>
      </c>
      <c r="S67" s="406">
        <v>10.0</v>
      </c>
      <c r="T67" s="406" t="s">
        <v>1208</v>
      </c>
      <c r="U67" s="406">
        <v>10.0</v>
      </c>
      <c r="V67" s="406">
        <v>10.0</v>
      </c>
      <c r="W67" s="406">
        <v>10.0</v>
      </c>
      <c r="X67" s="406">
        <v>10.0</v>
      </c>
      <c r="Y67" s="406" t="s">
        <v>1207</v>
      </c>
      <c r="Z67" s="407"/>
      <c r="AA67" s="407"/>
      <c r="AB67" s="9" t="s">
        <v>39</v>
      </c>
      <c r="AC67" s="10" t="b">
        <v>1</v>
      </c>
      <c r="AD67" s="10"/>
      <c r="AE67" s="10"/>
      <c r="AF67" s="408">
        <f t="shared" si="1"/>
        <v>9.875</v>
      </c>
    </row>
    <row r="68">
      <c r="A68" s="404" t="s">
        <v>1209</v>
      </c>
      <c r="B68" s="261" t="s">
        <v>1210</v>
      </c>
      <c r="C68" s="405">
        <v>45529.58613425926</v>
      </c>
      <c r="D68" s="248" t="s">
        <v>1211</v>
      </c>
      <c r="E68" s="261" t="s">
        <v>783</v>
      </c>
      <c r="F68" s="406">
        <v>9.0</v>
      </c>
      <c r="G68" s="406">
        <v>9.0</v>
      </c>
      <c r="H68" s="406">
        <v>9.0</v>
      </c>
      <c r="I68" s="406">
        <v>4.0</v>
      </c>
      <c r="J68" s="406" t="s">
        <v>1212</v>
      </c>
      <c r="K68" s="406">
        <v>9.0</v>
      </c>
      <c r="L68" s="406">
        <v>8.0</v>
      </c>
      <c r="M68" s="406">
        <v>9.0</v>
      </c>
      <c r="N68" s="406">
        <v>9.0</v>
      </c>
      <c r="O68" s="406" t="s">
        <v>1213</v>
      </c>
      <c r="P68" s="406">
        <v>6.0</v>
      </c>
      <c r="Q68" s="406">
        <v>8.0</v>
      </c>
      <c r="R68" s="406">
        <v>7.0</v>
      </c>
      <c r="S68" s="406">
        <v>10.0</v>
      </c>
      <c r="T68" s="406" t="s">
        <v>1214</v>
      </c>
      <c r="U68" s="406">
        <v>5.0</v>
      </c>
      <c r="V68" s="406">
        <v>7.0</v>
      </c>
      <c r="W68" s="406">
        <v>7.0</v>
      </c>
      <c r="X68" s="406">
        <v>10.0</v>
      </c>
      <c r="Y68" s="406" t="s">
        <v>1215</v>
      </c>
      <c r="Z68" s="407"/>
      <c r="AA68" s="406" t="s">
        <v>1216</v>
      </c>
      <c r="AB68" s="9" t="s">
        <v>39</v>
      </c>
      <c r="AC68" s="10" t="b">
        <v>1</v>
      </c>
      <c r="AD68" s="10"/>
      <c r="AE68" s="10"/>
      <c r="AF68" s="408">
        <f t="shared" si="1"/>
        <v>7.875</v>
      </c>
    </row>
    <row r="69">
      <c r="A69" s="404" t="s">
        <v>1217</v>
      </c>
      <c r="B69" s="261" t="s">
        <v>1218</v>
      </c>
      <c r="C69" s="405">
        <v>45529.586539351854</v>
      </c>
      <c r="D69" s="248" t="s">
        <v>1219</v>
      </c>
      <c r="E69" s="261" t="s">
        <v>195</v>
      </c>
      <c r="F69" s="406">
        <v>10.0</v>
      </c>
      <c r="G69" s="406">
        <v>10.0</v>
      </c>
      <c r="H69" s="406">
        <v>10.0</v>
      </c>
      <c r="I69" s="406">
        <v>10.0</v>
      </c>
      <c r="J69" s="406" t="s">
        <v>1220</v>
      </c>
      <c r="K69" s="406">
        <v>10.0</v>
      </c>
      <c r="L69" s="406">
        <v>10.0</v>
      </c>
      <c r="M69" s="406">
        <v>10.0</v>
      </c>
      <c r="N69" s="406">
        <v>10.0</v>
      </c>
      <c r="O69" s="406" t="s">
        <v>1221</v>
      </c>
      <c r="P69" s="406">
        <v>10.0</v>
      </c>
      <c r="Q69" s="406">
        <v>10.0</v>
      </c>
      <c r="R69" s="406">
        <v>10.0</v>
      </c>
      <c r="S69" s="406">
        <v>10.0</v>
      </c>
      <c r="T69" s="406" t="s">
        <v>1222</v>
      </c>
      <c r="U69" s="406">
        <v>10.0</v>
      </c>
      <c r="V69" s="406">
        <v>10.0</v>
      </c>
      <c r="W69" s="406">
        <v>10.0</v>
      </c>
      <c r="X69" s="406">
        <v>10.0</v>
      </c>
      <c r="Y69" s="406" t="s">
        <v>1223</v>
      </c>
      <c r="Z69" s="406" t="s">
        <v>1224</v>
      </c>
      <c r="AA69" s="406" t="s">
        <v>1225</v>
      </c>
      <c r="AB69" s="9" t="s">
        <v>39</v>
      </c>
      <c r="AC69" s="10" t="b">
        <v>1</v>
      </c>
      <c r="AD69" s="10"/>
      <c r="AE69" s="10"/>
      <c r="AF69" s="408">
        <f t="shared" si="1"/>
        <v>10</v>
      </c>
    </row>
    <row r="70">
      <c r="A70" s="404" t="s">
        <v>1226</v>
      </c>
      <c r="B70" s="261" t="s">
        <v>1227</v>
      </c>
      <c r="C70" s="405">
        <v>45529.646006944444</v>
      </c>
      <c r="D70" s="248" t="s">
        <v>366</v>
      </c>
      <c r="E70" s="261" t="s">
        <v>195</v>
      </c>
      <c r="F70" s="406">
        <v>10.0</v>
      </c>
      <c r="G70" s="406">
        <v>8.0</v>
      </c>
      <c r="H70" s="406">
        <v>10.0</v>
      </c>
      <c r="I70" s="406">
        <v>10.0</v>
      </c>
      <c r="J70" s="406" t="s">
        <v>1228</v>
      </c>
      <c r="K70" s="406">
        <v>10.0</v>
      </c>
      <c r="L70" s="406">
        <v>10.0</v>
      </c>
      <c r="M70" s="406">
        <v>10.0</v>
      </c>
      <c r="N70" s="406">
        <v>10.0</v>
      </c>
      <c r="O70" s="406" t="s">
        <v>1229</v>
      </c>
      <c r="P70" s="406">
        <v>10.0</v>
      </c>
      <c r="Q70" s="406">
        <v>10.0</v>
      </c>
      <c r="R70" s="406">
        <v>10.0</v>
      </c>
      <c r="S70" s="406">
        <v>10.0</v>
      </c>
      <c r="T70" s="406" t="s">
        <v>1230</v>
      </c>
      <c r="U70" s="406">
        <v>5.0</v>
      </c>
      <c r="V70" s="406">
        <v>5.0</v>
      </c>
      <c r="W70" s="406">
        <v>7.0</v>
      </c>
      <c r="X70" s="406">
        <v>10.0</v>
      </c>
      <c r="Y70" s="406" t="s">
        <v>1231</v>
      </c>
      <c r="Z70" s="406" t="s">
        <v>1232</v>
      </c>
      <c r="AA70" s="406" t="s">
        <v>1233</v>
      </c>
      <c r="AB70" s="9" t="s">
        <v>39</v>
      </c>
      <c r="AC70" s="10" t="b">
        <v>1</v>
      </c>
      <c r="AD70" s="10"/>
      <c r="AE70" s="10"/>
      <c r="AF70" s="408">
        <f t="shared" si="1"/>
        <v>9.0625</v>
      </c>
    </row>
    <row r="71">
      <c r="A71" s="404" t="s">
        <v>1234</v>
      </c>
      <c r="B71" s="261" t="s">
        <v>1235</v>
      </c>
      <c r="C71" s="405">
        <v>45529.666550925926</v>
      </c>
      <c r="D71" s="248" t="s">
        <v>333</v>
      </c>
      <c r="E71" s="261" t="s">
        <v>195</v>
      </c>
      <c r="F71" s="406">
        <v>10.0</v>
      </c>
      <c r="G71" s="406">
        <v>7.0</v>
      </c>
      <c r="H71" s="406">
        <v>10.0</v>
      </c>
      <c r="I71" s="406">
        <v>4.0</v>
      </c>
      <c r="J71" s="406" t="s">
        <v>1236</v>
      </c>
      <c r="K71" s="406">
        <v>10.0</v>
      </c>
      <c r="L71" s="406">
        <v>8.0</v>
      </c>
      <c r="M71" s="406">
        <v>10.0</v>
      </c>
      <c r="N71" s="406">
        <v>10.0</v>
      </c>
      <c r="O71" s="406" t="s">
        <v>1237</v>
      </c>
      <c r="P71" s="406">
        <v>10.0</v>
      </c>
      <c r="Q71" s="406">
        <v>10.0</v>
      </c>
      <c r="R71" s="406">
        <v>8.0</v>
      </c>
      <c r="S71" s="406">
        <v>10.0</v>
      </c>
      <c r="T71" s="406" t="s">
        <v>1238</v>
      </c>
      <c r="U71" s="406">
        <v>3.0</v>
      </c>
      <c r="V71" s="406">
        <v>3.0</v>
      </c>
      <c r="W71" s="406">
        <v>5.0</v>
      </c>
      <c r="X71" s="406">
        <v>10.0</v>
      </c>
      <c r="Y71" s="406" t="s">
        <v>1239</v>
      </c>
      <c r="Z71" s="407"/>
      <c r="AA71" s="406" t="s">
        <v>1240</v>
      </c>
      <c r="AB71" s="9" t="s">
        <v>39</v>
      </c>
      <c r="AC71" s="10" t="b">
        <v>1</v>
      </c>
      <c r="AD71" s="10"/>
      <c r="AE71" s="10"/>
      <c r="AF71" s="408">
        <f t="shared" si="1"/>
        <v>8</v>
      </c>
    </row>
    <row r="72">
      <c r="A72" s="404" t="s">
        <v>1241</v>
      </c>
      <c r="B72" s="261" t="s">
        <v>1242</v>
      </c>
      <c r="C72" s="405">
        <v>45529.67125</v>
      </c>
      <c r="D72" s="248" t="s">
        <v>318</v>
      </c>
      <c r="E72" s="261" t="s">
        <v>516</v>
      </c>
      <c r="F72" s="406">
        <v>8.0</v>
      </c>
      <c r="G72" s="406">
        <v>10.0</v>
      </c>
      <c r="H72" s="406">
        <v>10.0</v>
      </c>
      <c r="I72" s="406">
        <v>6.0</v>
      </c>
      <c r="J72" s="406" t="s">
        <v>1243</v>
      </c>
      <c r="K72" s="406">
        <v>9.0</v>
      </c>
      <c r="L72" s="406">
        <v>10.0</v>
      </c>
      <c r="M72" s="406">
        <v>10.0</v>
      </c>
      <c r="N72" s="406">
        <v>7.0</v>
      </c>
      <c r="O72" s="406" t="s">
        <v>1244</v>
      </c>
      <c r="P72" s="406">
        <v>10.0</v>
      </c>
      <c r="Q72" s="406">
        <v>10.0</v>
      </c>
      <c r="R72" s="406">
        <v>10.0</v>
      </c>
      <c r="S72" s="406">
        <v>10.0</v>
      </c>
      <c r="T72" s="406" t="s">
        <v>1245</v>
      </c>
      <c r="U72" s="406">
        <v>3.0</v>
      </c>
      <c r="V72" s="406">
        <v>5.0</v>
      </c>
      <c r="W72" s="406">
        <v>8.0</v>
      </c>
      <c r="X72" s="406">
        <v>9.0</v>
      </c>
      <c r="Y72" s="406" t="s">
        <v>1246</v>
      </c>
      <c r="Z72" s="407"/>
      <c r="AA72" s="407"/>
      <c r="AB72" s="9" t="s">
        <v>39</v>
      </c>
      <c r="AC72" s="10" t="b">
        <v>1</v>
      </c>
      <c r="AD72" s="10"/>
      <c r="AE72" s="10"/>
      <c r="AF72" s="408">
        <f t="shared" si="1"/>
        <v>8.4375</v>
      </c>
    </row>
    <row r="73">
      <c r="A73" s="404" t="s">
        <v>1247</v>
      </c>
      <c r="B73" s="261" t="s">
        <v>1248</v>
      </c>
      <c r="C73" s="405">
        <v>45529.742581018516</v>
      </c>
      <c r="D73" s="248" t="s">
        <v>306</v>
      </c>
      <c r="E73" s="261" t="s">
        <v>516</v>
      </c>
      <c r="F73" s="406">
        <v>8.0</v>
      </c>
      <c r="G73" s="406">
        <v>9.0</v>
      </c>
      <c r="H73" s="406">
        <v>9.0</v>
      </c>
      <c r="I73" s="406">
        <v>7.0</v>
      </c>
      <c r="J73" s="406" t="s">
        <v>1249</v>
      </c>
      <c r="K73" s="406">
        <v>7.0</v>
      </c>
      <c r="L73" s="406">
        <v>8.0</v>
      </c>
      <c r="M73" s="406">
        <v>10.0</v>
      </c>
      <c r="N73" s="406">
        <v>8.0</v>
      </c>
      <c r="O73" s="406" t="s">
        <v>38</v>
      </c>
      <c r="P73" s="406">
        <v>8.0</v>
      </c>
      <c r="Q73" s="406">
        <v>7.0</v>
      </c>
      <c r="R73" s="406">
        <v>8.0</v>
      </c>
      <c r="S73" s="406">
        <v>8.0</v>
      </c>
      <c r="T73" s="406" t="s">
        <v>38</v>
      </c>
      <c r="U73" s="406">
        <v>8.0</v>
      </c>
      <c r="V73" s="406">
        <v>9.0</v>
      </c>
      <c r="W73" s="406">
        <v>8.0</v>
      </c>
      <c r="X73" s="406">
        <v>10.0</v>
      </c>
      <c r="Y73" s="406" t="s">
        <v>38</v>
      </c>
      <c r="Z73" s="406" t="s">
        <v>1250</v>
      </c>
      <c r="AA73" s="406" t="s">
        <v>1251</v>
      </c>
      <c r="AB73" s="9" t="s">
        <v>39</v>
      </c>
      <c r="AC73" s="10" t="b">
        <v>1</v>
      </c>
      <c r="AD73" s="10"/>
      <c r="AE73" s="10"/>
      <c r="AF73" s="408">
        <f t="shared" si="1"/>
        <v>8.25</v>
      </c>
    </row>
    <row r="74">
      <c r="A74" s="404" t="s">
        <v>1252</v>
      </c>
      <c r="B74" s="261" t="s">
        <v>107</v>
      </c>
      <c r="C74" s="405">
        <v>45530.26130787037</v>
      </c>
      <c r="D74" s="248" t="s">
        <v>286</v>
      </c>
      <c r="E74" s="261" t="s">
        <v>516</v>
      </c>
      <c r="F74" s="406">
        <v>7.0</v>
      </c>
      <c r="G74" s="406">
        <v>6.0</v>
      </c>
      <c r="H74" s="406">
        <v>7.0</v>
      </c>
      <c r="I74" s="406">
        <v>8.0</v>
      </c>
      <c r="J74" s="406" t="s">
        <v>70</v>
      </c>
      <c r="K74" s="406">
        <v>8.0</v>
      </c>
      <c r="L74" s="406">
        <v>5.0</v>
      </c>
      <c r="M74" s="406">
        <v>9.0</v>
      </c>
      <c r="N74" s="406">
        <v>8.0</v>
      </c>
      <c r="O74" s="406" t="s">
        <v>38</v>
      </c>
      <c r="P74" s="406">
        <v>7.0</v>
      </c>
      <c r="Q74" s="406">
        <v>7.0</v>
      </c>
      <c r="R74" s="406">
        <v>7.0</v>
      </c>
      <c r="S74" s="406">
        <v>7.0</v>
      </c>
      <c r="T74" s="406" t="s">
        <v>70</v>
      </c>
      <c r="U74" s="406">
        <v>7.0</v>
      </c>
      <c r="V74" s="406">
        <v>7.0</v>
      </c>
      <c r="W74" s="406">
        <v>7.0</v>
      </c>
      <c r="X74" s="406">
        <v>8.0</v>
      </c>
      <c r="Y74" s="406" t="s">
        <v>70</v>
      </c>
      <c r="Z74" s="407"/>
      <c r="AA74" s="407"/>
      <c r="AB74" s="9" t="s">
        <v>39</v>
      </c>
      <c r="AC74" s="10" t="b">
        <v>1</v>
      </c>
      <c r="AD74" s="10"/>
      <c r="AE74" s="10"/>
      <c r="AF74" s="408">
        <f t="shared" si="1"/>
        <v>7.1875</v>
      </c>
    </row>
    <row r="75">
      <c r="A75" s="404" t="s">
        <v>1253</v>
      </c>
      <c r="B75" s="261" t="s">
        <v>1254</v>
      </c>
      <c r="C75" s="405">
        <v>45530.32633101852</v>
      </c>
      <c r="D75" s="248" t="s">
        <v>772</v>
      </c>
      <c r="E75" s="261" t="s">
        <v>516</v>
      </c>
      <c r="F75" s="406">
        <v>8.0</v>
      </c>
      <c r="G75" s="406">
        <v>7.0</v>
      </c>
      <c r="H75" s="406">
        <v>7.0</v>
      </c>
      <c r="I75" s="406">
        <v>7.0</v>
      </c>
      <c r="J75" s="406" t="s">
        <v>1255</v>
      </c>
      <c r="K75" s="406">
        <v>7.0</v>
      </c>
      <c r="L75" s="406">
        <v>7.0</v>
      </c>
      <c r="M75" s="406">
        <v>7.0</v>
      </c>
      <c r="N75" s="406">
        <v>6.0</v>
      </c>
      <c r="O75" s="406" t="s">
        <v>1256</v>
      </c>
      <c r="P75" s="406">
        <v>7.0</v>
      </c>
      <c r="Q75" s="406">
        <v>8.0</v>
      </c>
      <c r="R75" s="406">
        <v>7.0</v>
      </c>
      <c r="S75" s="406">
        <v>6.0</v>
      </c>
      <c r="T75" s="406" t="s">
        <v>1257</v>
      </c>
      <c r="U75" s="406">
        <v>7.0</v>
      </c>
      <c r="V75" s="406">
        <v>7.0</v>
      </c>
      <c r="W75" s="406">
        <v>7.0</v>
      </c>
      <c r="X75" s="406">
        <v>7.0</v>
      </c>
      <c r="Y75" s="406" t="s">
        <v>1258</v>
      </c>
      <c r="Z75" s="407"/>
      <c r="AA75" s="407"/>
      <c r="AB75" s="9" t="s">
        <v>39</v>
      </c>
      <c r="AC75" s="10" t="b">
        <v>1</v>
      </c>
      <c r="AD75" s="10"/>
      <c r="AE75" s="10"/>
      <c r="AF75" s="408">
        <f t="shared" si="1"/>
        <v>7</v>
      </c>
    </row>
    <row r="76">
      <c r="A76" s="404" t="s">
        <v>1259</v>
      </c>
      <c r="B76" s="261" t="s">
        <v>506</v>
      </c>
      <c r="C76" s="405">
        <v>45530.3471875</v>
      </c>
      <c r="D76" s="248" t="s">
        <v>1260</v>
      </c>
      <c r="E76" s="261" t="s">
        <v>49</v>
      </c>
      <c r="F76" s="406">
        <v>10.0</v>
      </c>
      <c r="G76" s="406">
        <v>10.0</v>
      </c>
      <c r="H76" s="406">
        <v>10.0</v>
      </c>
      <c r="I76" s="406">
        <v>10.0</v>
      </c>
      <c r="J76" s="406" t="s">
        <v>1261</v>
      </c>
      <c r="K76" s="406">
        <v>10.0</v>
      </c>
      <c r="L76" s="406">
        <v>10.0</v>
      </c>
      <c r="M76" s="406">
        <v>10.0</v>
      </c>
      <c r="N76" s="406">
        <v>10.0</v>
      </c>
      <c r="O76" s="406" t="s">
        <v>1262</v>
      </c>
      <c r="P76" s="406">
        <v>10.0</v>
      </c>
      <c r="Q76" s="406">
        <v>10.0</v>
      </c>
      <c r="R76" s="406">
        <v>10.0</v>
      </c>
      <c r="S76" s="406">
        <v>8.0</v>
      </c>
      <c r="T76" s="406" t="s">
        <v>1263</v>
      </c>
      <c r="U76" s="406">
        <v>10.0</v>
      </c>
      <c r="V76" s="406">
        <v>10.0</v>
      </c>
      <c r="W76" s="406">
        <v>10.0</v>
      </c>
      <c r="X76" s="406">
        <v>10.0</v>
      </c>
      <c r="Y76" s="406" t="s">
        <v>1264</v>
      </c>
      <c r="Z76" s="407"/>
      <c r="AA76" s="407"/>
      <c r="AB76" s="9" t="s">
        <v>39</v>
      </c>
      <c r="AC76" s="10" t="b">
        <v>1</v>
      </c>
      <c r="AD76" s="10"/>
      <c r="AE76" s="10"/>
      <c r="AF76" s="408">
        <v>9.875</v>
      </c>
    </row>
    <row r="77">
      <c r="A77" s="404" t="s">
        <v>1265</v>
      </c>
      <c r="B77" s="261" t="s">
        <v>457</v>
      </c>
      <c r="C77" s="405">
        <v>45530.61601851852</v>
      </c>
      <c r="D77" s="248" t="s">
        <v>410</v>
      </c>
      <c r="E77" s="261" t="s">
        <v>49</v>
      </c>
      <c r="F77" s="406">
        <v>10.0</v>
      </c>
      <c r="G77" s="406">
        <v>10.0</v>
      </c>
      <c r="H77" s="406">
        <v>10.0</v>
      </c>
      <c r="I77" s="406">
        <v>10.0</v>
      </c>
      <c r="J77" s="406" t="s">
        <v>1266</v>
      </c>
      <c r="K77" s="406">
        <v>10.0</v>
      </c>
      <c r="L77" s="406">
        <v>10.0</v>
      </c>
      <c r="M77" s="406">
        <v>10.0</v>
      </c>
      <c r="N77" s="406">
        <v>8.0</v>
      </c>
      <c r="O77" s="406" t="s">
        <v>1267</v>
      </c>
      <c r="P77" s="406">
        <v>10.0</v>
      </c>
      <c r="Q77" s="406">
        <v>9.0</v>
      </c>
      <c r="R77" s="406">
        <v>10.0</v>
      </c>
      <c r="S77" s="406">
        <v>10.0</v>
      </c>
      <c r="T77" s="406" t="s">
        <v>1268</v>
      </c>
      <c r="U77" s="406">
        <v>10.0</v>
      </c>
      <c r="V77" s="406">
        <v>10.0</v>
      </c>
      <c r="W77" s="406">
        <v>10.0</v>
      </c>
      <c r="X77" s="406">
        <v>10.0</v>
      </c>
      <c r="Y77" s="406" t="s">
        <v>1269</v>
      </c>
      <c r="Z77" s="406"/>
      <c r="AA77" s="407"/>
      <c r="AB77" s="9" t="s">
        <v>39</v>
      </c>
      <c r="AC77" s="10" t="b">
        <v>1</v>
      </c>
      <c r="AD77" s="10"/>
      <c r="AE77" s="10"/>
      <c r="AF77" s="408">
        <f t="shared" ref="AF77:AF97" si="2">AVERAGE(U77:X77,P77:S77,K77:N77,F77:I77)</f>
        <v>9.8125</v>
      </c>
    </row>
    <row r="78">
      <c r="A78" s="404" t="s">
        <v>1270</v>
      </c>
      <c r="B78" s="261" t="s">
        <v>1271</v>
      </c>
      <c r="C78" s="405">
        <v>45530.617789351854</v>
      </c>
      <c r="D78" s="248" t="s">
        <v>414</v>
      </c>
      <c r="E78" s="261" t="s">
        <v>49</v>
      </c>
      <c r="F78" s="406">
        <v>9.0</v>
      </c>
      <c r="G78" s="406">
        <v>10.0</v>
      </c>
      <c r="H78" s="406">
        <v>8.0</v>
      </c>
      <c r="I78" s="406">
        <v>10.0</v>
      </c>
      <c r="J78" s="406" t="s">
        <v>1272</v>
      </c>
      <c r="K78" s="406">
        <v>10.0</v>
      </c>
      <c r="L78" s="406">
        <v>9.0</v>
      </c>
      <c r="M78" s="406">
        <v>9.0</v>
      </c>
      <c r="N78" s="406">
        <v>9.0</v>
      </c>
      <c r="O78" s="406" t="s">
        <v>1273</v>
      </c>
      <c r="P78" s="406">
        <v>10.0</v>
      </c>
      <c r="Q78" s="406">
        <v>10.0</v>
      </c>
      <c r="R78" s="406">
        <v>9.0</v>
      </c>
      <c r="S78" s="406">
        <v>10.0</v>
      </c>
      <c r="T78" s="406" t="s">
        <v>38</v>
      </c>
      <c r="U78" s="406">
        <v>8.0</v>
      </c>
      <c r="V78" s="406">
        <v>10.0</v>
      </c>
      <c r="W78" s="406">
        <v>9.0</v>
      </c>
      <c r="X78" s="406">
        <v>10.0</v>
      </c>
      <c r="Y78" s="406" t="s">
        <v>38</v>
      </c>
      <c r="Z78" s="406"/>
      <c r="AA78" s="407"/>
      <c r="AB78" s="9" t="s">
        <v>39</v>
      </c>
      <c r="AC78" s="10" t="b">
        <v>1</v>
      </c>
      <c r="AD78" s="10"/>
      <c r="AE78" s="10"/>
      <c r="AF78" s="408">
        <f t="shared" si="2"/>
        <v>9.375</v>
      </c>
    </row>
    <row r="79">
      <c r="A79" s="404" t="s">
        <v>1274</v>
      </c>
      <c r="B79" s="261" t="s">
        <v>126</v>
      </c>
      <c r="C79" s="405">
        <v>45530.62863425926</v>
      </c>
      <c r="D79" s="248" t="s">
        <v>1275</v>
      </c>
      <c r="E79" s="261" t="s">
        <v>49</v>
      </c>
      <c r="F79" s="406">
        <v>8.0</v>
      </c>
      <c r="G79" s="406">
        <v>8.0</v>
      </c>
      <c r="H79" s="406">
        <v>10.0</v>
      </c>
      <c r="I79" s="406">
        <v>10.0</v>
      </c>
      <c r="J79" s="406" t="s">
        <v>65</v>
      </c>
      <c r="K79" s="406">
        <v>10.0</v>
      </c>
      <c r="L79" s="406">
        <v>10.0</v>
      </c>
      <c r="M79" s="406">
        <v>10.0</v>
      </c>
      <c r="N79" s="406">
        <v>10.0</v>
      </c>
      <c r="O79" s="406" t="s">
        <v>65</v>
      </c>
      <c r="P79" s="406">
        <v>10.0</v>
      </c>
      <c r="Q79" s="406">
        <v>10.0</v>
      </c>
      <c r="R79" s="406">
        <v>10.0</v>
      </c>
      <c r="S79" s="406">
        <v>10.0</v>
      </c>
      <c r="T79" s="406" t="s">
        <v>65</v>
      </c>
      <c r="U79" s="406">
        <v>7.0</v>
      </c>
      <c r="V79" s="406">
        <v>8.0</v>
      </c>
      <c r="W79" s="406">
        <v>9.0</v>
      </c>
      <c r="X79" s="406">
        <v>9.0</v>
      </c>
      <c r="Y79" s="406" t="s">
        <v>65</v>
      </c>
      <c r="Z79" s="407"/>
      <c r="AA79" s="407"/>
      <c r="AB79" s="9" t="s">
        <v>39</v>
      </c>
      <c r="AC79" s="10" t="b">
        <v>1</v>
      </c>
      <c r="AD79" s="10"/>
      <c r="AE79" s="10"/>
      <c r="AF79" s="408">
        <f t="shared" si="2"/>
        <v>9.3125</v>
      </c>
    </row>
    <row r="80">
      <c r="A80" s="404" t="s">
        <v>1276</v>
      </c>
      <c r="B80" s="261" t="s">
        <v>1277</v>
      </c>
      <c r="C80" s="405">
        <v>45530.66297453704</v>
      </c>
      <c r="D80" s="248" t="s">
        <v>781</v>
      </c>
      <c r="E80" s="261" t="s">
        <v>49</v>
      </c>
      <c r="F80" s="406">
        <v>8.0</v>
      </c>
      <c r="G80" s="406">
        <v>8.0</v>
      </c>
      <c r="H80" s="406">
        <v>8.0</v>
      </c>
      <c r="I80" s="406">
        <v>8.0</v>
      </c>
      <c r="J80" s="406" t="s">
        <v>1278</v>
      </c>
      <c r="K80" s="406">
        <v>8.0</v>
      </c>
      <c r="L80" s="406">
        <v>8.0</v>
      </c>
      <c r="M80" s="406">
        <v>8.0</v>
      </c>
      <c r="N80" s="406">
        <v>8.0</v>
      </c>
      <c r="O80" s="406" t="s">
        <v>1279</v>
      </c>
      <c r="P80" s="406">
        <v>8.0</v>
      </c>
      <c r="Q80" s="406">
        <v>8.0</v>
      </c>
      <c r="R80" s="406">
        <v>8.0</v>
      </c>
      <c r="S80" s="406">
        <v>8.0</v>
      </c>
      <c r="T80" s="406" t="s">
        <v>1280</v>
      </c>
      <c r="U80" s="406">
        <v>8.0</v>
      </c>
      <c r="V80" s="406">
        <v>8.0</v>
      </c>
      <c r="W80" s="406">
        <v>8.0</v>
      </c>
      <c r="X80" s="406">
        <v>8.0</v>
      </c>
      <c r="Y80" s="406" t="s">
        <v>1281</v>
      </c>
      <c r="Z80" s="406" t="s">
        <v>1282</v>
      </c>
      <c r="AA80" s="407"/>
      <c r="AB80" s="9" t="s">
        <v>39</v>
      </c>
      <c r="AC80" s="10" t="b">
        <v>1</v>
      </c>
      <c r="AD80" s="10"/>
      <c r="AE80" s="10"/>
      <c r="AF80" s="408">
        <f t="shared" si="2"/>
        <v>8</v>
      </c>
    </row>
    <row r="81">
      <c r="A81" s="404" t="s">
        <v>1283</v>
      </c>
      <c r="B81" s="261" t="s">
        <v>1284</v>
      </c>
      <c r="C81" s="405">
        <v>45530.69724537037</v>
      </c>
      <c r="D81" s="248" t="s">
        <v>1285</v>
      </c>
      <c r="E81" s="261" t="s">
        <v>49</v>
      </c>
      <c r="F81" s="406">
        <v>9.0</v>
      </c>
      <c r="G81" s="406">
        <v>7.0</v>
      </c>
      <c r="H81" s="406">
        <v>8.0</v>
      </c>
      <c r="I81" s="406">
        <v>9.0</v>
      </c>
      <c r="J81" s="406" t="s">
        <v>38</v>
      </c>
      <c r="K81" s="406">
        <v>9.0</v>
      </c>
      <c r="L81" s="406">
        <v>8.0</v>
      </c>
      <c r="M81" s="406">
        <v>9.0</v>
      </c>
      <c r="N81" s="406">
        <v>6.0</v>
      </c>
      <c r="O81" s="406" t="s">
        <v>1286</v>
      </c>
      <c r="P81" s="406">
        <v>9.0</v>
      </c>
      <c r="Q81" s="406">
        <v>7.0</v>
      </c>
      <c r="R81" s="406">
        <v>7.0</v>
      </c>
      <c r="S81" s="406">
        <v>6.0</v>
      </c>
      <c r="T81" s="406" t="s">
        <v>38</v>
      </c>
      <c r="U81" s="406">
        <v>5.0</v>
      </c>
      <c r="V81" s="406">
        <v>8.0</v>
      </c>
      <c r="W81" s="406">
        <v>6.0</v>
      </c>
      <c r="X81" s="406">
        <v>9.0</v>
      </c>
      <c r="Y81" s="406" t="s">
        <v>38</v>
      </c>
      <c r="Z81" s="406" t="s">
        <v>1287</v>
      </c>
      <c r="AA81" s="407"/>
      <c r="AB81" s="9" t="s">
        <v>39</v>
      </c>
      <c r="AC81" s="10" t="b">
        <v>1</v>
      </c>
      <c r="AD81" s="10"/>
      <c r="AE81" s="10"/>
      <c r="AF81" s="408">
        <f t="shared" si="2"/>
        <v>7.625</v>
      </c>
    </row>
    <row r="82">
      <c r="A82" s="404" t="s">
        <v>1288</v>
      </c>
      <c r="B82" s="261" t="s">
        <v>1289</v>
      </c>
      <c r="C82" s="405">
        <v>45530.72489583334</v>
      </c>
      <c r="D82" s="248" t="s">
        <v>773</v>
      </c>
      <c r="E82" s="261" t="s">
        <v>49</v>
      </c>
      <c r="F82" s="406">
        <v>8.0</v>
      </c>
      <c r="G82" s="406">
        <v>6.0</v>
      </c>
      <c r="H82" s="406">
        <v>6.0</v>
      </c>
      <c r="I82" s="406">
        <v>7.0</v>
      </c>
      <c r="J82" s="406" t="s">
        <v>1290</v>
      </c>
      <c r="K82" s="406">
        <v>6.0</v>
      </c>
      <c r="L82" s="406">
        <v>8.0</v>
      </c>
      <c r="M82" s="406">
        <v>8.0</v>
      </c>
      <c r="N82" s="406">
        <v>5.0</v>
      </c>
      <c r="O82" s="406" t="s">
        <v>1291</v>
      </c>
      <c r="P82" s="406">
        <v>7.0</v>
      </c>
      <c r="Q82" s="406">
        <v>8.0</v>
      </c>
      <c r="R82" s="406">
        <v>8.0</v>
      </c>
      <c r="S82" s="406">
        <v>6.0</v>
      </c>
      <c r="T82" s="406" t="s">
        <v>1292</v>
      </c>
      <c r="U82" s="406">
        <v>7.0</v>
      </c>
      <c r="V82" s="406">
        <v>7.0</v>
      </c>
      <c r="W82" s="407"/>
      <c r="X82" s="406">
        <v>8.0</v>
      </c>
      <c r="Y82" s="406" t="s">
        <v>1293</v>
      </c>
      <c r="Z82" s="406" t="s">
        <v>1294</v>
      </c>
      <c r="AA82" s="406" t="s">
        <v>1370</v>
      </c>
      <c r="AB82" s="9" t="s">
        <v>39</v>
      </c>
      <c r="AC82" s="10" t="b">
        <v>1</v>
      </c>
      <c r="AD82" s="10"/>
      <c r="AE82" s="10"/>
      <c r="AF82" s="408">
        <f t="shared" si="2"/>
        <v>7</v>
      </c>
    </row>
    <row r="83">
      <c r="A83" s="404" t="s">
        <v>1296</v>
      </c>
      <c r="B83" s="261" t="s">
        <v>41</v>
      </c>
      <c r="C83" s="405">
        <v>45530.81584490741</v>
      </c>
      <c r="D83" s="248" t="s">
        <v>776</v>
      </c>
      <c r="E83" s="261" t="s">
        <v>49</v>
      </c>
      <c r="F83" s="406">
        <v>7.0</v>
      </c>
      <c r="G83" s="406">
        <v>6.0</v>
      </c>
      <c r="H83" s="406">
        <v>7.0</v>
      </c>
      <c r="I83" s="406">
        <v>5.0</v>
      </c>
      <c r="J83" s="406" t="s">
        <v>1297</v>
      </c>
      <c r="K83" s="406">
        <v>8.0</v>
      </c>
      <c r="L83" s="406">
        <v>7.0</v>
      </c>
      <c r="M83" s="406">
        <v>7.0</v>
      </c>
      <c r="N83" s="406">
        <v>7.0</v>
      </c>
      <c r="O83" s="406" t="s">
        <v>1298</v>
      </c>
      <c r="P83" s="406">
        <v>7.0</v>
      </c>
      <c r="Q83" s="406">
        <v>7.0</v>
      </c>
      <c r="R83" s="406">
        <v>6.0</v>
      </c>
      <c r="S83" s="406">
        <v>5.0</v>
      </c>
      <c r="T83" s="406" t="s">
        <v>1299</v>
      </c>
      <c r="U83" s="406">
        <v>7.0</v>
      </c>
      <c r="V83" s="406">
        <v>7.0</v>
      </c>
      <c r="W83" s="406">
        <v>7.0</v>
      </c>
      <c r="X83" s="406">
        <v>8.0</v>
      </c>
      <c r="Y83" s="406" t="s">
        <v>1300</v>
      </c>
      <c r="Z83" s="406"/>
      <c r="AA83" s="407"/>
      <c r="AB83" s="9" t="s">
        <v>39</v>
      </c>
      <c r="AC83" s="10" t="b">
        <v>1</v>
      </c>
      <c r="AD83" s="10"/>
      <c r="AE83" s="10"/>
      <c r="AF83" s="408">
        <f t="shared" si="2"/>
        <v>6.75</v>
      </c>
    </row>
    <row r="84">
      <c r="A84" s="404" t="s">
        <v>1301</v>
      </c>
      <c r="B84" s="261" t="s">
        <v>524</v>
      </c>
      <c r="C84" s="405">
        <v>45531.346967592595</v>
      </c>
      <c r="D84" s="248" t="s">
        <v>433</v>
      </c>
      <c r="E84" s="261" t="s">
        <v>113</v>
      </c>
      <c r="F84" s="406">
        <v>10.0</v>
      </c>
      <c r="G84" s="406">
        <v>10.0</v>
      </c>
      <c r="H84" s="406">
        <v>10.0</v>
      </c>
      <c r="I84" s="406">
        <v>10.0</v>
      </c>
      <c r="J84" s="406" t="s">
        <v>553</v>
      </c>
      <c r="K84" s="406">
        <v>7.0</v>
      </c>
      <c r="L84" s="406">
        <v>7.0</v>
      </c>
      <c r="M84" s="406">
        <v>10.0</v>
      </c>
      <c r="N84" s="406">
        <v>10.0</v>
      </c>
      <c r="O84" s="406" t="s">
        <v>553</v>
      </c>
      <c r="P84" s="406">
        <v>10.0</v>
      </c>
      <c r="Q84" s="406">
        <v>8.0</v>
      </c>
      <c r="R84" s="406">
        <v>10.0</v>
      </c>
      <c r="S84" s="406">
        <v>10.0</v>
      </c>
      <c r="T84" s="406" t="s">
        <v>553</v>
      </c>
      <c r="U84" s="406">
        <v>8.0</v>
      </c>
      <c r="V84" s="406">
        <v>10.0</v>
      </c>
      <c r="W84" s="406">
        <v>10.0</v>
      </c>
      <c r="X84" s="406">
        <v>10.0</v>
      </c>
      <c r="Y84" s="406" t="s">
        <v>1302</v>
      </c>
      <c r="Z84" s="406" t="s">
        <v>1303</v>
      </c>
      <c r="AA84" s="406" t="s">
        <v>1304</v>
      </c>
      <c r="AB84" s="9" t="s">
        <v>39</v>
      </c>
      <c r="AC84" s="10" t="b">
        <v>1</v>
      </c>
      <c r="AD84" s="10"/>
      <c r="AE84" s="10"/>
      <c r="AF84" s="408">
        <f t="shared" si="2"/>
        <v>9.375</v>
      </c>
    </row>
    <row r="85">
      <c r="A85" s="404" t="s">
        <v>1305</v>
      </c>
      <c r="B85" s="261" t="s">
        <v>1306</v>
      </c>
      <c r="C85" s="405">
        <v>45531.81664351852</v>
      </c>
      <c r="D85" s="248" t="s">
        <v>269</v>
      </c>
      <c r="E85" s="261" t="s">
        <v>113</v>
      </c>
      <c r="F85" s="406">
        <v>8.0</v>
      </c>
      <c r="G85" s="406">
        <v>10.0</v>
      </c>
      <c r="H85" s="406">
        <v>8.0</v>
      </c>
      <c r="I85" s="406">
        <v>7.0</v>
      </c>
      <c r="J85" s="406" t="s">
        <v>1307</v>
      </c>
      <c r="K85" s="406">
        <v>9.0</v>
      </c>
      <c r="L85" s="406">
        <v>7.0</v>
      </c>
      <c r="M85" s="406">
        <v>10.0</v>
      </c>
      <c r="N85" s="406">
        <v>10.0</v>
      </c>
      <c r="O85" s="406" t="s">
        <v>1308</v>
      </c>
      <c r="P85" s="406">
        <v>10.0</v>
      </c>
      <c r="Q85" s="406">
        <v>10.0</v>
      </c>
      <c r="R85" s="406">
        <v>10.0</v>
      </c>
      <c r="S85" s="406">
        <v>10.0</v>
      </c>
      <c r="T85" s="406" t="s">
        <v>1309</v>
      </c>
      <c r="U85" s="406">
        <v>7.0</v>
      </c>
      <c r="V85" s="406">
        <v>6.0</v>
      </c>
      <c r="W85" s="406">
        <v>8.0</v>
      </c>
      <c r="X85" s="406">
        <v>8.0</v>
      </c>
      <c r="Y85" s="406" t="s">
        <v>1310</v>
      </c>
      <c r="Z85" s="407"/>
      <c r="AA85" s="407"/>
      <c r="AB85" s="9" t="s">
        <v>39</v>
      </c>
      <c r="AC85" s="10" t="b">
        <v>1</v>
      </c>
      <c r="AD85" s="10"/>
      <c r="AE85" s="10"/>
      <c r="AF85" s="408">
        <f t="shared" si="2"/>
        <v>8.625</v>
      </c>
    </row>
    <row r="86">
      <c r="A86" s="404" t="s">
        <v>1311</v>
      </c>
      <c r="B86" s="261" t="s">
        <v>1312</v>
      </c>
      <c r="C86" s="405">
        <v>45531.90225694444</v>
      </c>
      <c r="D86" s="248" t="s">
        <v>516</v>
      </c>
      <c r="E86" s="261" t="s">
        <v>113</v>
      </c>
      <c r="F86" s="406">
        <v>3.0</v>
      </c>
      <c r="G86" s="406">
        <v>3.0</v>
      </c>
      <c r="H86" s="406">
        <v>5.0</v>
      </c>
      <c r="I86" s="406">
        <v>4.0</v>
      </c>
      <c r="J86" s="406" t="s">
        <v>1313</v>
      </c>
      <c r="K86" s="406">
        <v>7.0</v>
      </c>
      <c r="L86" s="406">
        <v>5.0</v>
      </c>
      <c r="M86" s="406">
        <v>10.0</v>
      </c>
      <c r="N86" s="406">
        <v>5.0</v>
      </c>
      <c r="O86" s="406" t="s">
        <v>1314</v>
      </c>
      <c r="P86" s="406">
        <v>3.0</v>
      </c>
      <c r="Q86" s="406">
        <v>10.0</v>
      </c>
      <c r="R86" s="406">
        <v>2.0</v>
      </c>
      <c r="S86" s="406">
        <v>6.0</v>
      </c>
      <c r="T86" s="406" t="s">
        <v>1315</v>
      </c>
      <c r="U86" s="406">
        <v>1.0</v>
      </c>
      <c r="V86" s="406">
        <v>2.0</v>
      </c>
      <c r="W86" s="406">
        <v>1.0</v>
      </c>
      <c r="X86" s="406">
        <v>2.0</v>
      </c>
      <c r="Y86" s="406" t="s">
        <v>1316</v>
      </c>
      <c r="Z86" s="406" t="s">
        <v>1317</v>
      </c>
      <c r="AA86" s="406" t="s">
        <v>1318</v>
      </c>
      <c r="AB86" s="9" t="s">
        <v>39</v>
      </c>
      <c r="AC86" s="10" t="b">
        <v>1</v>
      </c>
      <c r="AD86" s="10"/>
      <c r="AE86" s="10"/>
      <c r="AF86" s="408">
        <f t="shared" si="2"/>
        <v>4.3125</v>
      </c>
    </row>
    <row r="87">
      <c r="A87" s="404" t="s">
        <v>1319</v>
      </c>
      <c r="B87" s="261" t="s">
        <v>1312</v>
      </c>
      <c r="C87" s="405">
        <v>45531.90712962963</v>
      </c>
      <c r="D87" s="248" t="s">
        <v>449</v>
      </c>
      <c r="E87" s="261" t="s">
        <v>486</v>
      </c>
      <c r="F87" s="406">
        <v>10.0</v>
      </c>
      <c r="G87" s="406">
        <v>9.0</v>
      </c>
      <c r="H87" s="406">
        <v>6.0</v>
      </c>
      <c r="I87" s="406">
        <v>9.0</v>
      </c>
      <c r="J87" s="406" t="s">
        <v>1320</v>
      </c>
      <c r="K87" s="406">
        <v>10.0</v>
      </c>
      <c r="L87" s="406">
        <v>10.0</v>
      </c>
      <c r="M87" s="406">
        <v>10.0</v>
      </c>
      <c r="N87" s="406">
        <v>10.0</v>
      </c>
      <c r="O87" s="406" t="s">
        <v>1321</v>
      </c>
      <c r="P87" s="406">
        <v>10.0</v>
      </c>
      <c r="Q87" s="406">
        <v>10.0</v>
      </c>
      <c r="R87" s="406">
        <v>10.0</v>
      </c>
      <c r="S87" s="406">
        <v>10.0</v>
      </c>
      <c r="T87" s="406" t="s">
        <v>1322</v>
      </c>
      <c r="U87" s="406">
        <v>10.0</v>
      </c>
      <c r="V87" s="406">
        <v>10.0</v>
      </c>
      <c r="W87" s="406">
        <v>10.0</v>
      </c>
      <c r="X87" s="406">
        <v>10.0</v>
      </c>
      <c r="Y87" s="406" t="s">
        <v>1323</v>
      </c>
      <c r="Z87" s="406" t="s">
        <v>1371</v>
      </c>
      <c r="AA87" s="406" t="s">
        <v>1324</v>
      </c>
      <c r="AB87" s="9" t="s">
        <v>39</v>
      </c>
      <c r="AC87" s="10" t="b">
        <v>1</v>
      </c>
      <c r="AD87" s="10"/>
      <c r="AE87" s="10"/>
      <c r="AF87" s="408">
        <f t="shared" si="2"/>
        <v>9.625</v>
      </c>
    </row>
    <row r="88">
      <c r="A88" s="404" t="s">
        <v>1325</v>
      </c>
      <c r="B88" s="261" t="s">
        <v>1326</v>
      </c>
      <c r="C88" s="405">
        <v>45536.19341435185</v>
      </c>
      <c r="D88" s="248" t="s">
        <v>1327</v>
      </c>
      <c r="E88" s="261" t="s">
        <v>486</v>
      </c>
      <c r="F88" s="406">
        <v>10.0</v>
      </c>
      <c r="G88" s="406">
        <v>10.0</v>
      </c>
      <c r="H88" s="406">
        <v>10.0</v>
      </c>
      <c r="I88" s="406">
        <v>8.0</v>
      </c>
      <c r="J88" s="406" t="s">
        <v>1328</v>
      </c>
      <c r="K88" s="406">
        <v>10.0</v>
      </c>
      <c r="L88" s="406">
        <v>10.0</v>
      </c>
      <c r="M88" s="406">
        <v>10.0</v>
      </c>
      <c r="N88" s="406">
        <v>10.0</v>
      </c>
      <c r="O88" s="406" t="s">
        <v>1329</v>
      </c>
      <c r="P88" s="406">
        <v>10.0</v>
      </c>
      <c r="Q88" s="406">
        <v>10.0</v>
      </c>
      <c r="R88" s="406">
        <v>10.0</v>
      </c>
      <c r="S88" s="406">
        <v>10.0</v>
      </c>
      <c r="T88" s="406" t="s">
        <v>1330</v>
      </c>
      <c r="U88" s="406">
        <v>8.0</v>
      </c>
      <c r="V88" s="406">
        <v>8.0</v>
      </c>
      <c r="W88" s="406">
        <v>7.0</v>
      </c>
      <c r="X88" s="406">
        <v>10.0</v>
      </c>
      <c r="Y88" s="406" t="s">
        <v>1331</v>
      </c>
      <c r="Z88" s="406" t="s">
        <v>1332</v>
      </c>
      <c r="AA88" s="407"/>
      <c r="AB88" s="9" t="s">
        <v>39</v>
      </c>
      <c r="AC88" s="10" t="b">
        <v>1</v>
      </c>
      <c r="AD88" s="10"/>
      <c r="AE88" s="10"/>
      <c r="AF88" s="408">
        <f t="shared" si="2"/>
        <v>9.4375</v>
      </c>
    </row>
    <row r="89">
      <c r="A89" s="404"/>
      <c r="B89" s="261"/>
      <c r="C89" s="405"/>
      <c r="D89" s="248" t="s">
        <v>1333</v>
      </c>
      <c r="E89" s="261" t="s">
        <v>486</v>
      </c>
      <c r="F89" s="406">
        <v>10.0</v>
      </c>
      <c r="G89" s="406">
        <v>10.0</v>
      </c>
      <c r="H89" s="406">
        <v>10.0</v>
      </c>
      <c r="I89" s="406">
        <v>10.0</v>
      </c>
      <c r="J89" s="406" t="s">
        <v>1334</v>
      </c>
      <c r="K89" s="406">
        <v>10.0</v>
      </c>
      <c r="L89" s="406">
        <v>10.0</v>
      </c>
      <c r="M89" s="406">
        <v>10.0</v>
      </c>
      <c r="N89" s="406">
        <v>10.0</v>
      </c>
      <c r="O89" s="406" t="s">
        <v>1110</v>
      </c>
      <c r="P89" s="406">
        <v>8.0</v>
      </c>
      <c r="Q89" s="406">
        <v>10.0</v>
      </c>
      <c r="R89" s="406">
        <v>10.0</v>
      </c>
      <c r="S89" s="406">
        <v>8.0</v>
      </c>
      <c r="T89" s="406" t="s">
        <v>1335</v>
      </c>
      <c r="U89" s="406">
        <v>3.0</v>
      </c>
      <c r="V89" s="406">
        <v>10.0</v>
      </c>
      <c r="W89" s="406">
        <v>9.0</v>
      </c>
      <c r="X89" s="406">
        <v>10.0</v>
      </c>
      <c r="Y89" s="406" t="s">
        <v>1336</v>
      </c>
      <c r="Z89" s="407"/>
      <c r="AA89" s="407"/>
      <c r="AB89" s="9" t="s">
        <v>39</v>
      </c>
      <c r="AC89" s="10" t="b">
        <v>1</v>
      </c>
      <c r="AD89" s="10"/>
      <c r="AE89" s="10"/>
      <c r="AF89" s="408">
        <f t="shared" si="2"/>
        <v>9.25</v>
      </c>
    </row>
    <row r="90">
      <c r="A90" s="404"/>
      <c r="B90" s="261"/>
      <c r="C90" s="405"/>
      <c r="D90" s="248" t="s">
        <v>478</v>
      </c>
      <c r="E90" s="261" t="s">
        <v>486</v>
      </c>
      <c r="F90" s="406">
        <v>10.0</v>
      </c>
      <c r="G90" s="406">
        <v>6.0</v>
      </c>
      <c r="H90" s="406">
        <v>10.0</v>
      </c>
      <c r="I90" s="406">
        <v>10.0</v>
      </c>
      <c r="J90" s="406" t="s">
        <v>1337</v>
      </c>
      <c r="K90" s="406">
        <v>10.0</v>
      </c>
      <c r="L90" s="406">
        <v>10.0</v>
      </c>
      <c r="M90" s="406">
        <v>10.0</v>
      </c>
      <c r="N90" s="406">
        <v>6.0</v>
      </c>
      <c r="O90" s="406" t="s">
        <v>1338</v>
      </c>
      <c r="P90" s="406">
        <v>7.0</v>
      </c>
      <c r="Q90" s="406">
        <v>10.0</v>
      </c>
      <c r="R90" s="406">
        <v>10.0</v>
      </c>
      <c r="S90" s="406">
        <v>10.0</v>
      </c>
      <c r="T90" s="406" t="s">
        <v>1339</v>
      </c>
      <c r="U90" s="406">
        <v>6.0</v>
      </c>
      <c r="V90" s="406">
        <v>10.0</v>
      </c>
      <c r="W90" s="406">
        <v>10.0</v>
      </c>
      <c r="X90" s="406">
        <v>10.0</v>
      </c>
      <c r="Y90" s="406" t="s">
        <v>110</v>
      </c>
      <c r="Z90" s="406" t="s">
        <v>1340</v>
      </c>
      <c r="AA90" s="407"/>
      <c r="AB90" s="9" t="s">
        <v>39</v>
      </c>
      <c r="AC90" s="10" t="b">
        <v>1</v>
      </c>
      <c r="AD90" s="10"/>
      <c r="AE90" s="10"/>
      <c r="AF90" s="408">
        <f t="shared" si="2"/>
        <v>9.0625</v>
      </c>
    </row>
    <row r="91">
      <c r="A91" s="404"/>
      <c r="B91" s="261"/>
      <c r="C91" s="405"/>
      <c r="D91" s="248" t="s">
        <v>781</v>
      </c>
      <c r="E91" s="261" t="s">
        <v>486</v>
      </c>
      <c r="F91" s="406">
        <v>9.0</v>
      </c>
      <c r="G91" s="406">
        <v>8.0</v>
      </c>
      <c r="H91" s="406">
        <v>8.0</v>
      </c>
      <c r="I91" s="406">
        <v>8.0</v>
      </c>
      <c r="J91" s="406" t="s">
        <v>1341</v>
      </c>
      <c r="K91" s="406">
        <v>8.0</v>
      </c>
      <c r="L91" s="406">
        <v>8.0</v>
      </c>
      <c r="M91" s="406">
        <v>8.0</v>
      </c>
      <c r="N91" s="406">
        <v>9.0</v>
      </c>
      <c r="O91" s="406" t="s">
        <v>1342</v>
      </c>
      <c r="P91" s="406">
        <v>7.0</v>
      </c>
      <c r="Q91" s="406">
        <v>8.0</v>
      </c>
      <c r="R91" s="406">
        <v>8.0</v>
      </c>
      <c r="S91" s="406">
        <v>8.0</v>
      </c>
      <c r="T91" s="406" t="s">
        <v>1343</v>
      </c>
      <c r="U91" s="406">
        <v>8.0</v>
      </c>
      <c r="V91" s="406">
        <v>8.0</v>
      </c>
      <c r="W91" s="406">
        <v>8.0</v>
      </c>
      <c r="X91" s="406">
        <v>8.0</v>
      </c>
      <c r="Y91" s="406" t="s">
        <v>1344</v>
      </c>
      <c r="Z91" s="406" t="s">
        <v>1345</v>
      </c>
      <c r="AA91" s="407"/>
      <c r="AB91" s="9" t="s">
        <v>39</v>
      </c>
      <c r="AC91" s="10" t="b">
        <v>1</v>
      </c>
      <c r="AD91" s="10"/>
      <c r="AE91" s="10"/>
      <c r="AF91" s="408">
        <f t="shared" si="2"/>
        <v>8.0625</v>
      </c>
    </row>
    <row r="92">
      <c r="A92" s="404"/>
      <c r="B92" s="261"/>
      <c r="C92" s="405"/>
      <c r="D92" s="248" t="s">
        <v>1346</v>
      </c>
      <c r="E92" s="261" t="s">
        <v>486</v>
      </c>
      <c r="F92" s="406">
        <v>9.0</v>
      </c>
      <c r="G92" s="406">
        <v>10.0</v>
      </c>
      <c r="H92" s="406">
        <v>9.0</v>
      </c>
      <c r="I92" s="406">
        <v>6.0</v>
      </c>
      <c r="J92" s="406" t="s">
        <v>1347</v>
      </c>
      <c r="K92" s="406">
        <v>9.0</v>
      </c>
      <c r="L92" s="406">
        <v>9.0</v>
      </c>
      <c r="M92" s="406">
        <v>10.0</v>
      </c>
      <c r="N92" s="406">
        <v>9.0</v>
      </c>
      <c r="O92" s="406" t="s">
        <v>1348</v>
      </c>
      <c r="P92" s="406">
        <v>5.0</v>
      </c>
      <c r="Q92" s="406">
        <v>7.0</v>
      </c>
      <c r="R92" s="406">
        <v>9.0</v>
      </c>
      <c r="S92" s="406">
        <v>4.0</v>
      </c>
      <c r="T92" s="406" t="s">
        <v>1348</v>
      </c>
      <c r="U92" s="406">
        <v>6.0</v>
      </c>
      <c r="V92" s="406">
        <v>6.0</v>
      </c>
      <c r="W92" s="406">
        <v>7.0</v>
      </c>
      <c r="X92" s="406">
        <v>10.0</v>
      </c>
      <c r="Y92" s="406" t="s">
        <v>1348</v>
      </c>
      <c r="Z92" s="406" t="s">
        <v>1349</v>
      </c>
      <c r="AA92" s="406" t="s">
        <v>1350</v>
      </c>
      <c r="AB92" s="9" t="s">
        <v>39</v>
      </c>
      <c r="AC92" s="10" t="b">
        <v>1</v>
      </c>
      <c r="AD92" s="10"/>
      <c r="AE92" s="10"/>
      <c r="AF92" s="408">
        <f t="shared" si="2"/>
        <v>7.8125</v>
      </c>
    </row>
    <row r="93">
      <c r="A93" s="404"/>
      <c r="B93" s="261"/>
      <c r="C93" s="405"/>
      <c r="D93" s="248" t="s">
        <v>525</v>
      </c>
      <c r="E93" s="261" t="s">
        <v>486</v>
      </c>
      <c r="F93" s="406">
        <v>8.0</v>
      </c>
      <c r="G93" s="406">
        <v>7.0</v>
      </c>
      <c r="H93" s="406">
        <v>7.0</v>
      </c>
      <c r="I93" s="406">
        <v>8.0</v>
      </c>
      <c r="J93" s="406" t="s">
        <v>1351</v>
      </c>
      <c r="K93" s="406">
        <v>8.0</v>
      </c>
      <c r="L93" s="406">
        <v>7.0</v>
      </c>
      <c r="M93" s="406">
        <v>8.0</v>
      </c>
      <c r="N93" s="406">
        <v>6.0</v>
      </c>
      <c r="O93" s="406" t="s">
        <v>1352</v>
      </c>
      <c r="P93" s="406">
        <v>7.0</v>
      </c>
      <c r="Q93" s="406">
        <v>7.0</v>
      </c>
      <c r="R93" s="406">
        <v>7.0</v>
      </c>
      <c r="S93" s="406">
        <v>6.0</v>
      </c>
      <c r="T93" s="406" t="s">
        <v>1353</v>
      </c>
      <c r="U93" s="406">
        <v>6.0</v>
      </c>
      <c r="V93" s="406">
        <v>6.0</v>
      </c>
      <c r="W93" s="406">
        <v>7.0</v>
      </c>
      <c r="X93" s="406">
        <v>7.0</v>
      </c>
      <c r="Y93" s="406" t="s">
        <v>1354</v>
      </c>
      <c r="Z93" s="407"/>
      <c r="AA93" s="407"/>
      <c r="AB93" s="9" t="s">
        <v>39</v>
      </c>
      <c r="AC93" s="10" t="b">
        <v>1</v>
      </c>
      <c r="AD93" s="10"/>
      <c r="AE93" s="10"/>
      <c r="AF93" s="408">
        <f t="shared" si="2"/>
        <v>7</v>
      </c>
    </row>
    <row r="94">
      <c r="A94" s="404"/>
      <c r="B94" s="261"/>
      <c r="C94" s="405"/>
      <c r="D94" s="248" t="s">
        <v>1355</v>
      </c>
      <c r="E94" s="261" t="s">
        <v>724</v>
      </c>
      <c r="F94" s="406">
        <v>10.0</v>
      </c>
      <c r="G94" s="406">
        <v>10.0</v>
      </c>
      <c r="H94" s="406">
        <v>10.0</v>
      </c>
      <c r="I94" s="406">
        <v>10.0</v>
      </c>
      <c r="J94" s="406" t="s">
        <v>396</v>
      </c>
      <c r="K94" s="406">
        <v>10.0</v>
      </c>
      <c r="L94" s="406">
        <v>9.0</v>
      </c>
      <c r="M94" s="406">
        <v>9.0</v>
      </c>
      <c r="N94" s="406">
        <v>8.0</v>
      </c>
      <c r="O94" s="406" t="s">
        <v>154</v>
      </c>
      <c r="P94" s="406">
        <v>9.0</v>
      </c>
      <c r="Q94" s="406">
        <v>8.0</v>
      </c>
      <c r="R94" s="406">
        <v>10.0</v>
      </c>
      <c r="S94" s="406">
        <v>10.0</v>
      </c>
      <c r="T94" s="406" t="s">
        <v>1356</v>
      </c>
      <c r="U94" s="406">
        <v>9.0</v>
      </c>
      <c r="V94" s="406">
        <v>10.0</v>
      </c>
      <c r="W94" s="406">
        <v>10.0</v>
      </c>
      <c r="X94" s="407"/>
      <c r="Y94" s="406" t="s">
        <v>154</v>
      </c>
      <c r="Z94" s="406" t="s">
        <v>65</v>
      </c>
      <c r="AA94" s="406" t="s">
        <v>65</v>
      </c>
      <c r="AB94" s="9" t="s">
        <v>39</v>
      </c>
      <c r="AC94" s="10" t="b">
        <v>1</v>
      </c>
      <c r="AD94" s="10"/>
      <c r="AE94" s="10"/>
      <c r="AF94" s="408">
        <f t="shared" si="2"/>
        <v>9.466666667</v>
      </c>
    </row>
    <row r="95">
      <c r="A95" s="404"/>
      <c r="B95" s="261"/>
      <c r="C95" s="405"/>
      <c r="D95" s="248" t="s">
        <v>173</v>
      </c>
      <c r="E95" s="261" t="s">
        <v>724</v>
      </c>
      <c r="F95" s="406">
        <v>10.0</v>
      </c>
      <c r="G95" s="406">
        <v>10.0</v>
      </c>
      <c r="H95" s="406">
        <v>7.0</v>
      </c>
      <c r="I95" s="406">
        <v>8.0</v>
      </c>
      <c r="J95" s="406" t="s">
        <v>1357</v>
      </c>
      <c r="K95" s="406">
        <v>9.0</v>
      </c>
      <c r="L95" s="406">
        <v>9.0</v>
      </c>
      <c r="M95" s="406">
        <v>10.0</v>
      </c>
      <c r="N95" s="406">
        <v>9.0</v>
      </c>
      <c r="O95" s="406" t="s">
        <v>396</v>
      </c>
      <c r="P95" s="406">
        <v>9.0</v>
      </c>
      <c r="Q95" s="406">
        <v>10.0</v>
      </c>
      <c r="R95" s="406">
        <v>9.0</v>
      </c>
      <c r="S95" s="406">
        <v>7.0</v>
      </c>
      <c r="T95" s="406" t="s">
        <v>1358</v>
      </c>
      <c r="U95" s="406">
        <v>9.0</v>
      </c>
      <c r="V95" s="406">
        <v>10.0</v>
      </c>
      <c r="W95" s="406">
        <v>8.0</v>
      </c>
      <c r="X95" s="406">
        <v>8.0</v>
      </c>
      <c r="Y95" s="406" t="s">
        <v>396</v>
      </c>
      <c r="Z95" s="406" t="s">
        <v>1359</v>
      </c>
      <c r="AA95" s="406" t="s">
        <v>1360</v>
      </c>
      <c r="AB95" s="9" t="s">
        <v>39</v>
      </c>
      <c r="AC95" s="10" t="b">
        <v>1</v>
      </c>
      <c r="AD95" s="10"/>
      <c r="AE95" s="10"/>
      <c r="AF95" s="408">
        <f t="shared" si="2"/>
        <v>8.875</v>
      </c>
    </row>
    <row r="96">
      <c r="A96" s="404"/>
      <c r="B96" s="261"/>
      <c r="C96" s="405"/>
      <c r="D96" s="248" t="s">
        <v>861</v>
      </c>
      <c r="E96" s="261" t="s">
        <v>724</v>
      </c>
      <c r="F96" s="406">
        <v>9.0</v>
      </c>
      <c r="G96" s="406">
        <v>10.0</v>
      </c>
      <c r="H96" s="406">
        <v>9.0</v>
      </c>
      <c r="I96" s="406">
        <v>9.0</v>
      </c>
      <c r="J96" s="406" t="s">
        <v>1361</v>
      </c>
      <c r="K96" s="406">
        <v>8.0</v>
      </c>
      <c r="L96" s="406">
        <v>9.0</v>
      </c>
      <c r="M96" s="406">
        <v>9.0</v>
      </c>
      <c r="N96" s="406">
        <v>8.0</v>
      </c>
      <c r="O96" s="406" t="s">
        <v>1362</v>
      </c>
      <c r="P96" s="406">
        <v>9.0</v>
      </c>
      <c r="Q96" s="406">
        <v>9.0</v>
      </c>
      <c r="R96" s="406">
        <v>8.0</v>
      </c>
      <c r="S96" s="406">
        <v>9.0</v>
      </c>
      <c r="T96" s="406" t="s">
        <v>1363</v>
      </c>
      <c r="U96" s="406">
        <v>8.0</v>
      </c>
      <c r="V96" s="406">
        <v>7.0</v>
      </c>
      <c r="W96" s="406">
        <v>8.0</v>
      </c>
      <c r="X96" s="406">
        <v>9.0</v>
      </c>
      <c r="Y96" s="406" t="s">
        <v>70</v>
      </c>
      <c r="Z96" s="407"/>
      <c r="AA96" s="407"/>
      <c r="AB96" s="9" t="s">
        <v>39</v>
      </c>
      <c r="AC96" s="10" t="b">
        <v>1</v>
      </c>
      <c r="AD96" s="10"/>
      <c r="AE96" s="10"/>
      <c r="AF96" s="408">
        <f t="shared" si="2"/>
        <v>8.625</v>
      </c>
    </row>
    <row r="97" ht="28.5" customHeight="1">
      <c r="A97" s="404"/>
      <c r="B97" s="261"/>
      <c r="C97" s="405"/>
      <c r="D97" s="248" t="s">
        <v>784</v>
      </c>
      <c r="E97" s="261" t="s">
        <v>724</v>
      </c>
      <c r="F97" s="406">
        <v>3.0</v>
      </c>
      <c r="G97" s="406">
        <v>8.0</v>
      </c>
      <c r="H97" s="406">
        <v>5.0</v>
      </c>
      <c r="I97" s="406">
        <v>3.0</v>
      </c>
      <c r="J97" s="406" t="s">
        <v>1364</v>
      </c>
      <c r="K97" s="406">
        <v>2.0</v>
      </c>
      <c r="L97" s="406">
        <v>6.0</v>
      </c>
      <c r="M97" s="406">
        <v>3.0</v>
      </c>
      <c r="N97" s="406">
        <v>3.0</v>
      </c>
      <c r="O97" s="406" t="s">
        <v>1364</v>
      </c>
      <c r="P97" s="406">
        <v>2.0</v>
      </c>
      <c r="Q97" s="406">
        <v>2.0</v>
      </c>
      <c r="R97" s="406">
        <v>2.0</v>
      </c>
      <c r="S97" s="406">
        <v>2.0</v>
      </c>
      <c r="T97" s="406" t="s">
        <v>1364</v>
      </c>
      <c r="U97" s="406">
        <v>1.0</v>
      </c>
      <c r="V97" s="406">
        <v>1.0</v>
      </c>
      <c r="W97" s="406">
        <v>3.0</v>
      </c>
      <c r="X97" s="406">
        <v>1.0</v>
      </c>
      <c r="Y97" s="406" t="s">
        <v>1364</v>
      </c>
      <c r="Z97" s="406" t="s">
        <v>1365</v>
      </c>
      <c r="AA97" s="407"/>
      <c r="AB97" s="9" t="s">
        <v>39</v>
      </c>
      <c r="AC97" s="10" t="b">
        <v>1</v>
      </c>
      <c r="AD97" s="10"/>
      <c r="AE97" s="10"/>
      <c r="AF97" s="408">
        <f t="shared" si="2"/>
        <v>2.9375</v>
      </c>
    </row>
    <row r="98">
      <c r="A98" s="410"/>
      <c r="B98" s="411"/>
      <c r="C98" s="411"/>
      <c r="D98" s="248"/>
      <c r="E98" s="411"/>
      <c r="F98" s="412">
        <f t="shared" ref="F98:I98" si="3">AVERAGE(F2:F97)</f>
        <v>8.25</v>
      </c>
      <c r="G98" s="412">
        <f t="shared" si="3"/>
        <v>7.979166667</v>
      </c>
      <c r="H98" s="412">
        <f t="shared" si="3"/>
        <v>8.4375</v>
      </c>
      <c r="I98" s="412">
        <f t="shared" si="3"/>
        <v>8.03125</v>
      </c>
      <c r="J98" s="413"/>
      <c r="K98" s="412">
        <f t="shared" ref="K98:N98" si="4">AVERAGE(K2:K97)</f>
        <v>8.635416667</v>
      </c>
      <c r="L98" s="412">
        <f t="shared" si="4"/>
        <v>8.452631579</v>
      </c>
      <c r="M98" s="412">
        <f t="shared" si="4"/>
        <v>9.083333333</v>
      </c>
      <c r="N98" s="412">
        <f t="shared" si="4"/>
        <v>8.436170213</v>
      </c>
      <c r="O98" s="413"/>
      <c r="P98" s="412">
        <f t="shared" ref="P98:S98" si="5">AVERAGE(P2:P97)</f>
        <v>8.0625</v>
      </c>
      <c r="Q98" s="412">
        <f t="shared" si="5"/>
        <v>8.541666667</v>
      </c>
      <c r="R98" s="412">
        <f t="shared" si="5"/>
        <v>8.260416667</v>
      </c>
      <c r="S98" s="412">
        <f t="shared" si="5"/>
        <v>7.989583333</v>
      </c>
      <c r="T98" s="413"/>
      <c r="U98" s="412">
        <f t="shared" ref="U98:X98" si="6">AVERAGE(U2:U97)</f>
        <v>6.85106383</v>
      </c>
      <c r="V98" s="412">
        <f t="shared" si="6"/>
        <v>7.46875</v>
      </c>
      <c r="W98" s="412">
        <f t="shared" si="6"/>
        <v>8.052631579</v>
      </c>
      <c r="X98" s="412">
        <f t="shared" si="6"/>
        <v>8.670212766</v>
      </c>
      <c r="Y98" s="413"/>
      <c r="Z98" s="413"/>
      <c r="AA98" s="413"/>
      <c r="AB98" s="413"/>
      <c r="AC98" s="413"/>
      <c r="AD98" s="413"/>
      <c r="AE98" s="413"/>
      <c r="AF98" s="414">
        <f>AVERAGE(F98:X98)</f>
        <v>8.200143331</v>
      </c>
    </row>
  </sheetData>
  <autoFilter ref="$D$1:$AF$97">
    <sortState ref="D1:AF97">
      <sortCondition ref="E1:E97"/>
      <sortCondition descending="1" ref="AF1:AF97"/>
    </sortState>
  </autoFilter>
  <conditionalFormatting sqref="AF1:AF97">
    <cfRule type="cellIs" dxfId="0" priority="1" operator="lessThanOrEqual">
      <formula>7.19</formula>
    </cfRule>
  </conditionalFormatting>
  <conditionalFormatting sqref="AF1:AF97">
    <cfRule type="cellIs" dxfId="1" priority="2" operator="greaterThanOrEqual">
      <formula>9.45</formula>
    </cfRule>
  </conditionalFormatting>
  <conditionalFormatting sqref="F98:X98">
    <cfRule type="cellIs" dxfId="3" priority="3" operator="greaterThanOrEqual">
      <formula>8.6</formula>
    </cfRule>
  </conditionalFormatting>
  <conditionalFormatting sqref="F98:X98">
    <cfRule type="cellIs" dxfId="0" priority="4" operator="lessThanOrEqual">
      <formula>7.6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rightToLeft="1" workbookViewId="0"/>
  </sheetViews>
  <sheetFormatPr customHeight="1" defaultColWidth="12.63" defaultRowHeight="15.75"/>
  <cols>
    <col customWidth="1" min="5" max="5" width="14.13"/>
    <col customWidth="1" min="9" max="9" width="37.13"/>
  </cols>
  <sheetData>
    <row r="1">
      <c r="A1" s="415" t="s">
        <v>707</v>
      </c>
      <c r="B1" s="415">
        <v>24.0</v>
      </c>
      <c r="C1" s="416"/>
      <c r="D1" s="417"/>
      <c r="E1" s="418" t="s">
        <v>707</v>
      </c>
      <c r="F1" s="419">
        <v>25.0</v>
      </c>
      <c r="G1" s="420"/>
      <c r="H1" s="420"/>
      <c r="I1" s="420"/>
      <c r="J1" s="420"/>
      <c r="K1" s="420"/>
      <c r="L1" s="421"/>
      <c r="M1" s="416"/>
      <c r="N1" s="416"/>
    </row>
    <row r="2">
      <c r="A2" s="415" t="s">
        <v>703</v>
      </c>
      <c r="B2" s="415">
        <v>79.0</v>
      </c>
      <c r="C2" s="416"/>
      <c r="D2" s="422"/>
      <c r="E2" s="423" t="s">
        <v>703</v>
      </c>
      <c r="F2" s="424">
        <f>SUM(G6:G29)</f>
        <v>79</v>
      </c>
      <c r="G2" s="425"/>
      <c r="H2" s="426"/>
      <c r="I2" s="425"/>
      <c r="J2" s="425"/>
      <c r="K2" s="426"/>
      <c r="L2" s="427"/>
      <c r="M2" s="416"/>
      <c r="N2" s="416"/>
    </row>
    <row r="3">
      <c r="A3" s="415" t="s">
        <v>759</v>
      </c>
      <c r="B3" s="428">
        <f>'التقييم الدوري2 - المدراء'!AD82</f>
        <v>8.024427366</v>
      </c>
      <c r="C3" s="416"/>
      <c r="D3" s="422"/>
      <c r="E3" s="429" t="s">
        <v>759</v>
      </c>
      <c r="F3" s="430">
        <v>8.198905309250136</v>
      </c>
      <c r="G3" s="426"/>
      <c r="H3" s="426"/>
      <c r="I3" s="426"/>
      <c r="J3" s="426"/>
      <c r="K3" s="426"/>
      <c r="L3" s="427"/>
      <c r="M3" s="416"/>
      <c r="N3" s="416"/>
    </row>
    <row r="4">
      <c r="A4" s="431"/>
      <c r="B4" s="431"/>
      <c r="C4" s="416"/>
      <c r="D4" s="422"/>
      <c r="E4" s="432"/>
      <c r="F4" s="433"/>
      <c r="G4" s="425"/>
      <c r="H4" s="426"/>
      <c r="I4" s="425"/>
      <c r="J4" s="425"/>
      <c r="K4" s="426"/>
      <c r="L4" s="427"/>
      <c r="M4" s="416"/>
      <c r="N4" s="416"/>
    </row>
    <row r="5">
      <c r="A5" s="248" t="s">
        <v>712</v>
      </c>
      <c r="B5" s="248" t="s">
        <v>29</v>
      </c>
      <c r="C5" s="248" t="s">
        <v>713</v>
      </c>
      <c r="D5" s="422"/>
      <c r="E5" s="434" t="s">
        <v>712</v>
      </c>
      <c r="F5" s="435" t="s">
        <v>29</v>
      </c>
      <c r="G5" s="436" t="s">
        <v>713</v>
      </c>
      <c r="H5" s="422"/>
      <c r="I5" s="434" t="s">
        <v>752</v>
      </c>
      <c r="J5" s="436" t="s">
        <v>29</v>
      </c>
      <c r="K5" s="437"/>
      <c r="L5" s="438"/>
      <c r="M5" s="439"/>
      <c r="N5" s="431"/>
    </row>
    <row r="6">
      <c r="A6" s="253" t="str">
        <f t="array" ref="A6:A29">UNIQUE('بعد تعديل المجاملين - أغسطس 202'!E3:E89)</f>
        <v>أسيل باعبدالله - فريق التسويق</v>
      </c>
      <c r="B6" s="440" t="str">
        <f>AVERAGEIF('التقييم الدوري2 - المدراء'!E$2:E$80,A6,'التقييم الدوري2 - المدراء'!AD$2:AD$80)</f>
        <v>#DIV/0!</v>
      </c>
      <c r="C6" s="261"/>
      <c r="D6" s="422"/>
      <c r="E6" s="441" t="s">
        <v>782</v>
      </c>
      <c r="F6" s="442" t="s">
        <v>110</v>
      </c>
      <c r="G6" s="443">
        <v>0.0</v>
      </c>
      <c r="H6" s="422"/>
      <c r="I6" s="444" t="s">
        <v>12</v>
      </c>
      <c r="J6" s="445">
        <v>9.160919540229886</v>
      </c>
      <c r="K6" s="446"/>
      <c r="L6" s="447"/>
      <c r="M6" s="448"/>
      <c r="N6" s="431"/>
    </row>
    <row r="7">
      <c r="A7" s="253" t="s">
        <v>769</v>
      </c>
      <c r="B7" s="440" t="str">
        <f>AVERAGEIF('التقييم الدوري2 - المدراء'!E$2:E$80,A7,'التقييم الدوري2 - المدراء'!AD$2:AD$80)</f>
        <v>#DIV/0!</v>
      </c>
      <c r="C7" s="261"/>
      <c r="D7" s="422"/>
      <c r="E7" s="441" t="s">
        <v>720</v>
      </c>
      <c r="F7" s="442">
        <v>9.46875</v>
      </c>
      <c r="G7" s="449">
        <v>2.0</v>
      </c>
      <c r="H7" s="422"/>
      <c r="I7" s="444" t="s">
        <v>10</v>
      </c>
      <c r="J7" s="445">
        <v>8.632183908045977</v>
      </c>
      <c r="K7" s="446"/>
      <c r="L7" s="447"/>
      <c r="M7" s="448"/>
      <c r="N7" s="431"/>
    </row>
    <row r="8">
      <c r="A8" s="253" t="s">
        <v>770</v>
      </c>
      <c r="B8" s="440">
        <f>AVERAGEIF('التقييم الدوري2 - المدراء'!E$2:E$80,A8,'التقييم الدوري2 - المدراء'!AD$2:AD$80)</f>
        <v>7.875</v>
      </c>
      <c r="C8" s="261"/>
      <c r="D8" s="422"/>
      <c r="E8" s="441" t="s">
        <v>774</v>
      </c>
      <c r="F8" s="442">
        <v>9.4</v>
      </c>
      <c r="G8" s="449">
        <v>1.0</v>
      </c>
      <c r="H8" s="422"/>
      <c r="I8" s="450" t="s">
        <v>23</v>
      </c>
      <c r="J8" s="451">
        <v>8.611764705882353</v>
      </c>
      <c r="K8" s="452"/>
      <c r="L8" s="447"/>
      <c r="M8" s="448"/>
      <c r="N8" s="431"/>
    </row>
    <row r="9">
      <c r="A9" s="253" t="s">
        <v>42</v>
      </c>
      <c r="B9" s="440">
        <f>AVERAGEIF('التقييم الدوري2 - المدراء'!E$2:E$80,A9,'التقييم الدوري2 - المدراء'!AD$2:AD$80)</f>
        <v>8.427083333</v>
      </c>
      <c r="C9" s="261"/>
      <c r="D9" s="422"/>
      <c r="E9" s="441" t="s">
        <v>717</v>
      </c>
      <c r="F9" s="442">
        <v>9.25</v>
      </c>
      <c r="G9" s="449">
        <v>2.0</v>
      </c>
      <c r="H9" s="422"/>
      <c r="I9" s="453" t="s">
        <v>16</v>
      </c>
      <c r="J9" s="454">
        <v>8.563218390804598</v>
      </c>
      <c r="K9" s="455"/>
      <c r="L9" s="456"/>
      <c r="M9" s="448"/>
      <c r="N9" s="431"/>
    </row>
    <row r="10">
      <c r="A10" s="253" t="s">
        <v>241</v>
      </c>
      <c r="B10" s="440">
        <f>AVERAGEIF('التقييم الدوري2 - المدراء'!E$2:E$80,A10,'التقييم الدوري2 - المدراء'!AD$2:AD$80)</f>
        <v>6.708333333</v>
      </c>
      <c r="C10" s="261"/>
      <c r="D10" s="422"/>
      <c r="E10" s="441" t="s">
        <v>771</v>
      </c>
      <c r="F10" s="442">
        <v>9.25</v>
      </c>
      <c r="G10" s="449">
        <v>1.0</v>
      </c>
      <c r="H10" s="422"/>
      <c r="I10" s="457" t="s">
        <v>7</v>
      </c>
      <c r="J10" s="458">
        <v>8.517241379310345</v>
      </c>
      <c r="K10" s="459"/>
      <c r="L10" s="460"/>
      <c r="M10" s="448"/>
      <c r="N10" s="431"/>
    </row>
    <row r="11">
      <c r="A11" s="253" t="s">
        <v>774</v>
      </c>
      <c r="B11" s="440" t="s">
        <v>110</v>
      </c>
      <c r="C11" s="261"/>
      <c r="D11" s="422"/>
      <c r="E11" s="441" t="s">
        <v>781</v>
      </c>
      <c r="F11" s="442">
        <v>9.125</v>
      </c>
      <c r="G11" s="449">
        <v>2.0</v>
      </c>
      <c r="H11" s="422"/>
      <c r="I11" s="444" t="s">
        <v>11</v>
      </c>
      <c r="J11" s="445">
        <v>8.476744186046512</v>
      </c>
      <c r="K11" s="446"/>
      <c r="L11" s="447"/>
      <c r="M11" s="448"/>
      <c r="N11" s="431"/>
    </row>
    <row r="12">
      <c r="A12" s="253" t="s">
        <v>717</v>
      </c>
      <c r="B12" s="440">
        <f>AVERAGEIF('التقييم الدوري2 - المدراء'!E$2:E$80,A12,'التقييم الدوري2 - المدراء'!AD$2:AD$80)</f>
        <v>9.25</v>
      </c>
      <c r="C12" s="261"/>
      <c r="D12" s="422"/>
      <c r="E12" s="441" t="s">
        <v>134</v>
      </c>
      <c r="F12" s="442">
        <v>9.083333333333334</v>
      </c>
      <c r="G12" s="449">
        <v>6.0</v>
      </c>
      <c r="H12" s="422"/>
      <c r="I12" s="444" t="s">
        <v>13</v>
      </c>
      <c r="J12" s="445">
        <v>8.435294117647059</v>
      </c>
      <c r="K12" s="446"/>
      <c r="L12" s="447"/>
      <c r="M12" s="448"/>
      <c r="N12" s="431"/>
    </row>
    <row r="13">
      <c r="A13" s="253" t="s">
        <v>530</v>
      </c>
      <c r="B13" s="440">
        <f>AVERAGEIF('التقييم الدوري2 - المدراء'!E$2:E$80,A13,'التقييم الدوري2 - المدراء'!AD$2:AD$80)</f>
        <v>8</v>
      </c>
      <c r="C13" s="261"/>
      <c r="D13" s="422"/>
      <c r="E13" s="441" t="s">
        <v>775</v>
      </c>
      <c r="F13" s="442">
        <v>8.82827380952381</v>
      </c>
      <c r="G13" s="449">
        <v>4.0</v>
      </c>
      <c r="H13" s="422"/>
      <c r="I13" s="457" t="s">
        <v>5</v>
      </c>
      <c r="J13" s="458">
        <v>8.25287356321839</v>
      </c>
      <c r="K13" s="459"/>
      <c r="L13" s="447"/>
      <c r="M13" s="448"/>
      <c r="N13" s="431"/>
    </row>
    <row r="14">
      <c r="A14" s="253" t="s">
        <v>777</v>
      </c>
      <c r="B14" s="440">
        <f>AVERAGEIF('التقييم الدوري2 - المدراء'!E$2:E$80,A14,'التقييم الدوري2 - المدراء'!AD$2:AD$80)</f>
        <v>8.5</v>
      </c>
      <c r="C14" s="261"/>
      <c r="D14" s="422"/>
      <c r="E14" s="441" t="s">
        <v>195</v>
      </c>
      <c r="F14" s="442">
        <v>8.53125</v>
      </c>
      <c r="G14" s="449">
        <v>2.0</v>
      </c>
      <c r="H14" s="422"/>
      <c r="I14" s="453" t="s">
        <v>17</v>
      </c>
      <c r="J14" s="454">
        <v>8.25287356321839</v>
      </c>
      <c r="K14" s="455"/>
      <c r="L14" s="447"/>
      <c r="M14" s="448"/>
      <c r="N14" s="431"/>
    </row>
    <row r="15">
      <c r="A15" s="253" t="s">
        <v>248</v>
      </c>
      <c r="B15" s="440">
        <f>AVERAGEIF('التقييم الدوري2 - المدراء'!E$2:E$80,A15,'التقييم الدوري2 - المدراء'!AD$2:AD$80)</f>
        <v>6.291666667</v>
      </c>
      <c r="C15" s="261"/>
      <c r="D15" s="422"/>
      <c r="E15" s="441" t="s">
        <v>486</v>
      </c>
      <c r="F15" s="442">
        <v>8.5125</v>
      </c>
      <c r="G15" s="461">
        <v>5.0</v>
      </c>
      <c r="H15" s="422"/>
      <c r="I15" s="450" t="s">
        <v>22</v>
      </c>
      <c r="J15" s="451">
        <v>8.034883720930232</v>
      </c>
      <c r="K15" s="452"/>
      <c r="L15" s="447"/>
      <c r="M15" s="448"/>
      <c r="N15" s="431"/>
    </row>
    <row r="16">
      <c r="A16" s="253" t="s">
        <v>771</v>
      </c>
      <c r="B16" s="440">
        <f>AVERAGEIF('التقييم الدوري2 - المدراء'!E$2:E$80,A16,'التقييم الدوري2 - المدراء'!AD$2:AD$80)</f>
        <v>9.25</v>
      </c>
      <c r="C16" s="261"/>
      <c r="D16" s="422"/>
      <c r="E16" s="441" t="s">
        <v>777</v>
      </c>
      <c r="F16" s="442">
        <v>8.5</v>
      </c>
      <c r="G16" s="449">
        <v>1.0</v>
      </c>
      <c r="H16" s="422"/>
      <c r="I16" s="453" t="s">
        <v>18</v>
      </c>
      <c r="J16" s="454">
        <v>8.022988505747126</v>
      </c>
      <c r="K16" s="455"/>
      <c r="L16" s="447"/>
      <c r="M16" s="448"/>
      <c r="N16" s="431"/>
    </row>
    <row r="17">
      <c r="A17" s="253" t="s">
        <v>720</v>
      </c>
      <c r="B17" s="440">
        <f>AVERAGEIF('التقييم الدوري2 - المدراء'!E$2:E$80,A17,'التقييم الدوري2 - المدراء'!AD$2:AD$80)</f>
        <v>9.46875</v>
      </c>
      <c r="C17" s="261"/>
      <c r="D17" s="422"/>
      <c r="E17" s="441" t="s">
        <v>42</v>
      </c>
      <c r="F17" s="442">
        <v>8.427083333333334</v>
      </c>
      <c r="G17" s="449">
        <v>6.0</v>
      </c>
      <c r="H17" s="422"/>
      <c r="I17" s="457" t="s">
        <v>8</v>
      </c>
      <c r="J17" s="458">
        <v>8.011494252873563</v>
      </c>
      <c r="K17" s="459"/>
      <c r="L17" s="447"/>
      <c r="M17" s="448"/>
      <c r="N17" s="431"/>
    </row>
    <row r="18">
      <c r="A18" s="253" t="s">
        <v>109</v>
      </c>
      <c r="B18" s="440">
        <f>AVERAGEIF('التقييم الدوري2 - المدراء'!E$2:E$80,A18,'التقييم الدوري2 - المدراء'!AD$2:AD$80)</f>
        <v>7.883928571</v>
      </c>
      <c r="C18" s="261"/>
      <c r="D18" s="422"/>
      <c r="E18" s="441" t="s">
        <v>49</v>
      </c>
      <c r="F18" s="442">
        <v>8.15625</v>
      </c>
      <c r="G18" s="443">
        <v>2.0</v>
      </c>
      <c r="H18" s="422"/>
      <c r="I18" s="457" t="s">
        <v>6</v>
      </c>
      <c r="J18" s="458">
        <v>7.988505747126437</v>
      </c>
      <c r="K18" s="459"/>
      <c r="L18" s="447"/>
      <c r="M18" s="448"/>
      <c r="N18" s="431"/>
    </row>
    <row r="19">
      <c r="A19" s="253" t="s">
        <v>781</v>
      </c>
      <c r="B19" s="440">
        <f>AVERAGEIF('التقييم الدوري2 - المدراء'!E$2:E$80,A19,'التقييم الدوري2 - المدراء'!AD$2:AD$80)</f>
        <v>9.125</v>
      </c>
      <c r="C19" s="261"/>
      <c r="D19" s="422"/>
      <c r="E19" s="441" t="s">
        <v>530</v>
      </c>
      <c r="F19" s="442">
        <v>8.0</v>
      </c>
      <c r="G19" s="449">
        <v>3.0</v>
      </c>
      <c r="H19" s="422"/>
      <c r="I19" s="453" t="s">
        <v>15</v>
      </c>
      <c r="J19" s="454">
        <v>7.9655172413793105</v>
      </c>
      <c r="K19" s="455"/>
      <c r="L19" s="447"/>
      <c r="M19" s="448"/>
      <c r="N19" s="431"/>
    </row>
    <row r="20">
      <c r="A20" s="253" t="s">
        <v>134</v>
      </c>
      <c r="B20" s="440">
        <f>AVERAGEIF('التقييم الدوري2 - المدراء'!E$2:E$80,A20,'التقييم الدوري2 - المدراء'!AD$2:AD$80)</f>
        <v>9.083333333</v>
      </c>
      <c r="C20" s="261"/>
      <c r="D20" s="422"/>
      <c r="E20" s="441" t="s">
        <v>242</v>
      </c>
      <c r="F20" s="442">
        <v>8.0</v>
      </c>
      <c r="G20" s="449">
        <v>5.0</v>
      </c>
      <c r="H20" s="422"/>
      <c r="I20" s="450" t="s">
        <v>21</v>
      </c>
      <c r="J20" s="451">
        <v>7.390804597701149</v>
      </c>
      <c r="K20" s="452"/>
      <c r="L20" s="447"/>
      <c r="M20" s="448"/>
      <c r="N20" s="431"/>
    </row>
    <row r="21">
      <c r="A21" s="253" t="s">
        <v>775</v>
      </c>
      <c r="B21" s="440">
        <f>AVERAGEIF('التقييم الدوري2 - المدراء'!E$2:E$80,A21,'التقييم الدوري2 - المدراء'!AD$2:AD$80)</f>
        <v>8.82827381</v>
      </c>
      <c r="C21" s="261"/>
      <c r="D21" s="422"/>
      <c r="E21" s="441" t="s">
        <v>109</v>
      </c>
      <c r="F21" s="442">
        <v>7.883928571428571</v>
      </c>
      <c r="G21" s="449">
        <v>7.0</v>
      </c>
      <c r="H21" s="422"/>
      <c r="I21" s="462" t="s">
        <v>20</v>
      </c>
      <c r="J21" s="463">
        <v>6.764705882352941</v>
      </c>
      <c r="K21" s="452"/>
      <c r="L21" s="447"/>
      <c r="M21" s="448"/>
      <c r="N21" s="431"/>
    </row>
    <row r="22">
      <c r="A22" s="253" t="s">
        <v>242</v>
      </c>
      <c r="B22" s="440">
        <f>AVERAGEIF('التقييم الدوري2 - المدراء'!E$2:E$80,A22,'التقييم الدوري2 - المدراء'!AD$2:AD$80)</f>
        <v>7.975</v>
      </c>
      <c r="C22" s="261"/>
      <c r="D22" s="422"/>
      <c r="E22" s="441" t="s">
        <v>770</v>
      </c>
      <c r="F22" s="442">
        <v>7.875</v>
      </c>
      <c r="G22" s="449">
        <v>1.0</v>
      </c>
      <c r="H22" s="422"/>
      <c r="I22" s="464"/>
      <c r="J22" s="416"/>
      <c r="K22" s="465"/>
      <c r="L22" s="447"/>
      <c r="M22" s="448"/>
      <c r="N22" s="431"/>
    </row>
    <row r="23">
      <c r="A23" s="253" t="s">
        <v>782</v>
      </c>
      <c r="B23" s="440" t="str">
        <f>AVERAGEIF('التقييم الدوري2 - المدراء'!E$2:E$80,A23,'التقييم الدوري2 - المدراء'!AD$2:AD$80)</f>
        <v>#DIV/0!</v>
      </c>
      <c r="C23" s="261"/>
      <c r="D23" s="422"/>
      <c r="E23" s="441" t="s">
        <v>783</v>
      </c>
      <c r="F23" s="442">
        <v>7.875</v>
      </c>
      <c r="G23" s="443">
        <v>1.0</v>
      </c>
      <c r="H23" s="422"/>
      <c r="I23" s="466" t="s">
        <v>754</v>
      </c>
      <c r="J23" s="467">
        <v>8.676285437992359</v>
      </c>
      <c r="K23" s="465"/>
      <c r="L23" s="447"/>
      <c r="M23" s="448"/>
      <c r="N23" s="431"/>
    </row>
    <row r="24">
      <c r="A24" s="253" t="s">
        <v>783</v>
      </c>
      <c r="B24" s="440">
        <f>AVERAGEIF('التقييم الدوري2 - المدراء'!E$2:E$80,A24,'التقييم الدوري2 - المدراء'!AD$2:AD$80)</f>
        <v>7.875</v>
      </c>
      <c r="C24" s="261"/>
      <c r="D24" s="422"/>
      <c r="E24" s="441" t="s">
        <v>516</v>
      </c>
      <c r="F24" s="442">
        <v>7.71875</v>
      </c>
      <c r="G24" s="449">
        <v>4.0</v>
      </c>
      <c r="H24" s="422"/>
      <c r="I24" s="468" t="s">
        <v>755</v>
      </c>
      <c r="J24" s="469">
        <v>8.201149425287356</v>
      </c>
      <c r="K24" s="465"/>
      <c r="L24" s="447"/>
      <c r="M24" s="448"/>
      <c r="N24" s="431"/>
    </row>
    <row r="25">
      <c r="A25" s="253" t="s">
        <v>195</v>
      </c>
      <c r="B25" s="440">
        <f>AVERAGEIF('التقييم الدوري2 - المدراء'!E$2:E$80,A25,'التقييم الدوري2 - المدراء'!AD$2:AD$80)</f>
        <v>8.53125</v>
      </c>
      <c r="C25" s="261"/>
      <c r="D25" s="422"/>
      <c r="E25" s="441" t="s">
        <v>724</v>
      </c>
      <c r="F25" s="442">
        <v>7.476041666666667</v>
      </c>
      <c r="G25" s="449">
        <v>4.0</v>
      </c>
      <c r="H25" s="470"/>
      <c r="I25" s="471" t="s">
        <v>756</v>
      </c>
      <c r="J25" s="472">
        <v>8.192528735632184</v>
      </c>
      <c r="K25" s="465"/>
      <c r="L25" s="447"/>
      <c r="M25" s="448"/>
      <c r="N25" s="431"/>
    </row>
    <row r="26">
      <c r="A26" s="253" t="s">
        <v>516</v>
      </c>
      <c r="B26" s="440">
        <f>AVERAGEIF('التقييم الدوري2 - المدراء'!E$2:E$80,A26,'التقييم الدوري2 - المدراء'!AD$2:AD$80)</f>
        <v>7.71875</v>
      </c>
      <c r="C26" s="261"/>
      <c r="D26" s="422"/>
      <c r="E26" s="441" t="s">
        <v>113</v>
      </c>
      <c r="F26" s="442">
        <v>7.4375</v>
      </c>
      <c r="G26" s="449">
        <v>3.0</v>
      </c>
      <c r="H26" s="422"/>
      <c r="I26" s="473" t="s">
        <v>757</v>
      </c>
      <c r="J26" s="474">
        <v>7.700539726716668</v>
      </c>
      <c r="K26" s="465"/>
      <c r="L26" s="447"/>
      <c r="M26" s="448"/>
      <c r="N26" s="431"/>
    </row>
    <row r="27">
      <c r="A27" s="253" t="s">
        <v>49</v>
      </c>
      <c r="B27" s="440">
        <f>AVERAGEIF('التقييم الدوري2 - المدراء'!E$2:E$80,A27,'التقييم الدوري2 - المدراء'!AD$2:AD$80)</f>
        <v>8.15625</v>
      </c>
      <c r="C27" s="261"/>
      <c r="D27" s="422"/>
      <c r="E27" s="441" t="s">
        <v>33</v>
      </c>
      <c r="F27" s="442">
        <v>7.21875</v>
      </c>
      <c r="G27" s="449">
        <v>8.0</v>
      </c>
      <c r="H27" s="465"/>
      <c r="I27" s="420"/>
      <c r="J27" s="421"/>
      <c r="K27" s="465"/>
      <c r="L27" s="447"/>
      <c r="M27" s="448"/>
      <c r="N27" s="431"/>
    </row>
    <row r="28">
      <c r="A28" s="253" t="s">
        <v>113</v>
      </c>
      <c r="B28" s="440">
        <f>AVERAGEIF('التقييم الدوري2 - المدراء'!E$2:E$80,A28,'التقييم الدوري2 - المدراء'!AD$2:AD$80)</f>
        <v>7.4375</v>
      </c>
      <c r="C28" s="261"/>
      <c r="D28" s="422"/>
      <c r="E28" s="441" t="s">
        <v>241</v>
      </c>
      <c r="F28" s="442">
        <v>6.708333333333333</v>
      </c>
      <c r="G28" s="449">
        <v>6.0</v>
      </c>
      <c r="H28" s="465"/>
      <c r="I28" s="426"/>
      <c r="J28" s="427"/>
      <c r="K28" s="465"/>
      <c r="L28" s="447"/>
      <c r="M28" s="448"/>
      <c r="N28" s="431"/>
    </row>
    <row r="29">
      <c r="A29" s="253" t="s">
        <v>486</v>
      </c>
      <c r="B29" s="440">
        <f>AVERAGEIF('التقييم الدوري2 - المدراء'!E$2:E$80,A29,'التقييم الدوري2 - المدراء'!AD$2:AD$80)</f>
        <v>8.5125</v>
      </c>
      <c r="C29" s="261"/>
      <c r="D29" s="422"/>
      <c r="E29" s="475" t="s">
        <v>248</v>
      </c>
      <c r="F29" s="476">
        <v>6.291666666666667</v>
      </c>
      <c r="G29" s="477">
        <v>3.0</v>
      </c>
      <c r="H29" s="465"/>
      <c r="I29" s="426"/>
      <c r="J29" s="427"/>
      <c r="K29" s="465"/>
      <c r="L29" s="447"/>
      <c r="M29" s="478"/>
      <c r="N29" s="431"/>
    </row>
    <row r="30">
      <c r="A30" s="416"/>
      <c r="B30" s="416"/>
      <c r="C30" s="416"/>
      <c r="D30" s="422"/>
      <c r="E30" s="479"/>
      <c r="F30" s="420"/>
      <c r="G30" s="421"/>
      <c r="H30" s="465"/>
      <c r="I30" s="426"/>
      <c r="J30" s="427"/>
      <c r="K30" s="465"/>
      <c r="L30" s="427"/>
      <c r="M30" s="416"/>
      <c r="N30" s="416"/>
    </row>
    <row r="31">
      <c r="A31" s="416"/>
      <c r="B31" s="416"/>
      <c r="C31" s="416"/>
      <c r="D31" s="422"/>
      <c r="E31" s="465"/>
      <c r="F31" s="426"/>
      <c r="G31" s="427"/>
      <c r="H31" s="465"/>
      <c r="I31" s="426"/>
      <c r="J31" s="480"/>
      <c r="K31" s="481"/>
      <c r="L31" s="427"/>
      <c r="M31" s="416"/>
      <c r="N31" s="416"/>
    </row>
    <row r="32">
      <c r="A32" s="416"/>
      <c r="B32" s="416"/>
      <c r="C32" s="416"/>
      <c r="D32" s="422"/>
      <c r="E32" s="465"/>
      <c r="F32" s="426"/>
      <c r="G32" s="427"/>
      <c r="H32" s="465"/>
      <c r="I32" s="426"/>
      <c r="J32" s="427"/>
      <c r="K32" s="465"/>
      <c r="L32" s="427"/>
      <c r="M32" s="416"/>
      <c r="N32" s="416"/>
    </row>
    <row r="33">
      <c r="A33" s="416"/>
      <c r="B33" s="416"/>
      <c r="C33" s="416"/>
      <c r="D33" s="482"/>
      <c r="E33" s="483"/>
      <c r="F33" s="425"/>
      <c r="G33" s="484"/>
      <c r="H33" s="483"/>
      <c r="I33" s="425"/>
      <c r="J33" s="484"/>
      <c r="K33" s="483"/>
      <c r="L33" s="484"/>
      <c r="M33" s="416"/>
      <c r="N33" s="416"/>
    </row>
    <row r="34">
      <c r="A34" s="416"/>
      <c r="B34" s="416"/>
      <c r="C34" s="416"/>
      <c r="D34" s="416"/>
      <c r="E34" s="416"/>
      <c r="F34" s="416"/>
      <c r="G34" s="416"/>
      <c r="H34" s="416"/>
      <c r="I34" s="416"/>
      <c r="J34" s="416"/>
      <c r="K34" s="416"/>
      <c r="L34" s="485"/>
      <c r="M34" s="485"/>
      <c r="N34" s="485"/>
    </row>
    <row r="35">
      <c r="A35" s="416"/>
      <c r="B35" s="416"/>
      <c r="C35" s="416"/>
      <c r="D35" s="416"/>
      <c r="E35" s="416"/>
      <c r="F35" s="416"/>
      <c r="G35" s="416"/>
      <c r="H35" s="416"/>
      <c r="I35" s="416"/>
      <c r="J35" s="416"/>
      <c r="K35" s="416"/>
      <c r="L35" s="416"/>
      <c r="M35" s="416"/>
      <c r="N35" s="416"/>
    </row>
    <row r="36">
      <c r="A36" s="416"/>
      <c r="B36" s="416"/>
      <c r="C36" s="416"/>
      <c r="D36" s="416"/>
      <c r="E36" s="416"/>
      <c r="F36" s="416"/>
      <c r="G36" s="416"/>
      <c r="H36" s="416"/>
      <c r="I36" s="416"/>
      <c r="J36" s="416"/>
      <c r="K36" s="416"/>
      <c r="L36" s="416"/>
      <c r="M36" s="416"/>
      <c r="N36" s="416"/>
    </row>
    <row r="37">
      <c r="A37" s="416"/>
      <c r="B37" s="416"/>
      <c r="C37" s="416"/>
      <c r="D37" s="416"/>
      <c r="E37" s="416"/>
      <c r="F37" s="416"/>
      <c r="G37" s="416"/>
      <c r="H37" s="416"/>
      <c r="I37" s="416"/>
      <c r="J37" s="416"/>
      <c r="K37" s="416"/>
      <c r="L37" s="416"/>
      <c r="M37" s="416"/>
      <c r="N37" s="416"/>
    </row>
    <row r="38">
      <c r="A38" s="416"/>
      <c r="B38" s="416"/>
      <c r="C38" s="416"/>
      <c r="D38" s="416"/>
      <c r="E38" s="416"/>
      <c r="F38" s="416"/>
      <c r="G38" s="416"/>
      <c r="H38" s="416"/>
      <c r="I38" s="416"/>
      <c r="J38" s="416"/>
      <c r="K38" s="416"/>
      <c r="L38" s="416"/>
      <c r="M38" s="416"/>
      <c r="N38" s="416"/>
    </row>
    <row r="39">
      <c r="A39" s="416"/>
      <c r="B39" s="416"/>
      <c r="C39" s="416"/>
      <c r="D39" s="416"/>
      <c r="E39" s="416"/>
      <c r="F39" s="416"/>
      <c r="G39" s="416"/>
      <c r="H39" s="416"/>
      <c r="I39" s="416"/>
      <c r="J39" s="416"/>
      <c r="K39" s="416"/>
      <c r="L39" s="416"/>
      <c r="M39" s="416"/>
      <c r="N39" s="416"/>
    </row>
    <row r="40">
      <c r="A40" s="416"/>
      <c r="B40" s="416"/>
      <c r="C40" s="416"/>
      <c r="D40" s="416"/>
      <c r="E40" s="416"/>
      <c r="F40" s="416"/>
      <c r="G40" s="416"/>
      <c r="H40" s="416"/>
      <c r="I40" s="416"/>
      <c r="J40" s="416"/>
      <c r="K40" s="416"/>
      <c r="L40" s="416"/>
      <c r="M40" s="416"/>
      <c r="N40" s="416"/>
    </row>
    <row r="41">
      <c r="A41" s="416"/>
      <c r="B41" s="416"/>
      <c r="C41" s="416"/>
      <c r="D41" s="416"/>
      <c r="E41" s="416"/>
      <c r="F41" s="416"/>
      <c r="G41" s="416"/>
      <c r="H41" s="416"/>
      <c r="I41" s="416"/>
      <c r="J41" s="416"/>
      <c r="K41" s="416"/>
      <c r="L41" s="416"/>
      <c r="M41" s="416"/>
      <c r="N41" s="416"/>
    </row>
    <row r="42">
      <c r="A42" s="416"/>
      <c r="B42" s="416"/>
      <c r="C42" s="416"/>
      <c r="D42" s="416"/>
      <c r="E42" s="416"/>
      <c r="F42" s="416"/>
      <c r="G42" s="416"/>
      <c r="H42" s="416"/>
      <c r="I42" s="416"/>
      <c r="J42" s="416"/>
      <c r="K42" s="416"/>
      <c r="L42" s="416"/>
      <c r="M42" s="416"/>
      <c r="N42" s="416"/>
    </row>
    <row r="43">
      <c r="A43" s="416"/>
      <c r="B43" s="416"/>
      <c r="C43" s="416"/>
      <c r="D43" s="416"/>
      <c r="E43" s="416"/>
      <c r="F43" s="416"/>
      <c r="G43" s="416"/>
      <c r="H43" s="416"/>
      <c r="I43" s="416"/>
      <c r="J43" s="416"/>
      <c r="K43" s="416"/>
      <c r="L43" s="416"/>
      <c r="M43" s="416"/>
      <c r="N43" s="416"/>
    </row>
    <row r="44">
      <c r="A44" s="416"/>
      <c r="B44" s="416"/>
      <c r="C44" s="416"/>
      <c r="D44" s="416"/>
      <c r="E44" s="416"/>
      <c r="F44" s="416"/>
      <c r="G44" s="416"/>
      <c r="H44" s="416"/>
      <c r="I44" s="416"/>
      <c r="J44" s="416"/>
      <c r="K44" s="416"/>
      <c r="L44" s="416"/>
      <c r="M44" s="416"/>
      <c r="N44" s="416"/>
    </row>
    <row r="45">
      <c r="A45" s="416"/>
      <c r="B45" s="416"/>
      <c r="C45" s="416"/>
      <c r="D45" s="416"/>
      <c r="E45" s="416"/>
      <c r="F45" s="416"/>
      <c r="G45" s="416"/>
      <c r="H45" s="416"/>
      <c r="I45" s="416"/>
      <c r="J45" s="416"/>
      <c r="K45" s="416"/>
      <c r="L45" s="416"/>
      <c r="M45" s="416"/>
      <c r="N45" s="416"/>
    </row>
    <row r="46">
      <c r="A46" s="416"/>
      <c r="B46" s="416"/>
      <c r="C46" s="416"/>
      <c r="D46" s="416"/>
      <c r="E46" s="416"/>
      <c r="F46" s="416"/>
      <c r="G46" s="416"/>
      <c r="H46" s="416"/>
      <c r="I46" s="416"/>
      <c r="J46" s="416"/>
      <c r="K46" s="416"/>
      <c r="L46" s="416"/>
      <c r="M46" s="416"/>
      <c r="N46" s="416"/>
    </row>
    <row r="47">
      <c r="A47" s="416"/>
      <c r="B47" s="416"/>
      <c r="C47" s="416"/>
      <c r="D47" s="416"/>
      <c r="E47" s="416"/>
      <c r="F47" s="416"/>
      <c r="G47" s="416"/>
      <c r="H47" s="416"/>
      <c r="I47" s="416"/>
      <c r="J47" s="416"/>
      <c r="K47" s="416"/>
      <c r="L47" s="416"/>
      <c r="M47" s="416"/>
      <c r="N47" s="416"/>
    </row>
    <row r="48">
      <c r="A48" s="416"/>
      <c r="B48" s="416"/>
      <c r="C48" s="416"/>
      <c r="D48" s="416"/>
      <c r="E48" s="416"/>
      <c r="F48" s="416"/>
      <c r="G48" s="416"/>
      <c r="H48" s="416"/>
      <c r="I48" s="416"/>
      <c r="J48" s="416"/>
      <c r="K48" s="416"/>
      <c r="L48" s="416"/>
      <c r="M48" s="416"/>
      <c r="N48" s="416"/>
    </row>
    <row r="49">
      <c r="A49" s="416"/>
      <c r="B49" s="416"/>
      <c r="C49" s="416"/>
      <c r="D49" s="416"/>
      <c r="E49" s="416"/>
      <c r="F49" s="416"/>
      <c r="G49" s="416"/>
      <c r="H49" s="416"/>
      <c r="I49" s="416"/>
      <c r="J49" s="416"/>
      <c r="K49" s="416"/>
      <c r="L49" s="416"/>
      <c r="M49" s="416"/>
      <c r="N49" s="416"/>
    </row>
    <row r="50">
      <c r="A50" s="416"/>
      <c r="B50" s="416"/>
      <c r="C50" s="416"/>
      <c r="D50" s="416"/>
      <c r="E50" s="416"/>
      <c r="F50" s="416"/>
      <c r="G50" s="416"/>
      <c r="H50" s="416"/>
      <c r="I50" s="416"/>
      <c r="J50" s="416"/>
      <c r="K50" s="416"/>
      <c r="L50" s="416"/>
      <c r="M50" s="416"/>
      <c r="N50" s="416"/>
    </row>
    <row r="51">
      <c r="A51" s="416"/>
      <c r="B51" s="416"/>
      <c r="C51" s="416"/>
      <c r="D51" s="416"/>
      <c r="E51" s="416"/>
      <c r="F51" s="416"/>
      <c r="G51" s="416"/>
      <c r="H51" s="416"/>
      <c r="I51" s="416"/>
      <c r="J51" s="416"/>
      <c r="K51" s="416"/>
      <c r="L51" s="416"/>
      <c r="M51" s="416"/>
      <c r="N51" s="416"/>
    </row>
    <row r="52">
      <c r="A52" s="416"/>
      <c r="B52" s="416"/>
      <c r="C52" s="416"/>
      <c r="D52" s="416"/>
      <c r="E52" s="416"/>
      <c r="F52" s="416"/>
      <c r="G52" s="416"/>
      <c r="H52" s="416"/>
      <c r="I52" s="416"/>
      <c r="J52" s="416"/>
      <c r="K52" s="416"/>
      <c r="L52" s="416"/>
      <c r="M52" s="416"/>
      <c r="N52" s="416"/>
    </row>
    <row r="53">
      <c r="A53" s="416"/>
      <c r="B53" s="416"/>
      <c r="C53" s="416"/>
      <c r="D53" s="416"/>
      <c r="E53" s="416"/>
      <c r="F53" s="416"/>
      <c r="G53" s="416"/>
      <c r="H53" s="416"/>
      <c r="I53" s="416"/>
      <c r="J53" s="416"/>
      <c r="K53" s="416"/>
      <c r="L53" s="416"/>
      <c r="M53" s="416"/>
      <c r="N53" s="416"/>
    </row>
    <row r="54">
      <c r="A54" s="416"/>
      <c r="B54" s="416"/>
      <c r="C54" s="416"/>
      <c r="D54" s="416"/>
      <c r="E54" s="416"/>
      <c r="F54" s="416"/>
      <c r="G54" s="416"/>
      <c r="H54" s="416"/>
      <c r="I54" s="416"/>
      <c r="J54" s="416"/>
      <c r="K54" s="416"/>
      <c r="L54" s="416"/>
      <c r="M54" s="416"/>
      <c r="N54" s="416"/>
    </row>
    <row r="55">
      <c r="A55" s="416"/>
      <c r="B55" s="416"/>
      <c r="C55" s="416"/>
      <c r="D55" s="416"/>
      <c r="E55" s="416"/>
      <c r="F55" s="416"/>
      <c r="G55" s="416"/>
      <c r="H55" s="416"/>
      <c r="I55" s="416"/>
      <c r="J55" s="416"/>
      <c r="K55" s="416"/>
      <c r="L55" s="416"/>
      <c r="M55" s="416"/>
      <c r="N55" s="416"/>
    </row>
    <row r="56">
      <c r="A56" s="416"/>
      <c r="B56" s="416"/>
      <c r="C56" s="416"/>
      <c r="D56" s="416"/>
      <c r="E56" s="416"/>
      <c r="F56" s="416"/>
      <c r="G56" s="416"/>
      <c r="H56" s="416"/>
      <c r="I56" s="416"/>
      <c r="J56" s="416"/>
      <c r="K56" s="416"/>
      <c r="L56" s="416"/>
      <c r="M56" s="416"/>
      <c r="N56" s="416"/>
    </row>
    <row r="57">
      <c r="A57" s="416"/>
      <c r="B57" s="416"/>
      <c r="C57" s="416"/>
      <c r="D57" s="416"/>
      <c r="E57" s="416"/>
      <c r="F57" s="416"/>
      <c r="G57" s="416"/>
      <c r="H57" s="416"/>
      <c r="I57" s="416"/>
      <c r="J57" s="416"/>
      <c r="K57" s="416"/>
      <c r="L57" s="416"/>
      <c r="M57" s="416"/>
      <c r="N57" s="416"/>
    </row>
    <row r="58">
      <c r="A58" s="416"/>
      <c r="B58" s="416"/>
      <c r="C58" s="416"/>
      <c r="D58" s="416"/>
      <c r="E58" s="416"/>
      <c r="F58" s="416"/>
      <c r="G58" s="416"/>
      <c r="H58" s="416"/>
      <c r="I58" s="416"/>
      <c r="J58" s="416"/>
      <c r="K58" s="416"/>
      <c r="L58" s="416"/>
      <c r="M58" s="416"/>
      <c r="N58" s="416"/>
    </row>
    <row r="59">
      <c r="A59" s="416"/>
      <c r="B59" s="416"/>
      <c r="C59" s="416"/>
      <c r="D59" s="416"/>
      <c r="E59" s="416"/>
      <c r="F59" s="416"/>
      <c r="G59" s="416"/>
      <c r="H59" s="416"/>
      <c r="I59" s="416"/>
      <c r="J59" s="416"/>
      <c r="K59" s="416"/>
      <c r="L59" s="416"/>
      <c r="M59" s="416"/>
      <c r="N59" s="416"/>
    </row>
    <row r="60">
      <c r="A60" s="416"/>
      <c r="B60" s="416"/>
      <c r="C60" s="416"/>
      <c r="D60" s="416"/>
      <c r="E60" s="416"/>
      <c r="F60" s="416"/>
      <c r="G60" s="416"/>
      <c r="H60" s="416"/>
      <c r="I60" s="416"/>
      <c r="J60" s="416"/>
      <c r="K60" s="416"/>
      <c r="L60" s="416"/>
      <c r="M60" s="416"/>
      <c r="N60" s="416"/>
    </row>
    <row r="61">
      <c r="A61" s="416"/>
      <c r="B61" s="416"/>
      <c r="C61" s="416"/>
      <c r="D61" s="416"/>
      <c r="E61" s="416"/>
      <c r="F61" s="416"/>
      <c r="G61" s="416"/>
      <c r="H61" s="416"/>
      <c r="I61" s="416"/>
      <c r="J61" s="416"/>
      <c r="K61" s="416"/>
      <c r="L61" s="416"/>
      <c r="M61" s="416"/>
      <c r="N61" s="416"/>
    </row>
    <row r="62">
      <c r="A62" s="416"/>
      <c r="B62" s="416"/>
      <c r="C62" s="416"/>
      <c r="D62" s="416"/>
      <c r="E62" s="416"/>
      <c r="F62" s="416"/>
      <c r="G62" s="416"/>
      <c r="H62" s="416"/>
      <c r="I62" s="416"/>
      <c r="J62" s="416"/>
      <c r="K62" s="416"/>
      <c r="L62" s="416"/>
      <c r="M62" s="416"/>
      <c r="N62" s="416"/>
    </row>
    <row r="63">
      <c r="A63" s="416"/>
      <c r="B63" s="416"/>
      <c r="C63" s="416"/>
      <c r="D63" s="416"/>
      <c r="E63" s="416"/>
      <c r="F63" s="416"/>
      <c r="G63" s="416"/>
      <c r="H63" s="416"/>
      <c r="I63" s="416"/>
      <c r="J63" s="416"/>
      <c r="K63" s="416"/>
      <c r="L63" s="416"/>
      <c r="M63" s="416"/>
      <c r="N63" s="416"/>
    </row>
    <row r="64">
      <c r="A64" s="416"/>
      <c r="B64" s="416"/>
      <c r="C64" s="416"/>
      <c r="D64" s="416"/>
      <c r="E64" s="416"/>
      <c r="F64" s="416"/>
      <c r="G64" s="416"/>
      <c r="H64" s="416"/>
      <c r="I64" s="416"/>
      <c r="J64" s="416"/>
      <c r="K64" s="416"/>
      <c r="L64" s="416"/>
      <c r="M64" s="416"/>
      <c r="N64" s="416"/>
    </row>
    <row r="65">
      <c r="A65" s="416"/>
      <c r="B65" s="416"/>
      <c r="C65" s="416"/>
      <c r="D65" s="416"/>
      <c r="E65" s="416"/>
      <c r="F65" s="416"/>
      <c r="G65" s="416"/>
      <c r="H65" s="416"/>
      <c r="I65" s="416"/>
      <c r="J65" s="416"/>
      <c r="K65" s="416"/>
      <c r="L65" s="416"/>
      <c r="M65" s="416"/>
      <c r="N65" s="416"/>
    </row>
    <row r="66">
      <c r="A66" s="416"/>
      <c r="B66" s="416"/>
      <c r="C66" s="416"/>
      <c r="D66" s="416"/>
      <c r="E66" s="416"/>
      <c r="F66" s="416"/>
      <c r="G66" s="416"/>
      <c r="H66" s="416"/>
      <c r="I66" s="416"/>
      <c r="J66" s="416"/>
      <c r="K66" s="416"/>
      <c r="L66" s="416"/>
      <c r="M66" s="416"/>
      <c r="N66" s="416"/>
    </row>
    <row r="67">
      <c r="A67" s="416"/>
      <c r="B67" s="416"/>
      <c r="C67" s="416"/>
      <c r="D67" s="416"/>
      <c r="E67" s="416"/>
      <c r="F67" s="416"/>
      <c r="G67" s="416"/>
      <c r="H67" s="416"/>
      <c r="I67" s="416"/>
      <c r="J67" s="416"/>
      <c r="K67" s="416"/>
      <c r="L67" s="416"/>
      <c r="M67" s="416"/>
      <c r="N67" s="416"/>
    </row>
    <row r="68">
      <c r="A68" s="416"/>
      <c r="B68" s="416"/>
      <c r="C68" s="416"/>
      <c r="D68" s="416"/>
      <c r="E68" s="416"/>
      <c r="F68" s="416"/>
      <c r="G68" s="416"/>
      <c r="H68" s="416"/>
      <c r="I68" s="416"/>
      <c r="J68" s="416"/>
      <c r="K68" s="416"/>
      <c r="L68" s="416"/>
      <c r="M68" s="416"/>
      <c r="N68" s="416"/>
    </row>
    <row r="69">
      <c r="A69" s="416"/>
      <c r="B69" s="416"/>
      <c r="C69" s="416"/>
      <c r="D69" s="416"/>
      <c r="E69" s="416"/>
      <c r="F69" s="416"/>
      <c r="G69" s="416"/>
      <c r="H69" s="416"/>
      <c r="I69" s="416"/>
      <c r="J69" s="416"/>
      <c r="K69" s="416"/>
      <c r="L69" s="416"/>
      <c r="M69" s="416"/>
      <c r="N69" s="416"/>
    </row>
    <row r="70">
      <c r="A70" s="416"/>
      <c r="B70" s="416"/>
      <c r="C70" s="416"/>
      <c r="D70" s="416"/>
      <c r="E70" s="416"/>
      <c r="F70" s="416"/>
      <c r="G70" s="416"/>
      <c r="H70" s="416"/>
      <c r="I70" s="416"/>
      <c r="J70" s="416"/>
      <c r="K70" s="416"/>
      <c r="L70" s="416"/>
      <c r="M70" s="416"/>
      <c r="N70" s="416"/>
    </row>
    <row r="71">
      <c r="A71" s="416"/>
      <c r="B71" s="416"/>
      <c r="C71" s="416"/>
      <c r="D71" s="416"/>
      <c r="E71" s="416"/>
      <c r="F71" s="416"/>
      <c r="G71" s="416"/>
      <c r="H71" s="416"/>
      <c r="I71" s="416"/>
      <c r="J71" s="416"/>
      <c r="K71" s="416"/>
      <c r="L71" s="416"/>
      <c r="M71" s="416"/>
      <c r="N71" s="416"/>
    </row>
    <row r="72">
      <c r="A72" s="416"/>
      <c r="B72" s="416"/>
      <c r="C72" s="416"/>
      <c r="D72" s="416"/>
      <c r="E72" s="416"/>
      <c r="F72" s="416"/>
      <c r="G72" s="416"/>
      <c r="H72" s="416"/>
      <c r="I72" s="416"/>
      <c r="J72" s="416"/>
      <c r="K72" s="416"/>
      <c r="L72" s="416"/>
      <c r="M72" s="416"/>
      <c r="N72" s="416"/>
    </row>
    <row r="73">
      <c r="A73" s="416"/>
      <c r="B73" s="416"/>
      <c r="C73" s="416"/>
      <c r="D73" s="416"/>
      <c r="E73" s="416"/>
      <c r="F73" s="416"/>
      <c r="G73" s="416"/>
      <c r="H73" s="416"/>
      <c r="I73" s="416"/>
      <c r="J73" s="416"/>
      <c r="K73" s="416"/>
      <c r="L73" s="416"/>
      <c r="M73" s="416"/>
      <c r="N73" s="416"/>
    </row>
    <row r="74">
      <c r="A74" s="416"/>
      <c r="B74" s="416"/>
      <c r="C74" s="416"/>
      <c r="D74" s="416"/>
      <c r="E74" s="416"/>
      <c r="F74" s="416"/>
      <c r="G74" s="416"/>
      <c r="H74" s="416"/>
      <c r="I74" s="416"/>
      <c r="J74" s="416"/>
      <c r="K74" s="416"/>
      <c r="L74" s="416"/>
      <c r="M74" s="416"/>
      <c r="N74" s="416"/>
    </row>
    <row r="75">
      <c r="A75" s="416"/>
      <c r="B75" s="416"/>
      <c r="C75" s="416"/>
      <c r="D75" s="416"/>
      <c r="E75" s="416"/>
      <c r="F75" s="416"/>
      <c r="G75" s="416"/>
      <c r="H75" s="416"/>
      <c r="I75" s="416"/>
      <c r="J75" s="416"/>
      <c r="K75" s="416"/>
      <c r="L75" s="416"/>
      <c r="M75" s="416"/>
      <c r="N75" s="416"/>
    </row>
    <row r="76">
      <c r="A76" s="416"/>
      <c r="B76" s="416"/>
      <c r="C76" s="416"/>
      <c r="D76" s="416"/>
      <c r="E76" s="416"/>
      <c r="F76" s="416"/>
      <c r="G76" s="416"/>
      <c r="H76" s="416"/>
      <c r="I76" s="416"/>
      <c r="J76" s="416"/>
      <c r="K76" s="416"/>
      <c r="L76" s="416"/>
      <c r="M76" s="416"/>
      <c r="N76" s="416"/>
    </row>
    <row r="77">
      <c r="A77" s="416"/>
      <c r="B77" s="416"/>
      <c r="C77" s="416"/>
      <c r="D77" s="416"/>
      <c r="E77" s="416"/>
      <c r="F77" s="416"/>
      <c r="G77" s="416"/>
      <c r="H77" s="416"/>
      <c r="I77" s="416"/>
      <c r="J77" s="416"/>
      <c r="K77" s="416"/>
      <c r="L77" s="416"/>
      <c r="M77" s="416"/>
      <c r="N77" s="416"/>
    </row>
    <row r="78">
      <c r="A78" s="416"/>
      <c r="B78" s="416"/>
      <c r="C78" s="416"/>
      <c r="D78" s="416"/>
      <c r="E78" s="416"/>
      <c r="F78" s="416"/>
      <c r="G78" s="416"/>
      <c r="H78" s="416"/>
      <c r="I78" s="416"/>
      <c r="J78" s="416"/>
      <c r="K78" s="416"/>
      <c r="L78" s="416"/>
      <c r="M78" s="416"/>
      <c r="N78" s="416"/>
    </row>
    <row r="79">
      <c r="A79" s="416"/>
      <c r="B79" s="416"/>
      <c r="C79" s="416"/>
      <c r="D79" s="416"/>
      <c r="E79" s="416"/>
      <c r="F79" s="416"/>
      <c r="G79" s="416"/>
      <c r="H79" s="416"/>
      <c r="I79" s="416"/>
      <c r="J79" s="416"/>
      <c r="K79" s="416"/>
      <c r="L79" s="416"/>
      <c r="M79" s="416"/>
      <c r="N79" s="416"/>
    </row>
    <row r="80">
      <c r="A80" s="416"/>
      <c r="B80" s="416"/>
      <c r="C80" s="416"/>
      <c r="D80" s="416"/>
      <c r="E80" s="416"/>
      <c r="F80" s="416"/>
      <c r="G80" s="416"/>
      <c r="H80" s="416"/>
      <c r="I80" s="416"/>
      <c r="J80" s="416"/>
      <c r="K80" s="416"/>
      <c r="L80" s="416"/>
      <c r="M80" s="416"/>
      <c r="N80" s="416"/>
    </row>
    <row r="81">
      <c r="A81" s="416"/>
      <c r="B81" s="416"/>
      <c r="C81" s="416"/>
      <c r="D81" s="416"/>
      <c r="E81" s="416"/>
      <c r="F81" s="416"/>
      <c r="G81" s="416"/>
      <c r="H81" s="416"/>
      <c r="I81" s="416"/>
      <c r="J81" s="416"/>
      <c r="K81" s="416"/>
      <c r="L81" s="416"/>
      <c r="M81" s="416"/>
      <c r="N81" s="416"/>
    </row>
    <row r="82">
      <c r="A82" s="416"/>
      <c r="B82" s="416"/>
      <c r="C82" s="416"/>
      <c r="D82" s="416"/>
      <c r="E82" s="416"/>
      <c r="F82" s="416"/>
      <c r="G82" s="416"/>
      <c r="H82" s="416"/>
      <c r="I82" s="416"/>
      <c r="J82" s="416"/>
      <c r="K82" s="416"/>
      <c r="L82" s="416"/>
      <c r="M82" s="416"/>
      <c r="N82" s="416"/>
    </row>
    <row r="83">
      <c r="A83" s="416"/>
      <c r="B83" s="416"/>
      <c r="C83" s="416"/>
      <c r="D83" s="416"/>
      <c r="E83" s="416"/>
      <c r="F83" s="416"/>
      <c r="G83" s="416"/>
      <c r="H83" s="416"/>
      <c r="I83" s="416"/>
      <c r="J83" s="416"/>
      <c r="K83" s="416"/>
      <c r="L83" s="416"/>
      <c r="M83" s="416"/>
      <c r="N83" s="416"/>
    </row>
    <row r="84">
      <c r="A84" s="416"/>
      <c r="B84" s="416"/>
      <c r="C84" s="416"/>
      <c r="D84" s="416"/>
      <c r="E84" s="416"/>
      <c r="F84" s="416"/>
      <c r="G84" s="416"/>
      <c r="H84" s="416"/>
      <c r="I84" s="416"/>
      <c r="J84" s="416"/>
      <c r="K84" s="416"/>
      <c r="L84" s="416"/>
      <c r="M84" s="416"/>
      <c r="N84" s="416"/>
    </row>
    <row r="85">
      <c r="A85" s="416"/>
      <c r="B85" s="416"/>
      <c r="C85" s="416"/>
      <c r="D85" s="416"/>
      <c r="E85" s="416"/>
      <c r="F85" s="416"/>
      <c r="G85" s="416"/>
      <c r="H85" s="416"/>
      <c r="I85" s="416"/>
      <c r="J85" s="416"/>
      <c r="K85" s="416"/>
      <c r="L85" s="416"/>
      <c r="M85" s="416"/>
      <c r="N85" s="416"/>
    </row>
    <row r="86">
      <c r="A86" s="416"/>
      <c r="B86" s="416"/>
      <c r="C86" s="416"/>
      <c r="D86" s="416"/>
      <c r="E86" s="416"/>
      <c r="F86" s="416"/>
      <c r="G86" s="416"/>
      <c r="H86" s="416"/>
      <c r="I86" s="416"/>
      <c r="J86" s="416"/>
      <c r="K86" s="416"/>
      <c r="L86" s="416"/>
      <c r="M86" s="416"/>
      <c r="N86" s="416"/>
    </row>
    <row r="87">
      <c r="A87" s="416"/>
      <c r="B87" s="416"/>
      <c r="C87" s="416"/>
      <c r="D87" s="416"/>
      <c r="E87" s="416"/>
      <c r="F87" s="416"/>
      <c r="G87" s="416"/>
      <c r="H87" s="416"/>
      <c r="I87" s="416"/>
      <c r="J87" s="416"/>
      <c r="K87" s="416"/>
      <c r="L87" s="416"/>
      <c r="M87" s="416"/>
      <c r="N87" s="416"/>
    </row>
    <row r="88">
      <c r="A88" s="416"/>
      <c r="B88" s="416"/>
      <c r="C88" s="416"/>
      <c r="D88" s="416"/>
      <c r="E88" s="416"/>
      <c r="F88" s="416"/>
      <c r="G88" s="416"/>
      <c r="H88" s="416"/>
      <c r="I88" s="416"/>
      <c r="J88" s="416"/>
      <c r="K88" s="416"/>
      <c r="L88" s="416"/>
      <c r="M88" s="416"/>
      <c r="N88" s="416"/>
    </row>
    <row r="89">
      <c r="A89" s="416"/>
      <c r="B89" s="416"/>
      <c r="C89" s="416"/>
      <c r="D89" s="416"/>
      <c r="E89" s="416"/>
      <c r="F89" s="416"/>
      <c r="G89" s="416"/>
      <c r="H89" s="416"/>
      <c r="I89" s="416"/>
      <c r="J89" s="416"/>
      <c r="K89" s="416"/>
      <c r="L89" s="416"/>
      <c r="M89" s="416"/>
      <c r="N89" s="416"/>
    </row>
    <row r="90">
      <c r="A90" s="416"/>
      <c r="B90" s="416"/>
      <c r="C90" s="416"/>
      <c r="D90" s="416"/>
      <c r="E90" s="416"/>
      <c r="F90" s="416"/>
      <c r="G90" s="416"/>
      <c r="H90" s="416"/>
      <c r="I90" s="416"/>
      <c r="J90" s="416"/>
      <c r="K90" s="416"/>
      <c r="L90" s="416"/>
      <c r="M90" s="416"/>
      <c r="N90" s="416"/>
    </row>
    <row r="91">
      <c r="A91" s="416"/>
      <c r="B91" s="416"/>
      <c r="C91" s="416"/>
      <c r="D91" s="416"/>
      <c r="E91" s="416"/>
      <c r="F91" s="416"/>
      <c r="G91" s="416"/>
      <c r="H91" s="416"/>
      <c r="I91" s="416"/>
      <c r="J91" s="416"/>
      <c r="K91" s="416"/>
      <c r="L91" s="416"/>
      <c r="M91" s="416"/>
      <c r="N91" s="416"/>
    </row>
    <row r="92">
      <c r="A92" s="416"/>
      <c r="B92" s="416"/>
      <c r="C92" s="416"/>
      <c r="D92" s="416"/>
      <c r="E92" s="416"/>
      <c r="F92" s="416"/>
      <c r="G92" s="416"/>
      <c r="H92" s="416"/>
      <c r="I92" s="416"/>
      <c r="J92" s="416"/>
      <c r="K92" s="416"/>
      <c r="L92" s="416"/>
      <c r="M92" s="416"/>
      <c r="N92" s="416"/>
    </row>
    <row r="93">
      <c r="A93" s="416"/>
      <c r="B93" s="416"/>
      <c r="C93" s="416"/>
      <c r="D93" s="416"/>
      <c r="E93" s="416"/>
      <c r="F93" s="416"/>
      <c r="G93" s="416"/>
      <c r="H93" s="416"/>
      <c r="I93" s="416"/>
      <c r="J93" s="416"/>
      <c r="K93" s="416"/>
      <c r="L93" s="416"/>
      <c r="M93" s="416"/>
      <c r="N93" s="416"/>
    </row>
    <row r="94">
      <c r="A94" s="416"/>
      <c r="B94" s="416"/>
      <c r="C94" s="416"/>
      <c r="D94" s="416"/>
      <c r="E94" s="416"/>
      <c r="F94" s="416"/>
      <c r="G94" s="416"/>
      <c r="H94" s="416"/>
      <c r="I94" s="416"/>
      <c r="J94" s="416"/>
      <c r="K94" s="416"/>
      <c r="L94" s="416"/>
      <c r="M94" s="416"/>
      <c r="N94" s="416"/>
    </row>
    <row r="95">
      <c r="A95" s="416"/>
      <c r="B95" s="416"/>
      <c r="C95" s="416"/>
      <c r="D95" s="416"/>
      <c r="E95" s="416"/>
      <c r="F95" s="416"/>
      <c r="G95" s="416"/>
      <c r="H95" s="416"/>
      <c r="I95" s="416"/>
      <c r="J95" s="416"/>
      <c r="K95" s="416"/>
      <c r="L95" s="416"/>
      <c r="M95" s="416"/>
      <c r="N95" s="416"/>
    </row>
    <row r="96">
      <c r="A96" s="416"/>
      <c r="B96" s="416"/>
      <c r="C96" s="416"/>
      <c r="D96" s="416"/>
      <c r="E96" s="416"/>
      <c r="F96" s="416"/>
      <c r="G96" s="416"/>
      <c r="H96" s="416"/>
      <c r="I96" s="416"/>
      <c r="J96" s="416"/>
      <c r="K96" s="416"/>
      <c r="L96" s="416"/>
      <c r="M96" s="416"/>
      <c r="N96" s="416"/>
    </row>
    <row r="97">
      <c r="A97" s="416"/>
      <c r="B97" s="416"/>
      <c r="C97" s="416"/>
      <c r="D97" s="416"/>
      <c r="E97" s="416"/>
      <c r="F97" s="416"/>
      <c r="G97" s="416"/>
      <c r="H97" s="416"/>
      <c r="I97" s="416"/>
      <c r="J97" s="416"/>
      <c r="K97" s="416"/>
      <c r="L97" s="416"/>
      <c r="M97" s="416"/>
      <c r="N97" s="416"/>
    </row>
    <row r="98">
      <c r="A98" s="416"/>
      <c r="B98" s="416"/>
      <c r="C98" s="416"/>
      <c r="D98" s="416"/>
      <c r="E98" s="416"/>
      <c r="F98" s="416"/>
      <c r="G98" s="416"/>
      <c r="H98" s="416"/>
      <c r="I98" s="416"/>
      <c r="J98" s="416"/>
      <c r="K98" s="416"/>
      <c r="L98" s="416"/>
      <c r="M98" s="416"/>
      <c r="N98" s="416"/>
    </row>
    <row r="99">
      <c r="A99" s="416"/>
      <c r="B99" s="416"/>
      <c r="C99" s="416"/>
      <c r="D99" s="416"/>
      <c r="E99" s="416"/>
      <c r="F99" s="416"/>
      <c r="G99" s="416"/>
      <c r="H99" s="416"/>
      <c r="I99" s="416"/>
      <c r="J99" s="416"/>
      <c r="K99" s="416"/>
      <c r="L99" s="416"/>
      <c r="M99" s="416"/>
      <c r="N99" s="416"/>
    </row>
    <row r="100">
      <c r="A100" s="416"/>
      <c r="B100" s="416"/>
      <c r="C100" s="416"/>
      <c r="D100" s="416"/>
      <c r="E100" s="416"/>
      <c r="F100" s="416"/>
      <c r="G100" s="416"/>
      <c r="H100" s="416"/>
      <c r="I100" s="416"/>
      <c r="J100" s="416"/>
      <c r="K100" s="416"/>
      <c r="L100" s="416"/>
      <c r="M100" s="416"/>
      <c r="N100" s="416"/>
    </row>
    <row r="101">
      <c r="A101" s="416"/>
      <c r="B101" s="416"/>
      <c r="C101" s="416"/>
      <c r="D101" s="416"/>
      <c r="E101" s="416"/>
      <c r="F101" s="416"/>
      <c r="G101" s="416"/>
      <c r="H101" s="416"/>
      <c r="I101" s="416"/>
      <c r="J101" s="416"/>
      <c r="K101" s="416"/>
      <c r="L101" s="416"/>
      <c r="M101" s="416"/>
      <c r="N101" s="416"/>
    </row>
    <row r="102">
      <c r="A102" s="416"/>
      <c r="B102" s="416"/>
      <c r="C102" s="416"/>
      <c r="D102" s="416"/>
      <c r="E102" s="416"/>
      <c r="F102" s="416"/>
      <c r="G102" s="416"/>
      <c r="H102" s="416"/>
      <c r="I102" s="416"/>
      <c r="J102" s="416"/>
      <c r="K102" s="416"/>
      <c r="L102" s="416"/>
      <c r="M102" s="416"/>
      <c r="N102" s="416"/>
    </row>
    <row r="103">
      <c r="A103" s="416"/>
      <c r="B103" s="416"/>
      <c r="C103" s="416"/>
      <c r="D103" s="416"/>
      <c r="E103" s="416"/>
      <c r="F103" s="416"/>
      <c r="G103" s="416"/>
      <c r="H103" s="416"/>
      <c r="I103" s="416"/>
      <c r="J103" s="416"/>
      <c r="K103" s="416"/>
      <c r="L103" s="416"/>
      <c r="M103" s="416"/>
      <c r="N103" s="416"/>
    </row>
    <row r="104">
      <c r="A104" s="416"/>
      <c r="B104" s="416"/>
      <c r="C104" s="416"/>
      <c r="D104" s="416"/>
      <c r="E104" s="416"/>
      <c r="F104" s="416"/>
      <c r="G104" s="416"/>
      <c r="H104" s="416"/>
      <c r="I104" s="416"/>
      <c r="J104" s="416"/>
      <c r="K104" s="416"/>
      <c r="L104" s="416"/>
      <c r="M104" s="416"/>
      <c r="N104" s="416"/>
    </row>
    <row r="105">
      <c r="A105" s="416"/>
      <c r="B105" s="416"/>
      <c r="C105" s="416"/>
      <c r="D105" s="416"/>
      <c r="E105" s="416"/>
      <c r="F105" s="416"/>
      <c r="G105" s="416"/>
      <c r="H105" s="416"/>
      <c r="I105" s="416"/>
      <c r="J105" s="416"/>
      <c r="K105" s="416"/>
      <c r="L105" s="416"/>
      <c r="M105" s="416"/>
      <c r="N105" s="416"/>
    </row>
    <row r="106">
      <c r="A106" s="416"/>
      <c r="B106" s="416"/>
      <c r="C106" s="416"/>
      <c r="D106" s="416"/>
      <c r="E106" s="416"/>
      <c r="F106" s="416"/>
      <c r="G106" s="416"/>
      <c r="H106" s="416"/>
      <c r="I106" s="416"/>
      <c r="J106" s="416"/>
      <c r="K106" s="416"/>
      <c r="L106" s="416"/>
      <c r="M106" s="416"/>
      <c r="N106" s="416"/>
    </row>
    <row r="107">
      <c r="A107" s="416"/>
      <c r="B107" s="416"/>
      <c r="C107" s="416"/>
      <c r="D107" s="416"/>
      <c r="E107" s="416"/>
      <c r="F107" s="416"/>
      <c r="G107" s="416"/>
      <c r="H107" s="416"/>
      <c r="I107" s="416"/>
      <c r="J107" s="416"/>
      <c r="K107" s="416"/>
      <c r="L107" s="416"/>
      <c r="M107" s="416"/>
      <c r="N107" s="416"/>
    </row>
    <row r="108">
      <c r="A108" s="416"/>
      <c r="B108" s="416"/>
      <c r="C108" s="416"/>
      <c r="D108" s="416"/>
      <c r="E108" s="416"/>
      <c r="F108" s="416"/>
      <c r="G108" s="416"/>
      <c r="H108" s="416"/>
      <c r="I108" s="416"/>
      <c r="J108" s="416"/>
      <c r="K108" s="416"/>
      <c r="L108" s="416"/>
      <c r="M108" s="416"/>
      <c r="N108" s="416"/>
    </row>
    <row r="109">
      <c r="A109" s="416"/>
      <c r="B109" s="416"/>
      <c r="C109" s="416"/>
      <c r="D109" s="416"/>
      <c r="E109" s="416"/>
      <c r="F109" s="416"/>
      <c r="G109" s="416"/>
      <c r="H109" s="416"/>
      <c r="I109" s="416"/>
      <c r="J109" s="416"/>
      <c r="K109" s="416"/>
      <c r="L109" s="416"/>
      <c r="M109" s="416"/>
      <c r="N109" s="416"/>
    </row>
    <row r="110">
      <c r="A110" s="416"/>
      <c r="B110" s="416"/>
      <c r="C110" s="416"/>
      <c r="D110" s="416"/>
      <c r="E110" s="416"/>
      <c r="F110" s="416"/>
      <c r="G110" s="416"/>
      <c r="H110" s="416"/>
      <c r="I110" s="416"/>
      <c r="J110" s="416"/>
      <c r="K110" s="416"/>
      <c r="L110" s="416"/>
      <c r="M110" s="416"/>
      <c r="N110" s="416"/>
    </row>
    <row r="111">
      <c r="A111" s="416"/>
      <c r="B111" s="416"/>
      <c r="C111" s="416"/>
      <c r="D111" s="416"/>
      <c r="E111" s="416"/>
      <c r="F111" s="416"/>
      <c r="G111" s="416"/>
      <c r="H111" s="416"/>
      <c r="I111" s="416"/>
      <c r="J111" s="416"/>
      <c r="K111" s="416"/>
      <c r="L111" s="416"/>
      <c r="M111" s="416"/>
      <c r="N111" s="416"/>
    </row>
    <row r="112">
      <c r="A112" s="416"/>
      <c r="B112" s="416"/>
      <c r="C112" s="416"/>
      <c r="D112" s="416"/>
      <c r="E112" s="416"/>
      <c r="F112" s="416"/>
      <c r="G112" s="416"/>
      <c r="H112" s="416"/>
      <c r="I112" s="416"/>
      <c r="J112" s="416"/>
      <c r="K112" s="416"/>
      <c r="L112" s="416"/>
      <c r="M112" s="416"/>
      <c r="N112" s="416"/>
    </row>
    <row r="113">
      <c r="A113" s="416"/>
      <c r="B113" s="416"/>
      <c r="C113" s="416"/>
      <c r="D113" s="416"/>
      <c r="E113" s="416"/>
      <c r="F113" s="416"/>
      <c r="G113" s="416"/>
      <c r="H113" s="416"/>
      <c r="I113" s="416"/>
      <c r="J113" s="416"/>
      <c r="K113" s="416"/>
      <c r="L113" s="416"/>
      <c r="M113" s="416"/>
      <c r="N113" s="416"/>
    </row>
    <row r="114">
      <c r="A114" s="416"/>
      <c r="B114" s="416"/>
      <c r="C114" s="416"/>
      <c r="D114" s="416"/>
      <c r="E114" s="416"/>
      <c r="F114" s="416"/>
      <c r="G114" s="416"/>
      <c r="H114" s="416"/>
      <c r="I114" s="416"/>
      <c r="J114" s="416"/>
      <c r="K114" s="416"/>
      <c r="L114" s="416"/>
      <c r="M114" s="416"/>
      <c r="N114" s="416"/>
    </row>
    <row r="115">
      <c r="A115" s="416"/>
      <c r="B115" s="416"/>
      <c r="C115" s="416"/>
      <c r="D115" s="416"/>
      <c r="E115" s="416"/>
      <c r="F115" s="416"/>
      <c r="G115" s="416"/>
      <c r="H115" s="416"/>
      <c r="I115" s="416"/>
      <c r="J115" s="416"/>
      <c r="K115" s="416"/>
      <c r="L115" s="416"/>
      <c r="M115" s="416"/>
      <c r="N115" s="416"/>
    </row>
    <row r="116">
      <c r="A116" s="416"/>
      <c r="B116" s="416"/>
      <c r="C116" s="416"/>
      <c r="D116" s="416"/>
      <c r="E116" s="416"/>
      <c r="F116" s="416"/>
      <c r="G116" s="416"/>
      <c r="H116" s="416"/>
      <c r="I116" s="416"/>
      <c r="J116" s="416"/>
      <c r="K116" s="416"/>
      <c r="L116" s="416"/>
      <c r="M116" s="416"/>
      <c r="N116" s="416"/>
    </row>
    <row r="117">
      <c r="A117" s="416"/>
      <c r="B117" s="416"/>
      <c r="C117" s="416"/>
      <c r="D117" s="416"/>
      <c r="E117" s="416"/>
      <c r="F117" s="416"/>
      <c r="G117" s="416"/>
      <c r="H117" s="416"/>
      <c r="I117" s="416"/>
      <c r="J117" s="416"/>
      <c r="K117" s="416"/>
      <c r="L117" s="416"/>
      <c r="M117" s="416"/>
      <c r="N117" s="416"/>
    </row>
    <row r="118">
      <c r="A118" s="416"/>
      <c r="B118" s="416"/>
      <c r="C118" s="416"/>
      <c r="D118" s="416"/>
      <c r="E118" s="416"/>
      <c r="F118" s="416"/>
      <c r="G118" s="416"/>
      <c r="H118" s="416"/>
      <c r="I118" s="416"/>
      <c r="J118" s="416"/>
      <c r="K118" s="416"/>
      <c r="L118" s="416"/>
      <c r="M118" s="416"/>
      <c r="N118" s="416"/>
    </row>
    <row r="119">
      <c r="A119" s="416"/>
      <c r="B119" s="416"/>
      <c r="C119" s="416"/>
      <c r="D119" s="416"/>
      <c r="E119" s="416"/>
      <c r="F119" s="416"/>
      <c r="G119" s="416"/>
      <c r="H119" s="416"/>
      <c r="I119" s="416"/>
      <c r="J119" s="416"/>
      <c r="K119" s="416"/>
      <c r="L119" s="416"/>
      <c r="M119" s="416"/>
      <c r="N119" s="416"/>
    </row>
    <row r="120">
      <c r="A120" s="416"/>
      <c r="B120" s="416"/>
      <c r="C120" s="416"/>
      <c r="D120" s="416"/>
      <c r="E120" s="416"/>
      <c r="F120" s="416"/>
      <c r="G120" s="416"/>
      <c r="H120" s="416"/>
      <c r="I120" s="416"/>
      <c r="J120" s="416"/>
      <c r="K120" s="416"/>
      <c r="L120" s="416"/>
      <c r="M120" s="416"/>
      <c r="N120" s="416"/>
    </row>
    <row r="121">
      <c r="A121" s="416"/>
      <c r="B121" s="416"/>
      <c r="C121" s="416"/>
      <c r="D121" s="416"/>
      <c r="E121" s="416"/>
      <c r="F121" s="416"/>
      <c r="G121" s="416"/>
      <c r="H121" s="416"/>
      <c r="I121" s="416"/>
      <c r="J121" s="416"/>
      <c r="K121" s="416"/>
      <c r="L121" s="416"/>
      <c r="M121" s="416"/>
      <c r="N121" s="416"/>
    </row>
    <row r="122">
      <c r="A122" s="416"/>
      <c r="B122" s="416"/>
      <c r="C122" s="416"/>
      <c r="D122" s="416"/>
      <c r="E122" s="416"/>
      <c r="F122" s="416"/>
      <c r="G122" s="416"/>
      <c r="H122" s="416"/>
      <c r="I122" s="416"/>
      <c r="J122" s="416"/>
      <c r="K122" s="416"/>
      <c r="L122" s="416"/>
      <c r="M122" s="416"/>
      <c r="N122" s="416"/>
    </row>
    <row r="123">
      <c r="A123" s="416"/>
      <c r="B123" s="416"/>
      <c r="C123" s="416"/>
      <c r="D123" s="416"/>
      <c r="E123" s="416"/>
      <c r="F123" s="416"/>
      <c r="G123" s="416"/>
      <c r="H123" s="416"/>
      <c r="I123" s="416"/>
      <c r="J123" s="416"/>
      <c r="K123" s="416"/>
      <c r="L123" s="416"/>
      <c r="M123" s="416"/>
      <c r="N123" s="416"/>
    </row>
    <row r="124">
      <c r="A124" s="416"/>
      <c r="B124" s="416"/>
      <c r="C124" s="416"/>
      <c r="D124" s="416"/>
      <c r="E124" s="416"/>
      <c r="F124" s="416"/>
      <c r="G124" s="416"/>
      <c r="H124" s="416"/>
      <c r="I124" s="416"/>
      <c r="J124" s="416"/>
      <c r="K124" s="416"/>
      <c r="L124" s="416"/>
      <c r="M124" s="416"/>
      <c r="N124" s="416"/>
    </row>
    <row r="125">
      <c r="A125" s="416"/>
      <c r="B125" s="416"/>
      <c r="C125" s="416"/>
      <c r="D125" s="416"/>
      <c r="E125" s="416"/>
      <c r="F125" s="416"/>
      <c r="G125" s="416"/>
      <c r="H125" s="416"/>
      <c r="I125" s="416"/>
      <c r="J125" s="416"/>
      <c r="K125" s="416"/>
      <c r="L125" s="416"/>
      <c r="M125" s="416"/>
      <c r="N125" s="416"/>
    </row>
    <row r="126">
      <c r="A126" s="416"/>
      <c r="B126" s="416"/>
      <c r="C126" s="416"/>
      <c r="D126" s="416"/>
      <c r="E126" s="416"/>
      <c r="F126" s="416"/>
      <c r="G126" s="416"/>
      <c r="H126" s="416"/>
      <c r="I126" s="416"/>
      <c r="J126" s="416"/>
      <c r="K126" s="416"/>
      <c r="L126" s="416"/>
      <c r="M126" s="416"/>
      <c r="N126" s="416"/>
    </row>
    <row r="127">
      <c r="A127" s="416"/>
      <c r="B127" s="416"/>
      <c r="C127" s="416"/>
      <c r="D127" s="416"/>
      <c r="E127" s="416"/>
      <c r="F127" s="416"/>
      <c r="G127" s="416"/>
      <c r="H127" s="416"/>
      <c r="I127" s="416"/>
      <c r="J127" s="416"/>
      <c r="K127" s="416"/>
      <c r="L127" s="416"/>
      <c r="M127" s="416"/>
      <c r="N127" s="416"/>
    </row>
    <row r="128">
      <c r="A128" s="416"/>
      <c r="B128" s="416"/>
      <c r="C128" s="416"/>
      <c r="D128" s="416"/>
      <c r="E128" s="416"/>
      <c r="F128" s="416"/>
      <c r="G128" s="416"/>
      <c r="H128" s="416"/>
      <c r="I128" s="416"/>
      <c r="J128" s="416"/>
      <c r="K128" s="416"/>
      <c r="L128" s="416"/>
      <c r="M128" s="416"/>
      <c r="N128" s="416"/>
    </row>
    <row r="129">
      <c r="A129" s="416"/>
      <c r="B129" s="416"/>
      <c r="C129" s="416"/>
      <c r="D129" s="416"/>
      <c r="E129" s="416"/>
      <c r="F129" s="416"/>
      <c r="G129" s="416"/>
      <c r="H129" s="416"/>
      <c r="I129" s="416"/>
      <c r="J129" s="416"/>
      <c r="K129" s="416"/>
      <c r="L129" s="416"/>
      <c r="M129" s="416"/>
      <c r="N129" s="416"/>
    </row>
    <row r="130">
      <c r="A130" s="416"/>
      <c r="B130" s="416"/>
      <c r="C130" s="416"/>
      <c r="D130" s="416"/>
      <c r="E130" s="416"/>
      <c r="F130" s="416"/>
      <c r="G130" s="416"/>
      <c r="H130" s="416"/>
      <c r="I130" s="416"/>
      <c r="J130" s="416"/>
      <c r="K130" s="416"/>
      <c r="L130" s="416"/>
      <c r="M130" s="416"/>
      <c r="N130" s="416"/>
    </row>
    <row r="131">
      <c r="A131" s="416"/>
      <c r="B131" s="416"/>
      <c r="C131" s="416"/>
      <c r="D131" s="416"/>
      <c r="E131" s="416"/>
      <c r="F131" s="416"/>
      <c r="G131" s="416"/>
      <c r="H131" s="416"/>
      <c r="I131" s="416"/>
      <c r="J131" s="416"/>
      <c r="K131" s="416"/>
      <c r="L131" s="416"/>
      <c r="M131" s="416"/>
      <c r="N131" s="416"/>
    </row>
    <row r="132">
      <c r="A132" s="416"/>
      <c r="B132" s="416"/>
      <c r="C132" s="416"/>
      <c r="D132" s="416"/>
      <c r="E132" s="416"/>
      <c r="F132" s="416"/>
      <c r="G132" s="416"/>
      <c r="H132" s="416"/>
      <c r="I132" s="416"/>
      <c r="J132" s="416"/>
      <c r="K132" s="416"/>
      <c r="L132" s="416"/>
      <c r="M132" s="416"/>
      <c r="N132" s="416"/>
    </row>
    <row r="133">
      <c r="A133" s="416"/>
      <c r="B133" s="416"/>
      <c r="C133" s="416"/>
      <c r="D133" s="416"/>
      <c r="E133" s="416"/>
      <c r="F133" s="416"/>
      <c r="G133" s="416"/>
      <c r="H133" s="416"/>
      <c r="I133" s="416"/>
      <c r="J133" s="416"/>
      <c r="K133" s="416"/>
      <c r="L133" s="416"/>
      <c r="M133" s="416"/>
      <c r="N133" s="416"/>
    </row>
    <row r="134">
      <c r="A134" s="416"/>
      <c r="B134" s="416"/>
      <c r="C134" s="416"/>
      <c r="D134" s="416"/>
      <c r="E134" s="416"/>
      <c r="F134" s="416"/>
      <c r="G134" s="416"/>
      <c r="H134" s="416"/>
      <c r="I134" s="416"/>
      <c r="J134" s="416"/>
      <c r="K134" s="416"/>
      <c r="L134" s="416"/>
      <c r="M134" s="416"/>
      <c r="N134" s="416"/>
    </row>
    <row r="135">
      <c r="A135" s="416"/>
      <c r="B135" s="416"/>
      <c r="C135" s="416"/>
      <c r="D135" s="416"/>
      <c r="E135" s="416"/>
      <c r="F135" s="416"/>
      <c r="G135" s="416"/>
      <c r="H135" s="416"/>
      <c r="I135" s="416"/>
      <c r="J135" s="416"/>
      <c r="K135" s="416"/>
      <c r="L135" s="416"/>
      <c r="M135" s="416"/>
      <c r="N135" s="416"/>
    </row>
    <row r="136">
      <c r="A136" s="416"/>
      <c r="B136" s="416"/>
      <c r="C136" s="416"/>
      <c r="D136" s="416"/>
      <c r="E136" s="416"/>
      <c r="F136" s="416"/>
      <c r="G136" s="416"/>
      <c r="H136" s="416"/>
      <c r="I136" s="416"/>
      <c r="J136" s="416"/>
      <c r="K136" s="416"/>
      <c r="L136" s="416"/>
      <c r="M136" s="416"/>
      <c r="N136" s="416"/>
    </row>
    <row r="137">
      <c r="A137" s="416"/>
      <c r="B137" s="416"/>
      <c r="C137" s="416"/>
      <c r="D137" s="416"/>
      <c r="E137" s="416"/>
      <c r="F137" s="416"/>
      <c r="G137" s="416"/>
      <c r="H137" s="416"/>
      <c r="I137" s="416"/>
      <c r="J137" s="416"/>
      <c r="K137" s="416"/>
      <c r="L137" s="416"/>
      <c r="M137" s="416"/>
      <c r="N137" s="416"/>
    </row>
    <row r="138">
      <c r="A138" s="416"/>
      <c r="B138" s="416"/>
      <c r="C138" s="416"/>
      <c r="D138" s="416"/>
      <c r="E138" s="416"/>
      <c r="F138" s="416"/>
      <c r="G138" s="416"/>
      <c r="H138" s="416"/>
      <c r="I138" s="416"/>
      <c r="J138" s="416"/>
      <c r="K138" s="416"/>
      <c r="L138" s="416"/>
      <c r="M138" s="416"/>
      <c r="N138" s="416"/>
    </row>
    <row r="139">
      <c r="A139" s="416"/>
      <c r="B139" s="416"/>
      <c r="C139" s="416"/>
      <c r="D139" s="416"/>
      <c r="E139" s="416"/>
      <c r="F139" s="416"/>
      <c r="G139" s="416"/>
      <c r="H139" s="416"/>
      <c r="I139" s="416"/>
      <c r="J139" s="416"/>
      <c r="K139" s="416"/>
      <c r="L139" s="416"/>
      <c r="M139" s="416"/>
      <c r="N139" s="416"/>
    </row>
    <row r="140">
      <c r="A140" s="416"/>
      <c r="B140" s="416"/>
      <c r="C140" s="416"/>
      <c r="D140" s="416"/>
      <c r="E140" s="416"/>
      <c r="F140" s="416"/>
      <c r="G140" s="416"/>
      <c r="H140" s="416"/>
      <c r="I140" s="416"/>
      <c r="J140" s="416"/>
      <c r="K140" s="416"/>
      <c r="L140" s="416"/>
      <c r="M140" s="416"/>
      <c r="N140" s="416"/>
    </row>
    <row r="141">
      <c r="A141" s="416"/>
      <c r="B141" s="416"/>
      <c r="C141" s="416"/>
      <c r="D141" s="416"/>
      <c r="E141" s="416"/>
      <c r="F141" s="416"/>
      <c r="G141" s="416"/>
      <c r="H141" s="416"/>
      <c r="I141" s="416"/>
      <c r="J141" s="416"/>
      <c r="K141" s="416"/>
      <c r="L141" s="416"/>
      <c r="M141" s="416"/>
      <c r="N141" s="416"/>
    </row>
    <row r="142">
      <c r="A142" s="416"/>
      <c r="B142" s="416"/>
      <c r="C142" s="416"/>
      <c r="D142" s="416"/>
      <c r="E142" s="416"/>
      <c r="F142" s="416"/>
      <c r="G142" s="416"/>
      <c r="H142" s="416"/>
      <c r="I142" s="416"/>
      <c r="J142" s="416"/>
      <c r="K142" s="416"/>
      <c r="L142" s="416"/>
      <c r="M142" s="416"/>
      <c r="N142" s="416"/>
    </row>
    <row r="143">
      <c r="A143" s="416"/>
      <c r="B143" s="416"/>
      <c r="C143" s="416"/>
      <c r="D143" s="416"/>
      <c r="E143" s="416"/>
      <c r="F143" s="416"/>
      <c r="G143" s="416"/>
      <c r="H143" s="416"/>
      <c r="I143" s="416"/>
      <c r="J143" s="416"/>
      <c r="K143" s="416"/>
      <c r="L143" s="416"/>
      <c r="M143" s="416"/>
      <c r="N143" s="416"/>
    </row>
    <row r="144">
      <c r="A144" s="416"/>
      <c r="B144" s="416"/>
      <c r="C144" s="416"/>
      <c r="D144" s="416"/>
      <c r="E144" s="416"/>
      <c r="F144" s="416"/>
      <c r="G144" s="416"/>
      <c r="H144" s="416"/>
      <c r="I144" s="416"/>
      <c r="J144" s="416"/>
      <c r="K144" s="416"/>
      <c r="L144" s="416"/>
      <c r="M144" s="416"/>
      <c r="N144" s="416"/>
    </row>
    <row r="145">
      <c r="A145" s="416"/>
      <c r="B145" s="416"/>
      <c r="C145" s="416"/>
      <c r="D145" s="416"/>
      <c r="E145" s="416"/>
      <c r="F145" s="416"/>
      <c r="G145" s="416"/>
      <c r="H145" s="416"/>
      <c r="I145" s="416"/>
      <c r="J145" s="416"/>
      <c r="K145" s="416"/>
      <c r="L145" s="416"/>
      <c r="M145" s="416"/>
      <c r="N145" s="416"/>
    </row>
    <row r="146">
      <c r="A146" s="416"/>
      <c r="B146" s="416"/>
      <c r="C146" s="416"/>
      <c r="D146" s="416"/>
      <c r="E146" s="416"/>
      <c r="F146" s="416"/>
      <c r="G146" s="416"/>
      <c r="H146" s="416"/>
      <c r="I146" s="416"/>
      <c r="J146" s="416"/>
      <c r="K146" s="416"/>
      <c r="L146" s="416"/>
      <c r="M146" s="416"/>
      <c r="N146" s="416"/>
    </row>
    <row r="147">
      <c r="A147" s="416"/>
      <c r="B147" s="416"/>
      <c r="C147" s="416"/>
      <c r="D147" s="416"/>
      <c r="E147" s="416"/>
      <c r="F147" s="416"/>
      <c r="G147" s="416"/>
      <c r="H147" s="416"/>
      <c r="I147" s="416"/>
      <c r="J147" s="416"/>
      <c r="K147" s="416"/>
      <c r="L147" s="416"/>
      <c r="M147" s="416"/>
      <c r="N147" s="416"/>
    </row>
    <row r="148">
      <c r="A148" s="416"/>
      <c r="B148" s="416"/>
      <c r="C148" s="416"/>
      <c r="D148" s="416"/>
      <c r="E148" s="416"/>
      <c r="F148" s="416"/>
      <c r="G148" s="416"/>
      <c r="H148" s="416"/>
      <c r="I148" s="416"/>
      <c r="J148" s="416"/>
      <c r="K148" s="416"/>
      <c r="L148" s="416"/>
      <c r="M148" s="416"/>
      <c r="N148" s="416"/>
    </row>
    <row r="149">
      <c r="A149" s="416"/>
      <c r="B149" s="416"/>
      <c r="C149" s="416"/>
      <c r="D149" s="416"/>
      <c r="E149" s="416"/>
      <c r="F149" s="416"/>
      <c r="G149" s="416"/>
      <c r="H149" s="416"/>
      <c r="I149" s="416"/>
      <c r="J149" s="416"/>
      <c r="K149" s="416"/>
      <c r="L149" s="416"/>
      <c r="M149" s="416"/>
      <c r="N149" s="416"/>
    </row>
    <row r="150">
      <c r="A150" s="416"/>
      <c r="B150" s="416"/>
      <c r="C150" s="416"/>
      <c r="D150" s="416"/>
      <c r="E150" s="416"/>
      <c r="F150" s="416"/>
      <c r="G150" s="416"/>
      <c r="H150" s="416"/>
      <c r="I150" s="416"/>
      <c r="J150" s="416"/>
      <c r="K150" s="416"/>
      <c r="L150" s="416"/>
      <c r="M150" s="416"/>
      <c r="N150" s="416"/>
    </row>
    <row r="151">
      <c r="A151" s="416"/>
      <c r="B151" s="416"/>
      <c r="C151" s="416"/>
      <c r="D151" s="416"/>
      <c r="E151" s="416"/>
      <c r="F151" s="416"/>
      <c r="G151" s="416"/>
      <c r="H151" s="416"/>
      <c r="I151" s="416"/>
      <c r="J151" s="416"/>
      <c r="K151" s="416"/>
      <c r="L151" s="416"/>
      <c r="M151" s="416"/>
      <c r="N151" s="416"/>
    </row>
    <row r="152">
      <c r="A152" s="416"/>
      <c r="B152" s="416"/>
      <c r="C152" s="416"/>
      <c r="D152" s="416"/>
      <c r="E152" s="416"/>
      <c r="F152" s="416"/>
      <c r="G152" s="416"/>
      <c r="H152" s="416"/>
      <c r="I152" s="416"/>
      <c r="J152" s="416"/>
      <c r="K152" s="416"/>
      <c r="L152" s="416"/>
      <c r="M152" s="416"/>
      <c r="N152" s="416"/>
    </row>
    <row r="153">
      <c r="A153" s="416"/>
      <c r="B153" s="416"/>
      <c r="C153" s="416"/>
      <c r="D153" s="416"/>
      <c r="E153" s="416"/>
      <c r="F153" s="416"/>
      <c r="G153" s="416"/>
      <c r="H153" s="416"/>
      <c r="I153" s="416"/>
      <c r="J153" s="416"/>
      <c r="K153" s="416"/>
      <c r="L153" s="416"/>
      <c r="M153" s="416"/>
      <c r="N153" s="416"/>
    </row>
    <row r="154">
      <c r="A154" s="416"/>
      <c r="B154" s="416"/>
      <c r="C154" s="416"/>
      <c r="D154" s="416"/>
      <c r="E154" s="416"/>
      <c r="F154" s="416"/>
      <c r="G154" s="416"/>
      <c r="H154" s="416"/>
      <c r="I154" s="416"/>
      <c r="J154" s="416"/>
      <c r="K154" s="416"/>
      <c r="L154" s="416"/>
      <c r="M154" s="416"/>
      <c r="N154" s="416"/>
    </row>
    <row r="155">
      <c r="A155" s="416"/>
      <c r="B155" s="416"/>
      <c r="C155" s="416"/>
      <c r="D155" s="416"/>
      <c r="E155" s="416"/>
      <c r="F155" s="416"/>
      <c r="G155" s="416"/>
      <c r="H155" s="416"/>
      <c r="I155" s="416"/>
      <c r="J155" s="416"/>
      <c r="K155" s="416"/>
      <c r="L155" s="416"/>
      <c r="M155" s="416"/>
      <c r="N155" s="416"/>
    </row>
    <row r="156">
      <c r="A156" s="416"/>
      <c r="B156" s="416"/>
      <c r="C156" s="416"/>
      <c r="D156" s="416"/>
      <c r="E156" s="416"/>
      <c r="F156" s="416"/>
      <c r="G156" s="416"/>
      <c r="H156" s="416"/>
      <c r="I156" s="416"/>
      <c r="J156" s="416"/>
      <c r="K156" s="416"/>
      <c r="L156" s="416"/>
      <c r="M156" s="416"/>
      <c r="N156" s="416"/>
    </row>
    <row r="157">
      <c r="A157" s="416"/>
      <c r="B157" s="416"/>
      <c r="C157" s="416"/>
      <c r="D157" s="416"/>
      <c r="E157" s="416"/>
      <c r="F157" s="416"/>
      <c r="G157" s="416"/>
      <c r="H157" s="416"/>
      <c r="I157" s="416"/>
      <c r="J157" s="416"/>
      <c r="K157" s="416"/>
      <c r="L157" s="416"/>
      <c r="M157" s="416"/>
      <c r="N157" s="416"/>
    </row>
    <row r="158">
      <c r="A158" s="416"/>
      <c r="B158" s="416"/>
      <c r="C158" s="416"/>
      <c r="D158" s="416"/>
      <c r="E158" s="416"/>
      <c r="F158" s="416"/>
      <c r="G158" s="416"/>
      <c r="H158" s="416"/>
      <c r="I158" s="416"/>
      <c r="J158" s="416"/>
      <c r="K158" s="416"/>
      <c r="L158" s="416"/>
      <c r="M158" s="416"/>
      <c r="N158" s="416"/>
    </row>
    <row r="159">
      <c r="A159" s="416"/>
      <c r="B159" s="416"/>
      <c r="C159" s="416"/>
      <c r="D159" s="416"/>
      <c r="E159" s="416"/>
      <c r="F159" s="416"/>
      <c r="G159" s="416"/>
      <c r="H159" s="416"/>
      <c r="I159" s="416"/>
      <c r="J159" s="416"/>
      <c r="K159" s="416"/>
      <c r="L159" s="416"/>
      <c r="M159" s="416"/>
      <c r="N159" s="416"/>
    </row>
    <row r="160">
      <c r="A160" s="416"/>
      <c r="B160" s="416"/>
      <c r="C160" s="416"/>
      <c r="D160" s="416"/>
      <c r="E160" s="416"/>
      <c r="F160" s="416"/>
      <c r="G160" s="416"/>
      <c r="H160" s="416"/>
      <c r="I160" s="416"/>
      <c r="J160" s="416"/>
      <c r="K160" s="416"/>
      <c r="L160" s="416"/>
      <c r="M160" s="416"/>
      <c r="N160" s="416"/>
    </row>
    <row r="161">
      <c r="A161" s="416"/>
      <c r="B161" s="416"/>
      <c r="C161" s="416"/>
      <c r="D161" s="416"/>
      <c r="E161" s="416"/>
      <c r="F161" s="416"/>
      <c r="G161" s="416"/>
      <c r="H161" s="416"/>
      <c r="I161" s="416"/>
      <c r="J161" s="416"/>
      <c r="K161" s="416"/>
      <c r="L161" s="416"/>
      <c r="M161" s="416"/>
      <c r="N161" s="416"/>
    </row>
    <row r="162">
      <c r="A162" s="416"/>
      <c r="B162" s="416"/>
      <c r="C162" s="416"/>
      <c r="D162" s="416"/>
      <c r="E162" s="416"/>
      <c r="F162" s="416"/>
      <c r="G162" s="416"/>
      <c r="H162" s="416"/>
      <c r="I162" s="416"/>
      <c r="J162" s="416"/>
      <c r="K162" s="416"/>
      <c r="L162" s="416"/>
      <c r="M162" s="416"/>
      <c r="N162" s="416"/>
    </row>
    <row r="163">
      <c r="A163" s="416"/>
      <c r="B163" s="416"/>
      <c r="C163" s="416"/>
      <c r="D163" s="416"/>
      <c r="E163" s="416"/>
      <c r="F163" s="416"/>
      <c r="G163" s="416"/>
      <c r="H163" s="416"/>
      <c r="I163" s="416"/>
      <c r="J163" s="416"/>
      <c r="K163" s="416"/>
      <c r="L163" s="416"/>
      <c r="M163" s="416"/>
      <c r="N163" s="416"/>
    </row>
    <row r="164">
      <c r="A164" s="416"/>
      <c r="B164" s="416"/>
      <c r="C164" s="416"/>
      <c r="D164" s="416"/>
      <c r="E164" s="416"/>
      <c r="F164" s="416"/>
      <c r="G164" s="416"/>
      <c r="H164" s="416"/>
      <c r="I164" s="416"/>
      <c r="J164" s="416"/>
      <c r="K164" s="416"/>
      <c r="L164" s="416"/>
      <c r="M164" s="416"/>
      <c r="N164" s="416"/>
    </row>
    <row r="165">
      <c r="A165" s="416"/>
      <c r="B165" s="416"/>
      <c r="C165" s="416"/>
      <c r="D165" s="416"/>
      <c r="E165" s="416"/>
      <c r="F165" s="416"/>
      <c r="G165" s="416"/>
      <c r="H165" s="416"/>
      <c r="I165" s="416"/>
      <c r="J165" s="416"/>
      <c r="K165" s="416"/>
      <c r="L165" s="416"/>
      <c r="M165" s="416"/>
      <c r="N165" s="416"/>
    </row>
    <row r="166">
      <c r="A166" s="416"/>
      <c r="B166" s="416"/>
      <c r="C166" s="416"/>
      <c r="D166" s="416"/>
      <c r="E166" s="416"/>
      <c r="F166" s="416"/>
      <c r="G166" s="416"/>
      <c r="H166" s="416"/>
      <c r="I166" s="416"/>
      <c r="J166" s="416"/>
      <c r="K166" s="416"/>
      <c r="L166" s="416"/>
      <c r="M166" s="416"/>
      <c r="N166" s="416"/>
    </row>
    <row r="167">
      <c r="A167" s="416"/>
      <c r="B167" s="416"/>
      <c r="C167" s="416"/>
      <c r="D167" s="416"/>
      <c r="E167" s="416"/>
      <c r="F167" s="416"/>
      <c r="G167" s="416"/>
      <c r="H167" s="416"/>
      <c r="I167" s="416"/>
      <c r="J167" s="416"/>
      <c r="K167" s="416"/>
      <c r="L167" s="416"/>
      <c r="M167" s="416"/>
      <c r="N167" s="416"/>
    </row>
    <row r="168">
      <c r="A168" s="416"/>
      <c r="B168" s="416"/>
      <c r="C168" s="416"/>
      <c r="D168" s="416"/>
      <c r="E168" s="416"/>
      <c r="F168" s="416"/>
      <c r="G168" s="416"/>
      <c r="H168" s="416"/>
      <c r="I168" s="416"/>
      <c r="J168" s="416"/>
      <c r="K168" s="416"/>
      <c r="L168" s="416"/>
      <c r="M168" s="416"/>
      <c r="N168" s="416"/>
    </row>
    <row r="169">
      <c r="A169" s="416"/>
      <c r="B169" s="416"/>
      <c r="C169" s="416"/>
      <c r="D169" s="416"/>
      <c r="E169" s="416"/>
      <c r="F169" s="416"/>
      <c r="G169" s="416"/>
      <c r="H169" s="416"/>
      <c r="I169" s="416"/>
      <c r="J169" s="416"/>
      <c r="K169" s="416"/>
      <c r="L169" s="416"/>
      <c r="M169" s="416"/>
      <c r="N169" s="416"/>
    </row>
    <row r="170">
      <c r="A170" s="416"/>
      <c r="B170" s="416"/>
      <c r="C170" s="416"/>
      <c r="D170" s="416"/>
      <c r="E170" s="416"/>
      <c r="F170" s="416"/>
      <c r="G170" s="416"/>
      <c r="H170" s="416"/>
      <c r="I170" s="416"/>
      <c r="J170" s="416"/>
      <c r="K170" s="416"/>
      <c r="L170" s="416"/>
      <c r="M170" s="416"/>
      <c r="N170" s="416"/>
    </row>
    <row r="171">
      <c r="A171" s="416"/>
      <c r="B171" s="416"/>
      <c r="C171" s="416"/>
      <c r="D171" s="416"/>
      <c r="E171" s="416"/>
      <c r="F171" s="416"/>
      <c r="G171" s="416"/>
      <c r="H171" s="416"/>
      <c r="I171" s="416"/>
      <c r="J171" s="416"/>
      <c r="K171" s="416"/>
      <c r="L171" s="416"/>
      <c r="M171" s="416"/>
      <c r="N171" s="416"/>
    </row>
    <row r="172">
      <c r="A172" s="416"/>
      <c r="B172" s="416"/>
      <c r="C172" s="416"/>
      <c r="D172" s="416"/>
      <c r="E172" s="416"/>
      <c r="F172" s="416"/>
      <c r="G172" s="416"/>
      <c r="H172" s="416"/>
      <c r="I172" s="416"/>
      <c r="J172" s="416"/>
      <c r="K172" s="416"/>
      <c r="L172" s="416"/>
      <c r="M172" s="416"/>
      <c r="N172" s="416"/>
    </row>
    <row r="173">
      <c r="A173" s="416"/>
      <c r="B173" s="416"/>
      <c r="C173" s="416"/>
      <c r="D173" s="416"/>
      <c r="E173" s="416"/>
      <c r="F173" s="416"/>
      <c r="G173" s="416"/>
      <c r="H173" s="416"/>
      <c r="I173" s="416"/>
      <c r="J173" s="416"/>
      <c r="K173" s="416"/>
      <c r="L173" s="416"/>
      <c r="M173" s="416"/>
      <c r="N173" s="416"/>
    </row>
    <row r="174">
      <c r="A174" s="416"/>
      <c r="B174" s="416"/>
      <c r="C174" s="416"/>
      <c r="D174" s="416"/>
      <c r="E174" s="416"/>
      <c r="F174" s="416"/>
      <c r="G174" s="416"/>
      <c r="H174" s="416"/>
      <c r="I174" s="416"/>
      <c r="J174" s="416"/>
      <c r="K174" s="416"/>
      <c r="L174" s="416"/>
      <c r="M174" s="416"/>
      <c r="N174" s="416"/>
    </row>
    <row r="175">
      <c r="A175" s="416"/>
      <c r="B175" s="416"/>
      <c r="C175" s="416"/>
      <c r="D175" s="416"/>
      <c r="E175" s="416"/>
      <c r="F175" s="416"/>
      <c r="G175" s="416"/>
      <c r="H175" s="416"/>
      <c r="I175" s="416"/>
      <c r="J175" s="416"/>
      <c r="K175" s="416"/>
      <c r="L175" s="416"/>
      <c r="M175" s="416"/>
      <c r="N175" s="416"/>
    </row>
    <row r="176">
      <c r="A176" s="416"/>
      <c r="B176" s="416"/>
      <c r="C176" s="416"/>
      <c r="D176" s="416"/>
      <c r="E176" s="416"/>
      <c r="F176" s="416"/>
      <c r="G176" s="416"/>
      <c r="H176" s="416"/>
      <c r="I176" s="416"/>
      <c r="J176" s="416"/>
      <c r="K176" s="416"/>
      <c r="L176" s="416"/>
      <c r="M176" s="416"/>
      <c r="N176" s="416"/>
    </row>
    <row r="177">
      <c r="A177" s="416"/>
      <c r="B177" s="416"/>
      <c r="C177" s="416"/>
      <c r="D177" s="416"/>
      <c r="E177" s="416"/>
      <c r="F177" s="416"/>
      <c r="G177" s="416"/>
      <c r="H177" s="416"/>
      <c r="I177" s="416"/>
      <c r="J177" s="416"/>
      <c r="K177" s="416"/>
      <c r="L177" s="416"/>
      <c r="M177" s="416"/>
      <c r="N177" s="416"/>
    </row>
    <row r="178">
      <c r="A178" s="416"/>
      <c r="B178" s="416"/>
      <c r="C178" s="416"/>
      <c r="D178" s="416"/>
      <c r="E178" s="416"/>
      <c r="F178" s="416"/>
      <c r="G178" s="416"/>
      <c r="H178" s="416"/>
      <c r="I178" s="416"/>
      <c r="J178" s="416"/>
      <c r="K178" s="416"/>
      <c r="L178" s="416"/>
      <c r="M178" s="416"/>
      <c r="N178" s="416"/>
    </row>
    <row r="179">
      <c r="A179" s="416"/>
      <c r="B179" s="416"/>
      <c r="C179" s="416"/>
      <c r="D179" s="416"/>
      <c r="E179" s="416"/>
      <c r="F179" s="416"/>
      <c r="G179" s="416"/>
      <c r="H179" s="416"/>
      <c r="I179" s="416"/>
      <c r="J179" s="416"/>
      <c r="K179" s="416"/>
      <c r="L179" s="416"/>
      <c r="M179" s="416"/>
      <c r="N179" s="416"/>
    </row>
    <row r="180">
      <c r="A180" s="416"/>
      <c r="B180" s="416"/>
      <c r="C180" s="416"/>
      <c r="D180" s="416"/>
      <c r="E180" s="416"/>
      <c r="F180" s="416"/>
      <c r="G180" s="416"/>
      <c r="H180" s="416"/>
      <c r="I180" s="416"/>
      <c r="J180" s="416"/>
      <c r="K180" s="416"/>
      <c r="L180" s="416"/>
      <c r="M180" s="416"/>
      <c r="N180" s="416"/>
    </row>
    <row r="181">
      <c r="A181" s="416"/>
      <c r="B181" s="416"/>
      <c r="C181" s="416"/>
      <c r="D181" s="416"/>
      <c r="E181" s="416"/>
      <c r="F181" s="416"/>
      <c r="G181" s="416"/>
      <c r="H181" s="416"/>
      <c r="I181" s="416"/>
      <c r="J181" s="416"/>
      <c r="K181" s="416"/>
      <c r="L181" s="416"/>
      <c r="M181" s="416"/>
      <c r="N181" s="416"/>
    </row>
    <row r="182">
      <c r="A182" s="416"/>
      <c r="B182" s="416"/>
      <c r="C182" s="416"/>
      <c r="D182" s="416"/>
      <c r="E182" s="416"/>
      <c r="F182" s="416"/>
      <c r="G182" s="416"/>
      <c r="H182" s="416"/>
      <c r="I182" s="416"/>
      <c r="J182" s="416"/>
      <c r="K182" s="416"/>
      <c r="L182" s="416"/>
      <c r="M182" s="416"/>
      <c r="N182" s="416"/>
    </row>
    <row r="183">
      <c r="A183" s="416"/>
      <c r="B183" s="416"/>
      <c r="C183" s="416"/>
      <c r="D183" s="416"/>
      <c r="E183" s="416"/>
      <c r="F183" s="416"/>
      <c r="G183" s="416"/>
      <c r="H183" s="416"/>
      <c r="I183" s="416"/>
      <c r="J183" s="416"/>
      <c r="K183" s="416"/>
      <c r="L183" s="416"/>
      <c r="M183" s="416"/>
      <c r="N183" s="416"/>
    </row>
    <row r="184">
      <c r="A184" s="416"/>
      <c r="B184" s="416"/>
      <c r="C184" s="416"/>
      <c r="D184" s="416"/>
      <c r="E184" s="416"/>
      <c r="F184" s="416"/>
      <c r="G184" s="416"/>
      <c r="H184" s="416"/>
      <c r="I184" s="416"/>
      <c r="J184" s="416"/>
      <c r="K184" s="416"/>
      <c r="L184" s="416"/>
      <c r="M184" s="416"/>
      <c r="N184" s="416"/>
    </row>
    <row r="185">
      <c r="A185" s="416"/>
      <c r="B185" s="416"/>
      <c r="C185" s="416"/>
      <c r="D185" s="416"/>
      <c r="E185" s="416"/>
      <c r="F185" s="416"/>
      <c r="G185" s="416"/>
      <c r="H185" s="416"/>
      <c r="I185" s="416"/>
      <c r="J185" s="416"/>
      <c r="K185" s="416"/>
      <c r="L185" s="416"/>
      <c r="M185" s="416"/>
      <c r="N185" s="416"/>
    </row>
    <row r="186">
      <c r="A186" s="416"/>
      <c r="B186" s="416"/>
      <c r="C186" s="416"/>
      <c r="D186" s="416"/>
      <c r="E186" s="416"/>
      <c r="F186" s="416"/>
      <c r="G186" s="416"/>
      <c r="H186" s="416"/>
      <c r="I186" s="416"/>
      <c r="J186" s="416"/>
      <c r="K186" s="416"/>
      <c r="L186" s="416"/>
      <c r="M186" s="416"/>
      <c r="N186" s="416"/>
    </row>
    <row r="187">
      <c r="A187" s="416"/>
      <c r="B187" s="416"/>
      <c r="C187" s="416"/>
      <c r="D187" s="416"/>
      <c r="E187" s="416"/>
      <c r="F187" s="416"/>
      <c r="G187" s="416"/>
      <c r="H187" s="416"/>
      <c r="I187" s="416"/>
      <c r="J187" s="416"/>
      <c r="K187" s="416"/>
      <c r="L187" s="416"/>
      <c r="M187" s="416"/>
      <c r="N187" s="416"/>
    </row>
    <row r="188">
      <c r="A188" s="416"/>
      <c r="B188" s="416"/>
      <c r="C188" s="416"/>
      <c r="D188" s="416"/>
      <c r="E188" s="416"/>
      <c r="F188" s="416"/>
      <c r="G188" s="416"/>
      <c r="H188" s="416"/>
      <c r="I188" s="416"/>
      <c r="J188" s="416"/>
      <c r="K188" s="416"/>
      <c r="L188" s="416"/>
      <c r="M188" s="416"/>
      <c r="N188" s="416"/>
    </row>
    <row r="189">
      <c r="A189" s="416"/>
      <c r="B189" s="416"/>
      <c r="C189" s="416"/>
      <c r="D189" s="416"/>
      <c r="E189" s="416"/>
      <c r="F189" s="416"/>
      <c r="G189" s="416"/>
      <c r="H189" s="416"/>
      <c r="I189" s="416"/>
      <c r="J189" s="416"/>
      <c r="K189" s="416"/>
      <c r="L189" s="416"/>
      <c r="M189" s="416"/>
      <c r="N189" s="416"/>
    </row>
    <row r="190">
      <c r="A190" s="416"/>
      <c r="B190" s="416"/>
      <c r="C190" s="416"/>
      <c r="D190" s="416"/>
      <c r="E190" s="416"/>
      <c r="F190" s="416"/>
      <c r="G190" s="416"/>
      <c r="H190" s="416"/>
      <c r="I190" s="416"/>
      <c r="J190" s="416"/>
      <c r="K190" s="416"/>
      <c r="L190" s="416"/>
      <c r="M190" s="416"/>
      <c r="N190" s="416"/>
    </row>
    <row r="191">
      <c r="A191" s="416"/>
      <c r="B191" s="416"/>
      <c r="C191" s="416"/>
      <c r="D191" s="416"/>
      <c r="E191" s="416"/>
      <c r="F191" s="416"/>
      <c r="G191" s="416"/>
      <c r="H191" s="416"/>
      <c r="I191" s="416"/>
      <c r="J191" s="416"/>
      <c r="K191" s="416"/>
      <c r="L191" s="416"/>
      <c r="M191" s="416"/>
      <c r="N191" s="416"/>
    </row>
    <row r="192">
      <c r="A192" s="416"/>
      <c r="B192" s="416"/>
      <c r="C192" s="416"/>
      <c r="D192" s="416"/>
      <c r="E192" s="416"/>
      <c r="F192" s="416"/>
      <c r="G192" s="416"/>
      <c r="H192" s="416"/>
      <c r="I192" s="416"/>
      <c r="J192" s="416"/>
      <c r="K192" s="416"/>
      <c r="L192" s="416"/>
      <c r="M192" s="416"/>
      <c r="N192" s="416"/>
    </row>
    <row r="193">
      <c r="A193" s="416"/>
      <c r="B193" s="416"/>
      <c r="C193" s="416"/>
      <c r="D193" s="416"/>
      <c r="E193" s="416"/>
      <c r="F193" s="416"/>
      <c r="G193" s="416"/>
      <c r="H193" s="416"/>
      <c r="I193" s="416"/>
      <c r="J193" s="416"/>
      <c r="K193" s="416"/>
      <c r="L193" s="416"/>
      <c r="M193" s="416"/>
      <c r="N193" s="416"/>
    </row>
    <row r="194">
      <c r="A194" s="416"/>
      <c r="B194" s="416"/>
      <c r="C194" s="416"/>
      <c r="D194" s="416"/>
      <c r="E194" s="416"/>
      <c r="F194" s="416"/>
      <c r="G194" s="416"/>
      <c r="H194" s="416"/>
      <c r="I194" s="416"/>
      <c r="J194" s="416"/>
      <c r="K194" s="416"/>
      <c r="L194" s="416"/>
      <c r="M194" s="416"/>
      <c r="N194" s="416"/>
    </row>
    <row r="195">
      <c r="A195" s="416"/>
      <c r="B195" s="416"/>
      <c r="C195" s="416"/>
      <c r="D195" s="416"/>
      <c r="E195" s="416"/>
      <c r="F195" s="416"/>
      <c r="G195" s="416"/>
      <c r="H195" s="416"/>
      <c r="I195" s="416"/>
      <c r="J195" s="416"/>
      <c r="K195" s="416"/>
      <c r="L195" s="416"/>
      <c r="M195" s="416"/>
      <c r="N195" s="416"/>
    </row>
    <row r="196">
      <c r="A196" s="416"/>
      <c r="B196" s="416"/>
      <c r="C196" s="416"/>
      <c r="D196" s="416"/>
      <c r="E196" s="416"/>
      <c r="F196" s="416"/>
      <c r="G196" s="416"/>
      <c r="H196" s="416"/>
      <c r="I196" s="416"/>
      <c r="J196" s="416"/>
      <c r="K196" s="416"/>
      <c r="L196" s="416"/>
      <c r="M196" s="416"/>
      <c r="N196" s="416"/>
    </row>
    <row r="197">
      <c r="A197" s="416"/>
      <c r="B197" s="416"/>
      <c r="C197" s="416"/>
      <c r="D197" s="416"/>
      <c r="E197" s="416"/>
      <c r="F197" s="416"/>
      <c r="G197" s="416"/>
      <c r="H197" s="416"/>
      <c r="I197" s="416"/>
      <c r="J197" s="416"/>
      <c r="K197" s="416"/>
      <c r="L197" s="416"/>
      <c r="M197" s="416"/>
      <c r="N197" s="416"/>
    </row>
    <row r="198">
      <c r="A198" s="416"/>
      <c r="B198" s="416"/>
      <c r="C198" s="416"/>
      <c r="D198" s="416"/>
      <c r="E198" s="416"/>
      <c r="F198" s="416"/>
      <c r="G198" s="416"/>
      <c r="H198" s="416"/>
      <c r="I198" s="416"/>
      <c r="J198" s="416"/>
      <c r="K198" s="416"/>
      <c r="L198" s="416"/>
      <c r="M198" s="416"/>
      <c r="N198" s="416"/>
    </row>
    <row r="199">
      <c r="A199" s="416"/>
      <c r="B199" s="416"/>
      <c r="C199" s="416"/>
      <c r="D199" s="416"/>
      <c r="E199" s="416"/>
      <c r="F199" s="416"/>
      <c r="G199" s="416"/>
      <c r="H199" s="416"/>
      <c r="I199" s="416"/>
      <c r="J199" s="416"/>
      <c r="K199" s="416"/>
      <c r="L199" s="416"/>
      <c r="M199" s="416"/>
      <c r="N199" s="416"/>
    </row>
    <row r="200">
      <c r="A200" s="416"/>
      <c r="B200" s="416"/>
      <c r="C200" s="416"/>
      <c r="D200" s="416"/>
      <c r="E200" s="416"/>
      <c r="F200" s="416"/>
      <c r="G200" s="416"/>
      <c r="H200" s="416"/>
      <c r="I200" s="416"/>
      <c r="J200" s="416"/>
      <c r="K200" s="416"/>
      <c r="L200" s="416"/>
      <c r="M200" s="416"/>
      <c r="N200" s="416"/>
    </row>
    <row r="201">
      <c r="A201" s="416"/>
      <c r="B201" s="416"/>
      <c r="C201" s="416"/>
      <c r="D201" s="416"/>
      <c r="E201" s="416"/>
      <c r="F201" s="416"/>
      <c r="G201" s="416"/>
      <c r="H201" s="416"/>
      <c r="I201" s="416"/>
      <c r="J201" s="416"/>
      <c r="K201" s="416"/>
      <c r="L201" s="416"/>
      <c r="M201" s="416"/>
      <c r="N201" s="416"/>
    </row>
    <row r="202">
      <c r="A202" s="416"/>
      <c r="B202" s="416"/>
      <c r="C202" s="416"/>
      <c r="D202" s="416"/>
      <c r="E202" s="416"/>
      <c r="F202" s="416"/>
      <c r="G202" s="416"/>
      <c r="H202" s="416"/>
      <c r="I202" s="416"/>
      <c r="J202" s="416"/>
      <c r="K202" s="416"/>
      <c r="L202" s="416"/>
      <c r="M202" s="416"/>
      <c r="N202" s="416"/>
    </row>
    <row r="203">
      <c r="A203" s="416"/>
      <c r="B203" s="416"/>
      <c r="C203" s="416"/>
      <c r="D203" s="416"/>
      <c r="E203" s="416"/>
      <c r="F203" s="416"/>
      <c r="G203" s="416"/>
      <c r="H203" s="416"/>
      <c r="I203" s="416"/>
      <c r="J203" s="416"/>
      <c r="K203" s="416"/>
      <c r="L203" s="416"/>
      <c r="M203" s="416"/>
      <c r="N203" s="416"/>
    </row>
    <row r="204">
      <c r="A204" s="416"/>
      <c r="B204" s="416"/>
      <c r="C204" s="416"/>
      <c r="D204" s="416"/>
      <c r="E204" s="416"/>
      <c r="F204" s="416"/>
      <c r="G204" s="416"/>
      <c r="H204" s="416"/>
      <c r="I204" s="416"/>
      <c r="J204" s="416"/>
      <c r="K204" s="416"/>
      <c r="L204" s="416"/>
      <c r="M204" s="416"/>
      <c r="N204" s="416"/>
    </row>
    <row r="205">
      <c r="A205" s="416"/>
      <c r="B205" s="416"/>
      <c r="C205" s="416"/>
      <c r="D205" s="416"/>
      <c r="E205" s="416"/>
      <c r="F205" s="416"/>
      <c r="G205" s="416"/>
      <c r="H205" s="416"/>
      <c r="I205" s="416"/>
      <c r="J205" s="416"/>
      <c r="K205" s="416"/>
      <c r="L205" s="416"/>
      <c r="M205" s="416"/>
      <c r="N205" s="416"/>
    </row>
    <row r="206">
      <c r="A206" s="416"/>
      <c r="B206" s="416"/>
      <c r="C206" s="416"/>
      <c r="D206" s="416"/>
      <c r="E206" s="416"/>
      <c r="F206" s="416"/>
      <c r="G206" s="416"/>
      <c r="H206" s="416"/>
      <c r="I206" s="416"/>
      <c r="J206" s="416"/>
      <c r="K206" s="416"/>
      <c r="L206" s="416"/>
      <c r="M206" s="416"/>
      <c r="N206" s="416"/>
    </row>
    <row r="207">
      <c r="A207" s="416"/>
      <c r="B207" s="416"/>
      <c r="C207" s="416"/>
      <c r="D207" s="416"/>
      <c r="E207" s="416"/>
      <c r="F207" s="416"/>
      <c r="G207" s="416"/>
      <c r="H207" s="416"/>
      <c r="I207" s="416"/>
      <c r="J207" s="416"/>
      <c r="K207" s="416"/>
      <c r="L207" s="416"/>
      <c r="M207" s="416"/>
      <c r="N207" s="416"/>
    </row>
    <row r="208">
      <c r="A208" s="416"/>
      <c r="B208" s="416"/>
      <c r="C208" s="416"/>
      <c r="D208" s="416"/>
      <c r="E208" s="416"/>
      <c r="F208" s="416"/>
      <c r="G208" s="416"/>
      <c r="H208" s="416"/>
      <c r="I208" s="416"/>
      <c r="J208" s="416"/>
      <c r="K208" s="416"/>
      <c r="L208" s="416"/>
      <c r="M208" s="416"/>
      <c r="N208" s="416"/>
    </row>
    <row r="209">
      <c r="A209" s="416"/>
      <c r="B209" s="416"/>
      <c r="C209" s="416"/>
      <c r="D209" s="416"/>
      <c r="E209" s="416"/>
      <c r="F209" s="416"/>
      <c r="G209" s="416"/>
      <c r="H209" s="416"/>
      <c r="I209" s="416"/>
      <c r="J209" s="416"/>
      <c r="K209" s="416"/>
      <c r="L209" s="416"/>
      <c r="M209" s="416"/>
      <c r="N209" s="416"/>
    </row>
    <row r="210">
      <c r="A210" s="416"/>
      <c r="B210" s="416"/>
      <c r="C210" s="416"/>
      <c r="D210" s="416"/>
      <c r="E210" s="416"/>
      <c r="F210" s="416"/>
      <c r="G210" s="416"/>
      <c r="H210" s="416"/>
      <c r="I210" s="416"/>
      <c r="J210" s="416"/>
      <c r="K210" s="416"/>
      <c r="L210" s="416"/>
      <c r="M210" s="416"/>
      <c r="N210" s="416"/>
    </row>
    <row r="211">
      <c r="A211" s="416"/>
      <c r="B211" s="416"/>
      <c r="C211" s="416"/>
      <c r="D211" s="416"/>
      <c r="E211" s="416"/>
      <c r="F211" s="416"/>
      <c r="G211" s="416"/>
      <c r="H211" s="416"/>
      <c r="I211" s="416"/>
      <c r="J211" s="416"/>
      <c r="K211" s="416"/>
      <c r="L211" s="416"/>
      <c r="M211" s="416"/>
      <c r="N211" s="416"/>
    </row>
    <row r="212">
      <c r="A212" s="416"/>
      <c r="B212" s="416"/>
      <c r="C212" s="416"/>
      <c r="D212" s="416"/>
      <c r="E212" s="416"/>
      <c r="F212" s="416"/>
      <c r="G212" s="416"/>
      <c r="H212" s="416"/>
      <c r="I212" s="416"/>
      <c r="J212" s="416"/>
      <c r="K212" s="416"/>
      <c r="L212" s="416"/>
      <c r="M212" s="416"/>
      <c r="N212" s="416"/>
    </row>
    <row r="213">
      <c r="A213" s="416"/>
      <c r="B213" s="416"/>
      <c r="C213" s="416"/>
      <c r="D213" s="416"/>
      <c r="E213" s="416"/>
      <c r="F213" s="416"/>
      <c r="G213" s="416"/>
      <c r="H213" s="416"/>
      <c r="I213" s="416"/>
      <c r="J213" s="416"/>
      <c r="K213" s="416"/>
      <c r="L213" s="416"/>
      <c r="M213" s="416"/>
      <c r="N213" s="416"/>
    </row>
    <row r="214">
      <c r="A214" s="416"/>
      <c r="B214" s="416"/>
      <c r="C214" s="416"/>
      <c r="D214" s="416"/>
      <c r="E214" s="416"/>
      <c r="F214" s="416"/>
      <c r="G214" s="416"/>
      <c r="H214" s="416"/>
      <c r="I214" s="416"/>
      <c r="J214" s="416"/>
      <c r="K214" s="416"/>
      <c r="L214" s="416"/>
      <c r="M214" s="416"/>
      <c r="N214" s="416"/>
    </row>
    <row r="215">
      <c r="A215" s="416"/>
      <c r="B215" s="416"/>
      <c r="C215" s="416"/>
      <c r="D215" s="416"/>
      <c r="E215" s="416"/>
      <c r="F215" s="416"/>
      <c r="G215" s="416"/>
      <c r="H215" s="416"/>
      <c r="I215" s="416"/>
      <c r="J215" s="416"/>
      <c r="K215" s="416"/>
      <c r="L215" s="416"/>
      <c r="M215" s="416"/>
      <c r="N215" s="416"/>
    </row>
    <row r="216">
      <c r="A216" s="416"/>
      <c r="B216" s="416"/>
      <c r="C216" s="416"/>
      <c r="D216" s="416"/>
      <c r="E216" s="416"/>
      <c r="F216" s="416"/>
      <c r="G216" s="416"/>
      <c r="H216" s="416"/>
      <c r="I216" s="416"/>
      <c r="J216" s="416"/>
      <c r="K216" s="416"/>
      <c r="L216" s="416"/>
      <c r="M216" s="416"/>
      <c r="N216" s="416"/>
    </row>
    <row r="217">
      <c r="A217" s="416"/>
      <c r="B217" s="416"/>
      <c r="C217" s="416"/>
      <c r="D217" s="416"/>
      <c r="E217" s="416"/>
      <c r="F217" s="416"/>
      <c r="G217" s="416"/>
      <c r="H217" s="416"/>
      <c r="I217" s="416"/>
      <c r="J217" s="416"/>
      <c r="K217" s="416"/>
      <c r="L217" s="416"/>
      <c r="M217" s="416"/>
      <c r="N217" s="416"/>
    </row>
    <row r="218">
      <c r="A218" s="416"/>
      <c r="B218" s="416"/>
      <c r="C218" s="416"/>
      <c r="D218" s="416"/>
      <c r="E218" s="416"/>
      <c r="F218" s="416"/>
      <c r="G218" s="416"/>
      <c r="H218" s="416"/>
      <c r="I218" s="416"/>
      <c r="J218" s="416"/>
      <c r="K218" s="416"/>
      <c r="L218" s="416"/>
      <c r="M218" s="416"/>
      <c r="N218" s="416"/>
    </row>
    <row r="219">
      <c r="A219" s="416"/>
      <c r="B219" s="416"/>
      <c r="C219" s="416"/>
      <c r="D219" s="416"/>
      <c r="E219" s="416"/>
      <c r="F219" s="416"/>
      <c r="G219" s="416"/>
      <c r="H219" s="416"/>
      <c r="I219" s="416"/>
      <c r="J219" s="416"/>
      <c r="K219" s="416"/>
      <c r="L219" s="416"/>
      <c r="M219" s="416"/>
      <c r="N219" s="416"/>
    </row>
    <row r="220">
      <c r="A220" s="416"/>
      <c r="B220" s="416"/>
      <c r="C220" s="416"/>
      <c r="D220" s="416"/>
      <c r="E220" s="416"/>
      <c r="F220" s="416"/>
      <c r="G220" s="416"/>
      <c r="H220" s="416"/>
      <c r="I220" s="416"/>
      <c r="J220" s="416"/>
      <c r="K220" s="416"/>
      <c r="L220" s="416"/>
      <c r="M220" s="416"/>
      <c r="N220" s="416"/>
    </row>
    <row r="221">
      <c r="A221" s="416"/>
      <c r="B221" s="416"/>
      <c r="C221" s="416"/>
      <c r="D221" s="416"/>
      <c r="E221" s="416"/>
      <c r="F221" s="416"/>
      <c r="G221" s="416"/>
      <c r="H221" s="416"/>
      <c r="I221" s="416"/>
      <c r="J221" s="416"/>
      <c r="K221" s="416"/>
      <c r="L221" s="416"/>
      <c r="M221" s="416"/>
      <c r="N221" s="416"/>
    </row>
    <row r="222">
      <c r="A222" s="416"/>
      <c r="B222" s="416"/>
      <c r="C222" s="416"/>
      <c r="D222" s="416"/>
      <c r="E222" s="416"/>
      <c r="F222" s="416"/>
      <c r="G222" s="416"/>
      <c r="H222" s="416"/>
      <c r="I222" s="416"/>
      <c r="J222" s="416"/>
      <c r="K222" s="416"/>
      <c r="L222" s="416"/>
      <c r="M222" s="416"/>
      <c r="N222" s="416"/>
    </row>
    <row r="223">
      <c r="A223" s="416"/>
      <c r="B223" s="416"/>
      <c r="C223" s="416"/>
      <c r="D223" s="416"/>
      <c r="E223" s="416"/>
      <c r="F223" s="416"/>
      <c r="G223" s="416"/>
      <c r="H223" s="416"/>
      <c r="I223" s="416"/>
      <c r="J223" s="416"/>
      <c r="K223" s="416"/>
      <c r="L223" s="416"/>
      <c r="M223" s="416"/>
      <c r="N223" s="416"/>
    </row>
    <row r="224">
      <c r="A224" s="416"/>
      <c r="B224" s="416"/>
      <c r="C224" s="416"/>
      <c r="D224" s="416"/>
      <c r="E224" s="416"/>
      <c r="F224" s="416"/>
      <c r="G224" s="416"/>
      <c r="H224" s="416"/>
      <c r="I224" s="416"/>
      <c r="J224" s="416"/>
      <c r="K224" s="416"/>
      <c r="L224" s="416"/>
      <c r="M224" s="416"/>
      <c r="N224" s="416"/>
    </row>
    <row r="225">
      <c r="A225" s="416"/>
      <c r="B225" s="416"/>
      <c r="C225" s="416"/>
      <c r="D225" s="416"/>
      <c r="E225" s="416"/>
      <c r="F225" s="416"/>
      <c r="G225" s="416"/>
      <c r="H225" s="416"/>
      <c r="I225" s="416"/>
      <c r="J225" s="416"/>
      <c r="K225" s="416"/>
      <c r="L225" s="416"/>
      <c r="M225" s="416"/>
      <c r="N225" s="416"/>
    </row>
    <row r="226">
      <c r="A226" s="416"/>
      <c r="B226" s="416"/>
      <c r="C226" s="416"/>
      <c r="D226" s="416"/>
      <c r="E226" s="416"/>
      <c r="F226" s="416"/>
      <c r="G226" s="416"/>
      <c r="H226" s="416"/>
      <c r="I226" s="416"/>
      <c r="J226" s="416"/>
      <c r="K226" s="416"/>
      <c r="L226" s="416"/>
      <c r="M226" s="416"/>
      <c r="N226" s="416"/>
    </row>
    <row r="227">
      <c r="A227" s="416"/>
      <c r="B227" s="416"/>
      <c r="C227" s="416"/>
      <c r="D227" s="416"/>
      <c r="E227" s="416"/>
      <c r="F227" s="416"/>
      <c r="G227" s="416"/>
      <c r="H227" s="416"/>
      <c r="I227" s="416"/>
      <c r="J227" s="416"/>
      <c r="K227" s="416"/>
      <c r="L227" s="416"/>
      <c r="M227" s="416"/>
      <c r="N227" s="416"/>
    </row>
    <row r="228">
      <c r="A228" s="416"/>
      <c r="B228" s="416"/>
      <c r="C228" s="416"/>
      <c r="D228" s="416"/>
      <c r="E228" s="416"/>
      <c r="F228" s="416"/>
      <c r="G228" s="416"/>
      <c r="H228" s="416"/>
      <c r="I228" s="416"/>
      <c r="J228" s="416"/>
      <c r="K228" s="416"/>
      <c r="L228" s="416"/>
      <c r="M228" s="416"/>
      <c r="N228" s="416"/>
    </row>
    <row r="229">
      <c r="A229" s="416"/>
      <c r="B229" s="416"/>
      <c r="C229" s="416"/>
      <c r="D229" s="416"/>
      <c r="E229" s="416"/>
      <c r="F229" s="416"/>
      <c r="G229" s="416"/>
      <c r="H229" s="416"/>
      <c r="I229" s="416"/>
      <c r="J229" s="416"/>
      <c r="K229" s="416"/>
      <c r="L229" s="416"/>
      <c r="M229" s="416"/>
      <c r="N229" s="416"/>
    </row>
    <row r="230">
      <c r="A230" s="416"/>
      <c r="B230" s="416"/>
      <c r="C230" s="416"/>
      <c r="D230" s="416"/>
      <c r="E230" s="416"/>
      <c r="F230" s="416"/>
      <c r="G230" s="416"/>
      <c r="H230" s="416"/>
      <c r="I230" s="416"/>
      <c r="J230" s="416"/>
      <c r="K230" s="416"/>
      <c r="L230" s="416"/>
      <c r="M230" s="416"/>
      <c r="N230" s="416"/>
    </row>
    <row r="231">
      <c r="A231" s="416"/>
      <c r="B231" s="416"/>
      <c r="C231" s="416"/>
      <c r="D231" s="416"/>
      <c r="E231" s="416"/>
      <c r="F231" s="416"/>
      <c r="G231" s="416"/>
      <c r="H231" s="416"/>
      <c r="I231" s="416"/>
      <c r="J231" s="416"/>
      <c r="K231" s="416"/>
      <c r="L231" s="416"/>
      <c r="M231" s="416"/>
      <c r="N231" s="416"/>
    </row>
    <row r="232">
      <c r="A232" s="416"/>
      <c r="B232" s="416"/>
      <c r="C232" s="416"/>
      <c r="D232" s="416"/>
      <c r="E232" s="416"/>
      <c r="F232" s="416"/>
      <c r="G232" s="416"/>
      <c r="H232" s="416"/>
      <c r="I232" s="416"/>
      <c r="J232" s="416"/>
      <c r="K232" s="416"/>
      <c r="L232" s="416"/>
      <c r="M232" s="416"/>
      <c r="N232" s="416"/>
    </row>
    <row r="233">
      <c r="A233" s="416"/>
      <c r="B233" s="416"/>
      <c r="C233" s="416"/>
      <c r="D233" s="416"/>
      <c r="E233" s="416"/>
      <c r="F233" s="416"/>
      <c r="G233" s="416"/>
      <c r="H233" s="416"/>
      <c r="I233" s="416"/>
      <c r="J233" s="416"/>
      <c r="K233" s="416"/>
      <c r="L233" s="416"/>
      <c r="M233" s="416"/>
      <c r="N233" s="416"/>
    </row>
    <row r="234">
      <c r="A234" s="416"/>
      <c r="B234" s="416"/>
      <c r="C234" s="416"/>
      <c r="D234" s="416"/>
      <c r="E234" s="416"/>
      <c r="F234" s="416"/>
      <c r="G234" s="416"/>
      <c r="H234" s="416"/>
      <c r="I234" s="416"/>
      <c r="J234" s="416"/>
      <c r="K234" s="416"/>
      <c r="L234" s="416"/>
      <c r="M234" s="416"/>
      <c r="N234" s="416"/>
    </row>
    <row r="235">
      <c r="A235" s="416"/>
      <c r="B235" s="416"/>
      <c r="C235" s="416"/>
      <c r="D235" s="416"/>
      <c r="E235" s="416"/>
      <c r="F235" s="416"/>
      <c r="G235" s="416"/>
      <c r="H235" s="416"/>
      <c r="I235" s="416"/>
      <c r="J235" s="416"/>
      <c r="K235" s="416"/>
      <c r="L235" s="416"/>
      <c r="M235" s="416"/>
      <c r="N235" s="416"/>
    </row>
    <row r="236">
      <c r="A236" s="416"/>
      <c r="B236" s="416"/>
      <c r="C236" s="416"/>
      <c r="D236" s="416"/>
      <c r="E236" s="416"/>
      <c r="F236" s="416"/>
      <c r="G236" s="416"/>
      <c r="H236" s="416"/>
      <c r="I236" s="416"/>
      <c r="J236" s="416"/>
      <c r="K236" s="416"/>
      <c r="L236" s="416"/>
      <c r="M236" s="416"/>
      <c r="N236" s="416"/>
    </row>
    <row r="237">
      <c r="A237" s="416"/>
      <c r="B237" s="416"/>
      <c r="C237" s="416"/>
      <c r="D237" s="416"/>
      <c r="E237" s="416"/>
      <c r="F237" s="416"/>
      <c r="G237" s="416"/>
      <c r="H237" s="416"/>
      <c r="I237" s="416"/>
      <c r="J237" s="416"/>
      <c r="K237" s="416"/>
      <c r="L237" s="416"/>
      <c r="M237" s="416"/>
      <c r="N237" s="416"/>
    </row>
    <row r="238">
      <c r="A238" s="416"/>
      <c r="B238" s="416"/>
      <c r="C238" s="416"/>
      <c r="D238" s="416"/>
      <c r="E238" s="416"/>
      <c r="F238" s="416"/>
      <c r="G238" s="416"/>
      <c r="H238" s="416"/>
      <c r="I238" s="416"/>
      <c r="J238" s="416"/>
      <c r="K238" s="416"/>
      <c r="L238" s="416"/>
      <c r="M238" s="416"/>
      <c r="N238" s="416"/>
    </row>
    <row r="239">
      <c r="A239" s="416"/>
      <c r="B239" s="416"/>
      <c r="C239" s="416"/>
      <c r="D239" s="416"/>
      <c r="E239" s="416"/>
      <c r="F239" s="416"/>
      <c r="G239" s="416"/>
      <c r="H239" s="416"/>
      <c r="I239" s="416"/>
      <c r="J239" s="416"/>
      <c r="K239" s="416"/>
      <c r="L239" s="416"/>
      <c r="M239" s="416"/>
      <c r="N239" s="416"/>
    </row>
    <row r="240">
      <c r="A240" s="416"/>
      <c r="B240" s="416"/>
      <c r="C240" s="416"/>
      <c r="D240" s="416"/>
      <c r="E240" s="416"/>
      <c r="F240" s="416"/>
      <c r="G240" s="416"/>
      <c r="H240" s="416"/>
      <c r="I240" s="416"/>
      <c r="J240" s="416"/>
      <c r="K240" s="416"/>
      <c r="L240" s="416"/>
      <c r="M240" s="416"/>
      <c r="N240" s="416"/>
    </row>
    <row r="241">
      <c r="A241" s="416"/>
      <c r="B241" s="416"/>
      <c r="C241" s="416"/>
      <c r="D241" s="416"/>
      <c r="E241" s="416"/>
      <c r="F241" s="416"/>
      <c r="G241" s="416"/>
      <c r="H241" s="416"/>
      <c r="I241" s="416"/>
      <c r="J241" s="416"/>
      <c r="K241" s="416"/>
      <c r="L241" s="416"/>
      <c r="M241" s="416"/>
      <c r="N241" s="416"/>
    </row>
    <row r="242">
      <c r="A242" s="416"/>
      <c r="B242" s="416"/>
      <c r="C242" s="416"/>
      <c r="D242" s="416"/>
      <c r="E242" s="416"/>
      <c r="F242" s="416"/>
      <c r="G242" s="416"/>
      <c r="H242" s="416"/>
      <c r="I242" s="416"/>
      <c r="J242" s="416"/>
      <c r="K242" s="416"/>
      <c r="L242" s="416"/>
      <c r="M242" s="416"/>
      <c r="N242" s="416"/>
    </row>
    <row r="243">
      <c r="A243" s="416"/>
      <c r="B243" s="416"/>
      <c r="C243" s="416"/>
      <c r="D243" s="416"/>
      <c r="E243" s="416"/>
      <c r="F243" s="416"/>
      <c r="G243" s="416"/>
      <c r="H243" s="416"/>
      <c r="I243" s="416"/>
      <c r="J243" s="416"/>
      <c r="K243" s="416"/>
      <c r="L243" s="416"/>
      <c r="M243" s="416"/>
      <c r="N243" s="416"/>
    </row>
    <row r="244">
      <c r="A244" s="416"/>
      <c r="B244" s="416"/>
      <c r="C244" s="416"/>
      <c r="D244" s="416"/>
      <c r="E244" s="416"/>
      <c r="F244" s="416"/>
      <c r="G244" s="416"/>
      <c r="H244" s="416"/>
      <c r="I244" s="416"/>
      <c r="J244" s="416"/>
      <c r="K244" s="416"/>
      <c r="L244" s="416"/>
      <c r="M244" s="416"/>
      <c r="N244" s="416"/>
    </row>
    <row r="245">
      <c r="A245" s="416"/>
      <c r="B245" s="416"/>
      <c r="C245" s="416"/>
      <c r="D245" s="416"/>
      <c r="E245" s="416"/>
      <c r="F245" s="416"/>
      <c r="G245" s="416"/>
      <c r="H245" s="416"/>
      <c r="I245" s="416"/>
      <c r="J245" s="416"/>
      <c r="K245" s="416"/>
      <c r="L245" s="416"/>
      <c r="M245" s="416"/>
      <c r="N245" s="416"/>
    </row>
    <row r="246">
      <c r="A246" s="416"/>
      <c r="B246" s="416"/>
      <c r="C246" s="416"/>
      <c r="D246" s="416"/>
      <c r="E246" s="416"/>
      <c r="F246" s="416"/>
      <c r="G246" s="416"/>
      <c r="H246" s="416"/>
      <c r="I246" s="416"/>
      <c r="J246" s="416"/>
      <c r="K246" s="416"/>
      <c r="L246" s="416"/>
      <c r="M246" s="416"/>
      <c r="N246" s="416"/>
    </row>
    <row r="247">
      <c r="A247" s="416"/>
      <c r="B247" s="416"/>
      <c r="C247" s="416"/>
      <c r="D247" s="416"/>
      <c r="E247" s="416"/>
      <c r="F247" s="416"/>
      <c r="G247" s="416"/>
      <c r="H247" s="416"/>
      <c r="I247" s="416"/>
      <c r="J247" s="416"/>
      <c r="K247" s="416"/>
      <c r="L247" s="416"/>
      <c r="M247" s="416"/>
      <c r="N247" s="416"/>
    </row>
    <row r="248">
      <c r="A248" s="416"/>
      <c r="B248" s="416"/>
      <c r="C248" s="416"/>
      <c r="D248" s="416"/>
      <c r="E248" s="416"/>
      <c r="F248" s="416"/>
      <c r="G248" s="416"/>
      <c r="H248" s="416"/>
      <c r="I248" s="416"/>
      <c r="J248" s="416"/>
      <c r="K248" s="416"/>
      <c r="L248" s="416"/>
      <c r="M248" s="416"/>
      <c r="N248" s="416"/>
    </row>
    <row r="249">
      <c r="A249" s="416"/>
      <c r="B249" s="416"/>
      <c r="C249" s="416"/>
      <c r="D249" s="416"/>
      <c r="E249" s="416"/>
      <c r="F249" s="416"/>
      <c r="G249" s="416"/>
      <c r="H249" s="416"/>
      <c r="I249" s="416"/>
      <c r="J249" s="416"/>
      <c r="K249" s="416"/>
      <c r="L249" s="416"/>
      <c r="M249" s="416"/>
      <c r="N249" s="416"/>
    </row>
    <row r="250">
      <c r="A250" s="416"/>
      <c r="B250" s="416"/>
      <c r="C250" s="416"/>
      <c r="D250" s="416"/>
      <c r="E250" s="416"/>
      <c r="F250" s="416"/>
      <c r="G250" s="416"/>
      <c r="H250" s="416"/>
      <c r="I250" s="416"/>
      <c r="J250" s="416"/>
      <c r="K250" s="416"/>
      <c r="L250" s="416"/>
      <c r="M250" s="416"/>
      <c r="N250" s="416"/>
    </row>
    <row r="251">
      <c r="A251" s="416"/>
      <c r="B251" s="416"/>
      <c r="C251" s="416"/>
      <c r="D251" s="416"/>
      <c r="E251" s="416"/>
      <c r="F251" s="416"/>
      <c r="G251" s="416"/>
      <c r="H251" s="416"/>
      <c r="I251" s="416"/>
      <c r="J251" s="416"/>
      <c r="K251" s="416"/>
      <c r="L251" s="416"/>
      <c r="M251" s="416"/>
      <c r="N251" s="416"/>
    </row>
    <row r="252">
      <c r="A252" s="416"/>
      <c r="B252" s="416"/>
      <c r="C252" s="416"/>
      <c r="D252" s="416"/>
      <c r="E252" s="416"/>
      <c r="F252" s="416"/>
      <c r="G252" s="416"/>
      <c r="H252" s="416"/>
      <c r="I252" s="416"/>
      <c r="J252" s="416"/>
      <c r="K252" s="416"/>
      <c r="L252" s="416"/>
      <c r="M252" s="416"/>
      <c r="N252" s="416"/>
    </row>
    <row r="253">
      <c r="A253" s="416"/>
      <c r="B253" s="416"/>
      <c r="C253" s="416"/>
      <c r="D253" s="416"/>
      <c r="E253" s="416"/>
      <c r="F253" s="416"/>
      <c r="G253" s="416"/>
      <c r="H253" s="416"/>
      <c r="I253" s="416"/>
      <c r="J253" s="416"/>
      <c r="K253" s="416"/>
      <c r="L253" s="416"/>
      <c r="M253" s="416"/>
      <c r="N253" s="416"/>
    </row>
    <row r="254">
      <c r="A254" s="416"/>
      <c r="B254" s="416"/>
      <c r="C254" s="416"/>
      <c r="D254" s="416"/>
      <c r="E254" s="416"/>
      <c r="F254" s="416"/>
      <c r="G254" s="416"/>
      <c r="H254" s="416"/>
      <c r="I254" s="416"/>
      <c r="J254" s="416"/>
      <c r="K254" s="416"/>
      <c r="L254" s="416"/>
      <c r="M254" s="416"/>
      <c r="N254" s="416"/>
    </row>
    <row r="255">
      <c r="A255" s="416"/>
      <c r="B255" s="416"/>
      <c r="C255" s="416"/>
      <c r="D255" s="416"/>
      <c r="E255" s="416"/>
      <c r="F255" s="416"/>
      <c r="G255" s="416"/>
      <c r="H255" s="416"/>
      <c r="I255" s="416"/>
      <c r="J255" s="416"/>
      <c r="K255" s="416"/>
      <c r="L255" s="416"/>
      <c r="M255" s="416"/>
      <c r="N255" s="416"/>
    </row>
    <row r="256">
      <c r="A256" s="416"/>
      <c r="B256" s="416"/>
      <c r="C256" s="416"/>
      <c r="D256" s="416"/>
      <c r="E256" s="416"/>
      <c r="F256" s="416"/>
      <c r="G256" s="416"/>
      <c r="H256" s="416"/>
      <c r="I256" s="416"/>
      <c r="J256" s="416"/>
      <c r="K256" s="416"/>
      <c r="L256" s="416"/>
      <c r="M256" s="416"/>
      <c r="N256" s="416"/>
    </row>
    <row r="257">
      <c r="A257" s="416"/>
      <c r="B257" s="416"/>
      <c r="C257" s="416"/>
      <c r="D257" s="416"/>
      <c r="E257" s="416"/>
      <c r="F257" s="416"/>
      <c r="G257" s="416"/>
      <c r="H257" s="416"/>
      <c r="I257" s="416"/>
      <c r="J257" s="416"/>
      <c r="K257" s="416"/>
      <c r="L257" s="416"/>
      <c r="M257" s="416"/>
      <c r="N257" s="416"/>
    </row>
    <row r="258">
      <c r="A258" s="416"/>
      <c r="B258" s="416"/>
      <c r="C258" s="416"/>
      <c r="D258" s="416"/>
      <c r="E258" s="416"/>
      <c r="F258" s="416"/>
      <c r="G258" s="416"/>
      <c r="H258" s="416"/>
      <c r="I258" s="416"/>
      <c r="J258" s="416"/>
      <c r="K258" s="416"/>
      <c r="L258" s="416"/>
      <c r="M258" s="416"/>
      <c r="N258" s="416"/>
    </row>
    <row r="259">
      <c r="A259" s="416"/>
      <c r="B259" s="416"/>
      <c r="C259" s="416"/>
      <c r="D259" s="416"/>
      <c r="E259" s="416"/>
      <c r="F259" s="416"/>
      <c r="G259" s="416"/>
      <c r="H259" s="416"/>
      <c r="I259" s="416"/>
      <c r="J259" s="416"/>
      <c r="K259" s="416"/>
      <c r="L259" s="416"/>
      <c r="M259" s="416"/>
      <c r="N259" s="416"/>
    </row>
    <row r="260">
      <c r="A260" s="416"/>
      <c r="B260" s="416"/>
      <c r="C260" s="416"/>
      <c r="D260" s="416"/>
      <c r="E260" s="416"/>
      <c r="F260" s="416"/>
      <c r="G260" s="416"/>
      <c r="H260" s="416"/>
      <c r="I260" s="416"/>
      <c r="J260" s="416"/>
      <c r="K260" s="416"/>
      <c r="L260" s="416"/>
      <c r="M260" s="416"/>
      <c r="N260" s="416"/>
    </row>
    <row r="261">
      <c r="A261" s="416"/>
      <c r="B261" s="416"/>
      <c r="C261" s="416"/>
      <c r="D261" s="416"/>
      <c r="E261" s="416"/>
      <c r="F261" s="416"/>
      <c r="G261" s="416"/>
      <c r="H261" s="416"/>
      <c r="I261" s="416"/>
      <c r="J261" s="416"/>
      <c r="K261" s="416"/>
      <c r="L261" s="416"/>
      <c r="M261" s="416"/>
      <c r="N261" s="416"/>
    </row>
    <row r="262">
      <c r="A262" s="416"/>
      <c r="B262" s="416"/>
      <c r="C262" s="416"/>
      <c r="D262" s="416"/>
      <c r="E262" s="416"/>
      <c r="F262" s="416"/>
      <c r="G262" s="416"/>
      <c r="H262" s="416"/>
      <c r="I262" s="416"/>
      <c r="J262" s="416"/>
      <c r="K262" s="416"/>
      <c r="L262" s="416"/>
      <c r="M262" s="416"/>
      <c r="N262" s="416"/>
    </row>
    <row r="263">
      <c r="A263" s="416"/>
      <c r="B263" s="416"/>
      <c r="C263" s="416"/>
      <c r="D263" s="416"/>
      <c r="E263" s="416"/>
      <c r="F263" s="416"/>
      <c r="G263" s="416"/>
      <c r="H263" s="416"/>
      <c r="I263" s="416"/>
      <c r="J263" s="416"/>
      <c r="K263" s="416"/>
      <c r="L263" s="416"/>
      <c r="M263" s="416"/>
      <c r="N263" s="416"/>
    </row>
    <row r="264">
      <c r="A264" s="416"/>
      <c r="B264" s="416"/>
      <c r="C264" s="416"/>
      <c r="D264" s="416"/>
      <c r="E264" s="416"/>
      <c r="F264" s="416"/>
      <c r="G264" s="416"/>
      <c r="H264" s="416"/>
      <c r="I264" s="416"/>
      <c r="J264" s="416"/>
      <c r="K264" s="416"/>
      <c r="L264" s="416"/>
      <c r="M264" s="416"/>
      <c r="N264" s="416"/>
    </row>
    <row r="265">
      <c r="A265" s="416"/>
      <c r="B265" s="416"/>
      <c r="C265" s="416"/>
      <c r="D265" s="416"/>
      <c r="E265" s="416"/>
      <c r="F265" s="416"/>
      <c r="G265" s="416"/>
      <c r="H265" s="416"/>
      <c r="I265" s="416"/>
      <c r="J265" s="416"/>
      <c r="K265" s="416"/>
      <c r="L265" s="416"/>
      <c r="M265" s="416"/>
      <c r="N265" s="416"/>
    </row>
    <row r="266">
      <c r="A266" s="416"/>
      <c r="B266" s="416"/>
      <c r="C266" s="416"/>
      <c r="D266" s="416"/>
      <c r="E266" s="416"/>
      <c r="F266" s="416"/>
      <c r="G266" s="416"/>
      <c r="H266" s="416"/>
      <c r="I266" s="416"/>
      <c r="J266" s="416"/>
      <c r="K266" s="416"/>
      <c r="L266" s="416"/>
      <c r="M266" s="416"/>
      <c r="N266" s="416"/>
    </row>
    <row r="267">
      <c r="A267" s="416"/>
      <c r="B267" s="416"/>
      <c r="C267" s="416"/>
      <c r="D267" s="416"/>
      <c r="E267" s="416"/>
      <c r="F267" s="416"/>
      <c r="G267" s="416"/>
      <c r="H267" s="416"/>
      <c r="I267" s="416"/>
      <c r="J267" s="416"/>
      <c r="K267" s="416"/>
      <c r="L267" s="416"/>
      <c r="M267" s="416"/>
      <c r="N267" s="416"/>
    </row>
    <row r="268">
      <c r="A268" s="416"/>
      <c r="B268" s="416"/>
      <c r="C268" s="416"/>
      <c r="D268" s="416"/>
      <c r="E268" s="416"/>
      <c r="F268" s="416"/>
      <c r="G268" s="416"/>
      <c r="H268" s="416"/>
      <c r="I268" s="416"/>
      <c r="J268" s="416"/>
      <c r="K268" s="416"/>
      <c r="L268" s="416"/>
      <c r="M268" s="416"/>
      <c r="N268" s="416"/>
    </row>
    <row r="269">
      <c r="A269" s="416"/>
      <c r="B269" s="416"/>
      <c r="C269" s="416"/>
      <c r="D269" s="416"/>
      <c r="E269" s="416"/>
      <c r="F269" s="416"/>
      <c r="G269" s="416"/>
      <c r="H269" s="416"/>
      <c r="I269" s="416"/>
      <c r="J269" s="416"/>
      <c r="K269" s="416"/>
      <c r="L269" s="416"/>
      <c r="M269" s="416"/>
      <c r="N269" s="416"/>
    </row>
    <row r="270">
      <c r="A270" s="416"/>
      <c r="B270" s="416"/>
      <c r="C270" s="416"/>
      <c r="D270" s="416"/>
      <c r="E270" s="416"/>
      <c r="F270" s="416"/>
      <c r="G270" s="416"/>
      <c r="H270" s="416"/>
      <c r="I270" s="416"/>
      <c r="J270" s="416"/>
      <c r="K270" s="416"/>
      <c r="L270" s="416"/>
      <c r="M270" s="416"/>
      <c r="N270" s="416"/>
    </row>
    <row r="271">
      <c r="A271" s="416"/>
      <c r="B271" s="416"/>
      <c r="C271" s="416"/>
      <c r="D271" s="416"/>
      <c r="E271" s="416"/>
      <c r="F271" s="416"/>
      <c r="G271" s="416"/>
      <c r="H271" s="416"/>
      <c r="I271" s="416"/>
      <c r="J271" s="416"/>
      <c r="K271" s="416"/>
      <c r="L271" s="416"/>
      <c r="M271" s="416"/>
      <c r="N271" s="416"/>
    </row>
    <row r="272">
      <c r="A272" s="416"/>
      <c r="B272" s="416"/>
      <c r="C272" s="416"/>
      <c r="D272" s="416"/>
      <c r="E272" s="416"/>
      <c r="F272" s="416"/>
      <c r="G272" s="416"/>
      <c r="H272" s="416"/>
      <c r="I272" s="416"/>
      <c r="J272" s="416"/>
      <c r="K272" s="416"/>
      <c r="L272" s="416"/>
      <c r="M272" s="416"/>
      <c r="N272" s="416"/>
    </row>
    <row r="273">
      <c r="A273" s="416"/>
      <c r="B273" s="416"/>
      <c r="C273" s="416"/>
      <c r="D273" s="416"/>
      <c r="E273" s="416"/>
      <c r="F273" s="416"/>
      <c r="G273" s="416"/>
      <c r="H273" s="416"/>
      <c r="I273" s="416"/>
      <c r="J273" s="416"/>
      <c r="K273" s="416"/>
      <c r="L273" s="416"/>
      <c r="M273" s="416"/>
      <c r="N273" s="416"/>
    </row>
    <row r="274">
      <c r="A274" s="416"/>
      <c r="B274" s="416"/>
      <c r="C274" s="416"/>
      <c r="D274" s="416"/>
      <c r="E274" s="416"/>
      <c r="F274" s="416"/>
      <c r="G274" s="416"/>
      <c r="H274" s="416"/>
      <c r="I274" s="416"/>
      <c r="J274" s="416"/>
      <c r="K274" s="416"/>
      <c r="L274" s="416"/>
      <c r="M274" s="416"/>
      <c r="N274" s="416"/>
    </row>
    <row r="275">
      <c r="A275" s="416"/>
      <c r="B275" s="416"/>
      <c r="C275" s="416"/>
      <c r="D275" s="416"/>
      <c r="E275" s="416"/>
      <c r="F275" s="416"/>
      <c r="G275" s="416"/>
      <c r="H275" s="416"/>
      <c r="I275" s="416"/>
      <c r="J275" s="416"/>
      <c r="K275" s="416"/>
      <c r="L275" s="416"/>
      <c r="M275" s="416"/>
      <c r="N275" s="416"/>
    </row>
    <row r="276">
      <c r="A276" s="416"/>
      <c r="B276" s="416"/>
      <c r="C276" s="416"/>
      <c r="D276" s="416"/>
      <c r="E276" s="416"/>
      <c r="F276" s="416"/>
      <c r="G276" s="416"/>
      <c r="H276" s="416"/>
      <c r="I276" s="416"/>
      <c r="J276" s="416"/>
      <c r="K276" s="416"/>
      <c r="L276" s="416"/>
      <c r="M276" s="416"/>
      <c r="N276" s="416"/>
    </row>
    <row r="277">
      <c r="A277" s="416"/>
      <c r="B277" s="416"/>
      <c r="C277" s="416"/>
      <c r="D277" s="416"/>
      <c r="E277" s="416"/>
      <c r="F277" s="416"/>
      <c r="G277" s="416"/>
      <c r="H277" s="416"/>
      <c r="I277" s="416"/>
      <c r="J277" s="416"/>
      <c r="K277" s="416"/>
      <c r="L277" s="416"/>
      <c r="M277" s="416"/>
      <c r="N277" s="416"/>
    </row>
    <row r="278">
      <c r="A278" s="416"/>
      <c r="B278" s="416"/>
      <c r="C278" s="416"/>
      <c r="D278" s="416"/>
      <c r="E278" s="416"/>
      <c r="F278" s="416"/>
      <c r="G278" s="416"/>
      <c r="H278" s="416"/>
      <c r="I278" s="416"/>
      <c r="J278" s="416"/>
      <c r="K278" s="416"/>
      <c r="L278" s="416"/>
      <c r="M278" s="416"/>
      <c r="N278" s="416"/>
    </row>
    <row r="279">
      <c r="A279" s="416"/>
      <c r="B279" s="416"/>
      <c r="C279" s="416"/>
      <c r="D279" s="416"/>
      <c r="E279" s="416"/>
      <c r="F279" s="416"/>
      <c r="G279" s="416"/>
      <c r="H279" s="416"/>
      <c r="I279" s="416"/>
      <c r="J279" s="416"/>
      <c r="K279" s="416"/>
      <c r="L279" s="416"/>
      <c r="M279" s="416"/>
      <c r="N279" s="416"/>
    </row>
    <row r="280">
      <c r="A280" s="416"/>
      <c r="B280" s="416"/>
      <c r="C280" s="416"/>
      <c r="D280" s="416"/>
      <c r="E280" s="416"/>
      <c r="F280" s="416"/>
      <c r="G280" s="416"/>
      <c r="H280" s="416"/>
      <c r="I280" s="416"/>
      <c r="J280" s="416"/>
      <c r="K280" s="416"/>
      <c r="L280" s="416"/>
      <c r="M280" s="416"/>
      <c r="N280" s="416"/>
    </row>
    <row r="281">
      <c r="A281" s="416"/>
      <c r="B281" s="416"/>
      <c r="C281" s="416"/>
      <c r="D281" s="416"/>
      <c r="E281" s="416"/>
      <c r="F281" s="416"/>
      <c r="G281" s="416"/>
      <c r="H281" s="416"/>
      <c r="I281" s="416"/>
      <c r="J281" s="416"/>
      <c r="K281" s="416"/>
      <c r="L281" s="416"/>
      <c r="M281" s="416"/>
      <c r="N281" s="416"/>
    </row>
    <row r="282">
      <c r="A282" s="416"/>
      <c r="B282" s="416"/>
      <c r="C282" s="416"/>
      <c r="D282" s="416"/>
      <c r="E282" s="416"/>
      <c r="F282" s="416"/>
      <c r="G282" s="416"/>
      <c r="H282" s="416"/>
      <c r="I282" s="416"/>
      <c r="J282" s="416"/>
      <c r="K282" s="416"/>
      <c r="L282" s="416"/>
      <c r="M282" s="416"/>
      <c r="N282" s="416"/>
    </row>
    <row r="283">
      <c r="A283" s="416"/>
      <c r="B283" s="416"/>
      <c r="C283" s="416"/>
      <c r="D283" s="416"/>
      <c r="E283" s="416"/>
      <c r="F283" s="416"/>
      <c r="G283" s="416"/>
      <c r="H283" s="416"/>
      <c r="I283" s="416"/>
      <c r="J283" s="416"/>
      <c r="K283" s="416"/>
      <c r="L283" s="416"/>
      <c r="M283" s="416"/>
      <c r="N283" s="416"/>
    </row>
    <row r="284">
      <c r="A284" s="416"/>
      <c r="B284" s="416"/>
      <c r="C284" s="416"/>
      <c r="D284" s="416"/>
      <c r="E284" s="416"/>
      <c r="F284" s="416"/>
      <c r="G284" s="416"/>
      <c r="H284" s="416"/>
      <c r="I284" s="416"/>
      <c r="J284" s="416"/>
      <c r="K284" s="416"/>
      <c r="L284" s="416"/>
      <c r="M284" s="416"/>
      <c r="N284" s="416"/>
    </row>
    <row r="285">
      <c r="A285" s="416"/>
      <c r="B285" s="416"/>
      <c r="C285" s="416"/>
      <c r="D285" s="416"/>
      <c r="E285" s="416"/>
      <c r="F285" s="416"/>
      <c r="G285" s="416"/>
      <c r="H285" s="416"/>
      <c r="I285" s="416"/>
      <c r="J285" s="416"/>
      <c r="K285" s="416"/>
      <c r="L285" s="416"/>
      <c r="M285" s="416"/>
      <c r="N285" s="416"/>
    </row>
    <row r="286">
      <c r="A286" s="416"/>
      <c r="B286" s="416"/>
      <c r="C286" s="416"/>
      <c r="D286" s="416"/>
      <c r="E286" s="416"/>
      <c r="F286" s="416"/>
      <c r="G286" s="416"/>
      <c r="H286" s="416"/>
      <c r="I286" s="416"/>
      <c r="J286" s="416"/>
      <c r="K286" s="416"/>
      <c r="L286" s="416"/>
      <c r="M286" s="416"/>
      <c r="N286" s="416"/>
    </row>
    <row r="287">
      <c r="A287" s="416"/>
      <c r="B287" s="416"/>
      <c r="C287" s="416"/>
      <c r="D287" s="416"/>
      <c r="E287" s="416"/>
      <c r="F287" s="416"/>
      <c r="G287" s="416"/>
      <c r="H287" s="416"/>
      <c r="I287" s="416"/>
      <c r="J287" s="416"/>
      <c r="K287" s="416"/>
      <c r="L287" s="416"/>
      <c r="M287" s="416"/>
      <c r="N287" s="416"/>
    </row>
    <row r="288">
      <c r="A288" s="416"/>
      <c r="B288" s="416"/>
      <c r="C288" s="416"/>
      <c r="D288" s="416"/>
      <c r="E288" s="416"/>
      <c r="F288" s="416"/>
      <c r="G288" s="416"/>
      <c r="H288" s="416"/>
      <c r="I288" s="416"/>
      <c r="J288" s="416"/>
      <c r="K288" s="416"/>
      <c r="L288" s="416"/>
      <c r="M288" s="416"/>
      <c r="N288" s="416"/>
    </row>
    <row r="289">
      <c r="A289" s="416"/>
      <c r="B289" s="416"/>
      <c r="C289" s="416"/>
      <c r="D289" s="416"/>
      <c r="E289" s="416"/>
      <c r="F289" s="416"/>
      <c r="G289" s="416"/>
      <c r="H289" s="416"/>
      <c r="I289" s="416"/>
      <c r="J289" s="416"/>
      <c r="K289" s="416"/>
      <c r="L289" s="416"/>
      <c r="M289" s="416"/>
      <c r="N289" s="416"/>
    </row>
    <row r="290">
      <c r="A290" s="416"/>
      <c r="B290" s="416"/>
      <c r="C290" s="416"/>
      <c r="D290" s="416"/>
      <c r="E290" s="416"/>
      <c r="F290" s="416"/>
      <c r="G290" s="416"/>
      <c r="H290" s="416"/>
      <c r="I290" s="416"/>
      <c r="J290" s="416"/>
      <c r="K290" s="416"/>
      <c r="L290" s="416"/>
      <c r="M290" s="416"/>
      <c r="N290" s="416"/>
    </row>
    <row r="291">
      <c r="A291" s="416"/>
      <c r="B291" s="416"/>
      <c r="C291" s="416"/>
      <c r="D291" s="416"/>
      <c r="E291" s="416"/>
      <c r="F291" s="416"/>
      <c r="G291" s="416"/>
      <c r="H291" s="416"/>
      <c r="I291" s="416"/>
      <c r="J291" s="416"/>
      <c r="K291" s="416"/>
      <c r="L291" s="416"/>
      <c r="M291" s="416"/>
      <c r="N291" s="416"/>
    </row>
    <row r="292">
      <c r="A292" s="416"/>
      <c r="B292" s="416"/>
      <c r="C292" s="416"/>
      <c r="D292" s="416"/>
      <c r="E292" s="416"/>
      <c r="F292" s="416"/>
      <c r="G292" s="416"/>
      <c r="H292" s="416"/>
      <c r="I292" s="416"/>
      <c r="J292" s="416"/>
      <c r="K292" s="416"/>
      <c r="L292" s="416"/>
      <c r="M292" s="416"/>
      <c r="N292" s="416"/>
    </row>
    <row r="293">
      <c r="A293" s="416"/>
      <c r="B293" s="416"/>
      <c r="C293" s="416"/>
      <c r="D293" s="416"/>
      <c r="E293" s="416"/>
      <c r="F293" s="416"/>
      <c r="G293" s="416"/>
      <c r="H293" s="416"/>
      <c r="I293" s="416"/>
      <c r="J293" s="416"/>
      <c r="K293" s="416"/>
      <c r="L293" s="416"/>
      <c r="M293" s="416"/>
      <c r="N293" s="416"/>
    </row>
    <row r="294">
      <c r="A294" s="416"/>
      <c r="B294" s="416"/>
      <c r="C294" s="416"/>
      <c r="D294" s="416"/>
      <c r="E294" s="416"/>
      <c r="F294" s="416"/>
      <c r="G294" s="416"/>
      <c r="H294" s="416"/>
      <c r="I294" s="416"/>
      <c r="J294" s="416"/>
      <c r="K294" s="416"/>
      <c r="L294" s="416"/>
      <c r="M294" s="416"/>
      <c r="N294" s="416"/>
    </row>
    <row r="295">
      <c r="A295" s="416"/>
      <c r="B295" s="416"/>
      <c r="C295" s="416"/>
      <c r="D295" s="416"/>
      <c r="E295" s="416"/>
      <c r="F295" s="416"/>
      <c r="G295" s="416"/>
      <c r="H295" s="416"/>
      <c r="I295" s="416"/>
      <c r="J295" s="416"/>
      <c r="K295" s="416"/>
      <c r="L295" s="416"/>
      <c r="M295" s="416"/>
      <c r="N295" s="416"/>
    </row>
    <row r="296">
      <c r="A296" s="416"/>
      <c r="B296" s="416"/>
      <c r="C296" s="416"/>
      <c r="D296" s="416"/>
      <c r="E296" s="416"/>
      <c r="F296" s="416"/>
      <c r="G296" s="416"/>
      <c r="H296" s="416"/>
      <c r="I296" s="416"/>
      <c r="J296" s="416"/>
      <c r="K296" s="416"/>
      <c r="L296" s="416"/>
      <c r="M296" s="416"/>
      <c r="N296" s="416"/>
    </row>
    <row r="297">
      <c r="A297" s="416"/>
      <c r="B297" s="416"/>
      <c r="C297" s="416"/>
      <c r="D297" s="416"/>
      <c r="E297" s="416"/>
      <c r="F297" s="416"/>
      <c r="G297" s="416"/>
      <c r="H297" s="416"/>
      <c r="I297" s="416"/>
      <c r="J297" s="416"/>
      <c r="K297" s="416"/>
      <c r="L297" s="416"/>
      <c r="M297" s="416"/>
      <c r="N297" s="416"/>
    </row>
    <row r="298">
      <c r="A298" s="416"/>
      <c r="B298" s="416"/>
      <c r="C298" s="416"/>
      <c r="D298" s="416"/>
      <c r="E298" s="416"/>
      <c r="F298" s="416"/>
      <c r="G298" s="416"/>
      <c r="H298" s="416"/>
      <c r="I298" s="416"/>
      <c r="J298" s="416"/>
      <c r="K298" s="416"/>
      <c r="L298" s="416"/>
      <c r="M298" s="416"/>
      <c r="N298" s="416"/>
    </row>
    <row r="299">
      <c r="A299" s="416"/>
      <c r="B299" s="416"/>
      <c r="C299" s="416"/>
      <c r="D299" s="416"/>
      <c r="E299" s="416"/>
      <c r="F299" s="416"/>
      <c r="G299" s="416"/>
      <c r="H299" s="416"/>
      <c r="I299" s="416"/>
      <c r="J299" s="416"/>
      <c r="K299" s="416"/>
      <c r="L299" s="416"/>
      <c r="M299" s="416"/>
      <c r="N299" s="416"/>
    </row>
    <row r="300">
      <c r="A300" s="416"/>
      <c r="B300" s="416"/>
      <c r="C300" s="416"/>
      <c r="D300" s="416"/>
      <c r="E300" s="416"/>
      <c r="F300" s="416"/>
      <c r="G300" s="416"/>
      <c r="H300" s="416"/>
      <c r="I300" s="416"/>
      <c r="J300" s="416"/>
      <c r="K300" s="416"/>
      <c r="L300" s="416"/>
      <c r="M300" s="416"/>
      <c r="N300" s="416"/>
    </row>
    <row r="301">
      <c r="A301" s="416"/>
      <c r="B301" s="416"/>
      <c r="C301" s="416"/>
      <c r="D301" s="416"/>
      <c r="E301" s="416"/>
      <c r="F301" s="416"/>
      <c r="G301" s="416"/>
      <c r="H301" s="416"/>
      <c r="I301" s="416"/>
      <c r="J301" s="416"/>
      <c r="K301" s="416"/>
      <c r="L301" s="416"/>
      <c r="M301" s="416"/>
      <c r="N301" s="416"/>
    </row>
    <row r="302">
      <c r="A302" s="416"/>
      <c r="B302" s="416"/>
      <c r="C302" s="416"/>
      <c r="D302" s="416"/>
      <c r="E302" s="416"/>
      <c r="F302" s="416"/>
      <c r="G302" s="416"/>
      <c r="H302" s="416"/>
      <c r="I302" s="416"/>
      <c r="J302" s="416"/>
      <c r="K302" s="416"/>
      <c r="L302" s="416"/>
      <c r="M302" s="416"/>
      <c r="N302" s="416"/>
    </row>
    <row r="303">
      <c r="A303" s="416"/>
      <c r="B303" s="416"/>
      <c r="C303" s="416"/>
      <c r="D303" s="416"/>
      <c r="E303" s="416"/>
      <c r="F303" s="416"/>
      <c r="G303" s="416"/>
      <c r="H303" s="416"/>
      <c r="I303" s="416"/>
      <c r="J303" s="416"/>
      <c r="K303" s="416"/>
      <c r="L303" s="416"/>
      <c r="M303" s="416"/>
      <c r="N303" s="416"/>
    </row>
    <row r="304">
      <c r="A304" s="416"/>
      <c r="B304" s="416"/>
      <c r="C304" s="416"/>
      <c r="D304" s="416"/>
      <c r="E304" s="416"/>
      <c r="F304" s="416"/>
      <c r="G304" s="416"/>
      <c r="H304" s="416"/>
      <c r="I304" s="416"/>
      <c r="J304" s="416"/>
      <c r="K304" s="416"/>
      <c r="L304" s="416"/>
      <c r="M304" s="416"/>
      <c r="N304" s="416"/>
    </row>
    <row r="305">
      <c r="A305" s="416"/>
      <c r="B305" s="416"/>
      <c r="C305" s="416"/>
      <c r="D305" s="416"/>
      <c r="E305" s="416"/>
      <c r="F305" s="416"/>
      <c r="G305" s="416"/>
      <c r="H305" s="416"/>
      <c r="I305" s="416"/>
      <c r="J305" s="416"/>
      <c r="K305" s="416"/>
      <c r="L305" s="416"/>
      <c r="M305" s="416"/>
      <c r="N305" s="416"/>
    </row>
    <row r="306">
      <c r="A306" s="416"/>
      <c r="B306" s="416"/>
      <c r="C306" s="416"/>
      <c r="D306" s="416"/>
      <c r="E306" s="416"/>
      <c r="F306" s="416"/>
      <c r="G306" s="416"/>
      <c r="H306" s="416"/>
      <c r="I306" s="416"/>
      <c r="J306" s="416"/>
      <c r="K306" s="416"/>
      <c r="L306" s="416"/>
      <c r="M306" s="416"/>
      <c r="N306" s="416"/>
    </row>
    <row r="307">
      <c r="A307" s="416"/>
      <c r="B307" s="416"/>
      <c r="C307" s="416"/>
      <c r="D307" s="416"/>
      <c r="E307" s="416"/>
      <c r="F307" s="416"/>
      <c r="G307" s="416"/>
      <c r="H307" s="416"/>
      <c r="I307" s="416"/>
      <c r="J307" s="416"/>
      <c r="K307" s="416"/>
      <c r="L307" s="416"/>
      <c r="M307" s="416"/>
      <c r="N307" s="416"/>
    </row>
    <row r="308">
      <c r="A308" s="416"/>
      <c r="B308" s="416"/>
      <c r="C308" s="416"/>
      <c r="D308" s="416"/>
      <c r="E308" s="416"/>
      <c r="F308" s="416"/>
      <c r="G308" s="416"/>
      <c r="H308" s="416"/>
      <c r="I308" s="416"/>
      <c r="J308" s="416"/>
      <c r="K308" s="416"/>
      <c r="L308" s="416"/>
      <c r="M308" s="416"/>
      <c r="N308" s="416"/>
    </row>
    <row r="309">
      <c r="A309" s="416"/>
      <c r="B309" s="416"/>
      <c r="C309" s="416"/>
      <c r="D309" s="416"/>
      <c r="E309" s="416"/>
      <c r="F309" s="416"/>
      <c r="G309" s="416"/>
      <c r="H309" s="416"/>
      <c r="I309" s="416"/>
      <c r="J309" s="416"/>
      <c r="K309" s="416"/>
      <c r="L309" s="416"/>
      <c r="M309" s="416"/>
      <c r="N309" s="416"/>
    </row>
    <row r="310">
      <c r="A310" s="416"/>
      <c r="B310" s="416"/>
      <c r="C310" s="416"/>
      <c r="D310" s="416"/>
      <c r="E310" s="416"/>
      <c r="F310" s="416"/>
      <c r="G310" s="416"/>
      <c r="H310" s="416"/>
      <c r="I310" s="416"/>
      <c r="J310" s="416"/>
      <c r="K310" s="416"/>
      <c r="L310" s="416"/>
      <c r="M310" s="416"/>
      <c r="N310" s="416"/>
    </row>
    <row r="311">
      <c r="A311" s="416"/>
      <c r="B311" s="416"/>
      <c r="C311" s="416"/>
      <c r="D311" s="416"/>
      <c r="E311" s="416"/>
      <c r="F311" s="416"/>
      <c r="G311" s="416"/>
      <c r="H311" s="416"/>
      <c r="I311" s="416"/>
      <c r="J311" s="416"/>
      <c r="K311" s="416"/>
      <c r="L311" s="416"/>
      <c r="M311" s="416"/>
      <c r="N311" s="416"/>
    </row>
    <row r="312">
      <c r="A312" s="416"/>
      <c r="B312" s="416"/>
      <c r="C312" s="416"/>
      <c r="D312" s="416"/>
      <c r="E312" s="416"/>
      <c r="F312" s="416"/>
      <c r="G312" s="416"/>
      <c r="H312" s="416"/>
      <c r="I312" s="416"/>
      <c r="J312" s="416"/>
      <c r="K312" s="416"/>
      <c r="L312" s="416"/>
      <c r="M312" s="416"/>
      <c r="N312" s="416"/>
    </row>
    <row r="313">
      <c r="A313" s="416"/>
      <c r="B313" s="416"/>
      <c r="C313" s="416"/>
      <c r="D313" s="416"/>
      <c r="E313" s="416"/>
      <c r="F313" s="416"/>
      <c r="G313" s="416"/>
      <c r="H313" s="416"/>
      <c r="I313" s="416"/>
      <c r="J313" s="416"/>
      <c r="K313" s="416"/>
      <c r="L313" s="416"/>
      <c r="M313" s="416"/>
      <c r="N313" s="416"/>
    </row>
    <row r="314">
      <c r="A314" s="416"/>
      <c r="B314" s="416"/>
      <c r="C314" s="416"/>
      <c r="D314" s="416"/>
      <c r="E314" s="416"/>
      <c r="F314" s="416"/>
      <c r="G314" s="416"/>
      <c r="H314" s="416"/>
      <c r="I314" s="416"/>
      <c r="J314" s="416"/>
      <c r="K314" s="416"/>
      <c r="L314" s="416"/>
      <c r="M314" s="416"/>
      <c r="N314" s="416"/>
    </row>
    <row r="315">
      <c r="A315" s="416"/>
      <c r="B315" s="416"/>
      <c r="C315" s="416"/>
      <c r="D315" s="416"/>
      <c r="E315" s="416"/>
      <c r="F315" s="416"/>
      <c r="G315" s="416"/>
      <c r="H315" s="416"/>
      <c r="I315" s="416"/>
      <c r="J315" s="416"/>
      <c r="K315" s="416"/>
      <c r="L315" s="416"/>
      <c r="M315" s="416"/>
      <c r="N315" s="416"/>
    </row>
    <row r="316">
      <c r="A316" s="416"/>
      <c r="B316" s="416"/>
      <c r="C316" s="416"/>
      <c r="D316" s="416"/>
      <c r="E316" s="416"/>
      <c r="F316" s="416"/>
      <c r="G316" s="416"/>
      <c r="H316" s="416"/>
      <c r="I316" s="416"/>
      <c r="J316" s="416"/>
      <c r="K316" s="416"/>
      <c r="L316" s="416"/>
      <c r="M316" s="416"/>
      <c r="N316" s="416"/>
    </row>
    <row r="317">
      <c r="A317" s="416"/>
      <c r="B317" s="416"/>
      <c r="C317" s="416"/>
      <c r="D317" s="416"/>
      <c r="E317" s="416"/>
      <c r="F317" s="416"/>
      <c r="G317" s="416"/>
      <c r="H317" s="416"/>
      <c r="I317" s="416"/>
      <c r="J317" s="416"/>
      <c r="K317" s="416"/>
      <c r="L317" s="416"/>
      <c r="M317" s="416"/>
      <c r="N317" s="416"/>
    </row>
    <row r="318">
      <c r="A318" s="416"/>
      <c r="B318" s="416"/>
      <c r="C318" s="416"/>
      <c r="D318" s="416"/>
      <c r="E318" s="416"/>
      <c r="F318" s="416"/>
      <c r="G318" s="416"/>
      <c r="H318" s="416"/>
      <c r="I318" s="416"/>
      <c r="J318" s="416"/>
      <c r="K318" s="416"/>
      <c r="L318" s="416"/>
      <c r="M318" s="416"/>
      <c r="N318" s="416"/>
    </row>
    <row r="319">
      <c r="A319" s="416"/>
      <c r="B319" s="416"/>
      <c r="C319" s="416"/>
      <c r="D319" s="416"/>
      <c r="E319" s="416"/>
      <c r="F319" s="416"/>
      <c r="G319" s="416"/>
      <c r="H319" s="416"/>
      <c r="I319" s="416"/>
      <c r="J319" s="416"/>
      <c r="K319" s="416"/>
      <c r="L319" s="416"/>
      <c r="M319" s="416"/>
      <c r="N319" s="416"/>
    </row>
    <row r="320">
      <c r="A320" s="416"/>
      <c r="B320" s="416"/>
      <c r="C320" s="416"/>
      <c r="D320" s="416"/>
      <c r="E320" s="416"/>
      <c r="F320" s="416"/>
      <c r="G320" s="416"/>
      <c r="H320" s="416"/>
      <c r="I320" s="416"/>
      <c r="J320" s="416"/>
      <c r="K320" s="416"/>
      <c r="L320" s="416"/>
      <c r="M320" s="416"/>
      <c r="N320" s="416"/>
    </row>
    <row r="321">
      <c r="A321" s="416"/>
      <c r="B321" s="416"/>
      <c r="C321" s="416"/>
      <c r="D321" s="416"/>
      <c r="E321" s="416"/>
      <c r="F321" s="416"/>
      <c r="G321" s="416"/>
      <c r="H321" s="416"/>
      <c r="I321" s="416"/>
      <c r="J321" s="416"/>
      <c r="K321" s="416"/>
      <c r="L321" s="416"/>
      <c r="M321" s="416"/>
      <c r="N321" s="416"/>
    </row>
    <row r="322">
      <c r="A322" s="416"/>
      <c r="B322" s="416"/>
      <c r="C322" s="416"/>
      <c r="D322" s="416"/>
      <c r="E322" s="416"/>
      <c r="F322" s="416"/>
      <c r="G322" s="416"/>
      <c r="H322" s="416"/>
      <c r="I322" s="416"/>
      <c r="J322" s="416"/>
      <c r="K322" s="416"/>
      <c r="L322" s="416"/>
      <c r="M322" s="416"/>
      <c r="N322" s="416"/>
    </row>
    <row r="323">
      <c r="A323" s="416"/>
      <c r="B323" s="416"/>
      <c r="C323" s="416"/>
      <c r="D323" s="416"/>
      <c r="E323" s="416"/>
      <c r="F323" s="416"/>
      <c r="G323" s="416"/>
      <c r="H323" s="416"/>
      <c r="I323" s="416"/>
      <c r="J323" s="416"/>
      <c r="K323" s="416"/>
      <c r="L323" s="416"/>
      <c r="M323" s="416"/>
      <c r="N323" s="416"/>
    </row>
    <row r="324">
      <c r="A324" s="416"/>
      <c r="B324" s="416"/>
      <c r="C324" s="416"/>
      <c r="D324" s="416"/>
      <c r="E324" s="416"/>
      <c r="F324" s="416"/>
      <c r="G324" s="416"/>
      <c r="H324" s="416"/>
      <c r="I324" s="416"/>
      <c r="J324" s="416"/>
      <c r="K324" s="416"/>
      <c r="L324" s="416"/>
      <c r="M324" s="416"/>
      <c r="N324" s="416"/>
    </row>
    <row r="325">
      <c r="A325" s="416"/>
      <c r="B325" s="416"/>
      <c r="C325" s="416"/>
      <c r="D325" s="416"/>
      <c r="E325" s="416"/>
      <c r="F325" s="416"/>
      <c r="G325" s="416"/>
      <c r="H325" s="416"/>
      <c r="I325" s="416"/>
      <c r="J325" s="416"/>
      <c r="K325" s="416"/>
      <c r="L325" s="416"/>
      <c r="M325" s="416"/>
      <c r="N325" s="416"/>
    </row>
    <row r="326">
      <c r="A326" s="416"/>
      <c r="B326" s="416"/>
      <c r="C326" s="416"/>
      <c r="D326" s="416"/>
      <c r="E326" s="416"/>
      <c r="F326" s="416"/>
      <c r="G326" s="416"/>
      <c r="H326" s="416"/>
      <c r="I326" s="416"/>
      <c r="J326" s="416"/>
      <c r="K326" s="416"/>
      <c r="L326" s="416"/>
      <c r="M326" s="416"/>
      <c r="N326" s="416"/>
    </row>
    <row r="327">
      <c r="A327" s="416"/>
      <c r="B327" s="416"/>
      <c r="C327" s="416"/>
      <c r="D327" s="416"/>
      <c r="E327" s="416"/>
      <c r="F327" s="416"/>
      <c r="G327" s="416"/>
      <c r="H327" s="416"/>
      <c r="I327" s="416"/>
      <c r="J327" s="416"/>
      <c r="K327" s="416"/>
      <c r="L327" s="416"/>
      <c r="M327" s="416"/>
      <c r="N327" s="416"/>
    </row>
    <row r="328">
      <c r="A328" s="416"/>
      <c r="B328" s="416"/>
      <c r="C328" s="416"/>
      <c r="D328" s="416"/>
      <c r="E328" s="416"/>
      <c r="F328" s="416"/>
      <c r="G328" s="416"/>
      <c r="H328" s="416"/>
      <c r="I328" s="416"/>
      <c r="J328" s="416"/>
      <c r="K328" s="416"/>
      <c r="L328" s="416"/>
      <c r="M328" s="416"/>
      <c r="N328" s="416"/>
    </row>
    <row r="329">
      <c r="A329" s="416"/>
      <c r="B329" s="416"/>
      <c r="C329" s="416"/>
      <c r="D329" s="416"/>
      <c r="E329" s="416"/>
      <c r="F329" s="416"/>
      <c r="G329" s="416"/>
      <c r="H329" s="416"/>
      <c r="I329" s="416"/>
      <c r="J329" s="416"/>
      <c r="K329" s="416"/>
      <c r="L329" s="416"/>
      <c r="M329" s="416"/>
      <c r="N329" s="416"/>
    </row>
    <row r="330">
      <c r="A330" s="416"/>
      <c r="B330" s="416"/>
      <c r="C330" s="416"/>
      <c r="D330" s="416"/>
      <c r="E330" s="416"/>
      <c r="F330" s="416"/>
      <c r="G330" s="416"/>
      <c r="H330" s="416"/>
      <c r="I330" s="416"/>
      <c r="J330" s="416"/>
      <c r="K330" s="416"/>
      <c r="L330" s="416"/>
      <c r="M330" s="416"/>
      <c r="N330" s="416"/>
    </row>
    <row r="331">
      <c r="A331" s="416"/>
      <c r="B331" s="416"/>
      <c r="C331" s="416"/>
      <c r="D331" s="416"/>
      <c r="E331" s="416"/>
      <c r="F331" s="416"/>
      <c r="G331" s="416"/>
      <c r="H331" s="416"/>
      <c r="I331" s="416"/>
      <c r="J331" s="416"/>
      <c r="K331" s="416"/>
      <c r="L331" s="416"/>
      <c r="M331" s="416"/>
      <c r="N331" s="416"/>
    </row>
    <row r="332">
      <c r="A332" s="416"/>
      <c r="B332" s="416"/>
      <c r="C332" s="416"/>
      <c r="D332" s="416"/>
      <c r="E332" s="416"/>
      <c r="F332" s="416"/>
      <c r="G332" s="416"/>
      <c r="H332" s="416"/>
      <c r="I332" s="416"/>
      <c r="J332" s="416"/>
      <c r="K332" s="416"/>
      <c r="L332" s="416"/>
      <c r="M332" s="416"/>
      <c r="N332" s="416"/>
    </row>
    <row r="333">
      <c r="A333" s="416"/>
      <c r="B333" s="416"/>
      <c r="C333" s="416"/>
      <c r="D333" s="416"/>
      <c r="E333" s="416"/>
      <c r="F333" s="416"/>
      <c r="G333" s="416"/>
      <c r="H333" s="416"/>
      <c r="I333" s="416"/>
      <c r="J333" s="416"/>
      <c r="K333" s="416"/>
      <c r="L333" s="416"/>
      <c r="M333" s="416"/>
      <c r="N333" s="416"/>
    </row>
    <row r="334">
      <c r="A334" s="416"/>
      <c r="B334" s="416"/>
      <c r="C334" s="416"/>
      <c r="D334" s="416"/>
      <c r="E334" s="416"/>
      <c r="F334" s="416"/>
      <c r="G334" s="416"/>
      <c r="H334" s="416"/>
      <c r="I334" s="416"/>
      <c r="J334" s="416"/>
      <c r="K334" s="416"/>
      <c r="L334" s="416"/>
      <c r="M334" s="416"/>
      <c r="N334" s="416"/>
    </row>
    <row r="335">
      <c r="A335" s="416"/>
      <c r="B335" s="416"/>
      <c r="C335" s="416"/>
      <c r="D335" s="416"/>
      <c r="E335" s="416"/>
      <c r="F335" s="416"/>
      <c r="G335" s="416"/>
      <c r="H335" s="416"/>
      <c r="I335" s="416"/>
      <c r="J335" s="416"/>
      <c r="K335" s="416"/>
      <c r="L335" s="416"/>
      <c r="M335" s="416"/>
      <c r="N335" s="416"/>
    </row>
    <row r="336">
      <c r="A336" s="416"/>
      <c r="B336" s="416"/>
      <c r="C336" s="416"/>
      <c r="D336" s="416"/>
      <c r="E336" s="416"/>
      <c r="F336" s="416"/>
      <c r="G336" s="416"/>
      <c r="H336" s="416"/>
      <c r="I336" s="416"/>
      <c r="J336" s="416"/>
      <c r="K336" s="416"/>
      <c r="L336" s="416"/>
      <c r="M336" s="416"/>
      <c r="N336" s="416"/>
    </row>
    <row r="337">
      <c r="A337" s="416"/>
      <c r="B337" s="416"/>
      <c r="C337" s="416"/>
      <c r="D337" s="416"/>
      <c r="E337" s="416"/>
      <c r="F337" s="416"/>
      <c r="G337" s="416"/>
      <c r="H337" s="416"/>
      <c r="I337" s="416"/>
      <c r="J337" s="416"/>
      <c r="K337" s="416"/>
      <c r="L337" s="416"/>
      <c r="M337" s="416"/>
      <c r="N337" s="416"/>
    </row>
    <row r="338">
      <c r="A338" s="416"/>
      <c r="B338" s="416"/>
      <c r="C338" s="416"/>
      <c r="D338" s="416"/>
      <c r="E338" s="416"/>
      <c r="F338" s="416"/>
      <c r="G338" s="416"/>
      <c r="H338" s="416"/>
      <c r="I338" s="416"/>
      <c r="J338" s="416"/>
      <c r="K338" s="416"/>
      <c r="L338" s="416"/>
      <c r="M338" s="416"/>
      <c r="N338" s="416"/>
    </row>
    <row r="339">
      <c r="A339" s="416"/>
      <c r="B339" s="416"/>
      <c r="C339" s="416"/>
      <c r="D339" s="416"/>
      <c r="E339" s="416"/>
      <c r="F339" s="416"/>
      <c r="G339" s="416"/>
      <c r="H339" s="416"/>
      <c r="I339" s="416"/>
      <c r="J339" s="416"/>
      <c r="K339" s="416"/>
      <c r="L339" s="416"/>
      <c r="M339" s="416"/>
      <c r="N339" s="416"/>
    </row>
    <row r="340">
      <c r="A340" s="416"/>
      <c r="B340" s="416"/>
      <c r="C340" s="416"/>
      <c r="D340" s="416"/>
      <c r="E340" s="416"/>
      <c r="F340" s="416"/>
      <c r="G340" s="416"/>
      <c r="H340" s="416"/>
      <c r="I340" s="416"/>
      <c r="J340" s="416"/>
      <c r="K340" s="416"/>
      <c r="L340" s="416"/>
      <c r="M340" s="416"/>
      <c r="N340" s="416"/>
    </row>
    <row r="341">
      <c r="A341" s="416"/>
      <c r="B341" s="416"/>
      <c r="C341" s="416"/>
      <c r="D341" s="416"/>
      <c r="E341" s="416"/>
      <c r="F341" s="416"/>
      <c r="G341" s="416"/>
      <c r="H341" s="416"/>
      <c r="I341" s="416"/>
      <c r="J341" s="416"/>
      <c r="K341" s="416"/>
      <c r="L341" s="416"/>
      <c r="M341" s="416"/>
      <c r="N341" s="416"/>
    </row>
    <row r="342">
      <c r="A342" s="416"/>
      <c r="B342" s="416"/>
      <c r="C342" s="416"/>
      <c r="D342" s="416"/>
      <c r="E342" s="416"/>
      <c r="F342" s="416"/>
      <c r="G342" s="416"/>
      <c r="H342" s="416"/>
      <c r="I342" s="416"/>
      <c r="J342" s="416"/>
      <c r="K342" s="416"/>
      <c r="L342" s="416"/>
      <c r="M342" s="416"/>
      <c r="N342" s="416"/>
    </row>
    <row r="343">
      <c r="A343" s="416"/>
      <c r="B343" s="416"/>
      <c r="C343" s="416"/>
      <c r="D343" s="416"/>
      <c r="E343" s="416"/>
      <c r="F343" s="416"/>
      <c r="G343" s="416"/>
      <c r="H343" s="416"/>
      <c r="I343" s="416"/>
      <c r="J343" s="416"/>
      <c r="K343" s="416"/>
      <c r="L343" s="416"/>
      <c r="M343" s="416"/>
      <c r="N343" s="416"/>
    </row>
    <row r="344">
      <c r="A344" s="416"/>
      <c r="B344" s="416"/>
      <c r="C344" s="416"/>
      <c r="D344" s="416"/>
      <c r="E344" s="416"/>
      <c r="F344" s="416"/>
      <c r="G344" s="416"/>
      <c r="H344" s="416"/>
      <c r="I344" s="416"/>
      <c r="J344" s="416"/>
      <c r="K344" s="416"/>
      <c r="L344" s="416"/>
      <c r="M344" s="416"/>
      <c r="N344" s="416"/>
    </row>
    <row r="345">
      <c r="A345" s="416"/>
      <c r="B345" s="416"/>
      <c r="C345" s="416"/>
      <c r="D345" s="416"/>
      <c r="E345" s="416"/>
      <c r="F345" s="416"/>
      <c r="G345" s="416"/>
      <c r="H345" s="416"/>
      <c r="I345" s="416"/>
      <c r="J345" s="416"/>
      <c r="K345" s="416"/>
      <c r="L345" s="416"/>
      <c r="M345" s="416"/>
      <c r="N345" s="416"/>
    </row>
    <row r="346">
      <c r="A346" s="416"/>
      <c r="B346" s="416"/>
      <c r="C346" s="416"/>
      <c r="D346" s="416"/>
      <c r="E346" s="416"/>
      <c r="F346" s="416"/>
      <c r="G346" s="416"/>
      <c r="H346" s="416"/>
      <c r="I346" s="416"/>
      <c r="J346" s="416"/>
      <c r="K346" s="416"/>
      <c r="L346" s="416"/>
      <c r="M346" s="416"/>
      <c r="N346" s="416"/>
    </row>
    <row r="347">
      <c r="A347" s="416"/>
      <c r="B347" s="416"/>
      <c r="C347" s="416"/>
      <c r="D347" s="416"/>
      <c r="E347" s="416"/>
      <c r="F347" s="416"/>
      <c r="G347" s="416"/>
      <c r="H347" s="416"/>
      <c r="I347" s="416"/>
      <c r="J347" s="416"/>
      <c r="K347" s="416"/>
      <c r="L347" s="416"/>
      <c r="M347" s="416"/>
      <c r="N347" s="416"/>
    </row>
    <row r="348">
      <c r="A348" s="416"/>
      <c r="B348" s="416"/>
      <c r="C348" s="416"/>
      <c r="D348" s="416"/>
      <c r="E348" s="416"/>
      <c r="F348" s="416"/>
      <c r="G348" s="416"/>
      <c r="H348" s="416"/>
      <c r="I348" s="416"/>
      <c r="J348" s="416"/>
      <c r="K348" s="416"/>
      <c r="L348" s="416"/>
      <c r="M348" s="416"/>
      <c r="N348" s="416"/>
    </row>
    <row r="349">
      <c r="A349" s="416"/>
      <c r="B349" s="416"/>
      <c r="C349" s="416"/>
      <c r="D349" s="416"/>
      <c r="E349" s="416"/>
      <c r="F349" s="416"/>
      <c r="G349" s="416"/>
      <c r="H349" s="416"/>
      <c r="I349" s="416"/>
      <c r="J349" s="416"/>
      <c r="K349" s="416"/>
      <c r="L349" s="416"/>
      <c r="M349" s="416"/>
      <c r="N349" s="416"/>
    </row>
    <row r="350">
      <c r="A350" s="416"/>
      <c r="B350" s="416"/>
      <c r="C350" s="416"/>
      <c r="D350" s="416"/>
      <c r="E350" s="416"/>
      <c r="F350" s="416"/>
      <c r="G350" s="416"/>
      <c r="H350" s="416"/>
      <c r="I350" s="416"/>
      <c r="J350" s="416"/>
      <c r="K350" s="416"/>
      <c r="L350" s="416"/>
      <c r="M350" s="416"/>
      <c r="N350" s="416"/>
    </row>
    <row r="351">
      <c r="A351" s="416"/>
      <c r="B351" s="416"/>
      <c r="C351" s="416"/>
      <c r="D351" s="416"/>
      <c r="E351" s="416"/>
      <c r="F351" s="416"/>
      <c r="G351" s="416"/>
      <c r="H351" s="416"/>
      <c r="I351" s="416"/>
      <c r="J351" s="416"/>
      <c r="K351" s="416"/>
      <c r="L351" s="416"/>
      <c r="M351" s="416"/>
      <c r="N351" s="416"/>
    </row>
    <row r="352">
      <c r="A352" s="416"/>
      <c r="B352" s="416"/>
      <c r="C352" s="416"/>
      <c r="D352" s="416"/>
      <c r="E352" s="416"/>
      <c r="F352" s="416"/>
      <c r="G352" s="416"/>
      <c r="H352" s="416"/>
      <c r="I352" s="416"/>
      <c r="J352" s="416"/>
      <c r="K352" s="416"/>
      <c r="L352" s="416"/>
      <c r="M352" s="416"/>
      <c r="N352" s="416"/>
    </row>
    <row r="353">
      <c r="A353" s="416"/>
      <c r="B353" s="416"/>
      <c r="C353" s="416"/>
      <c r="D353" s="416"/>
      <c r="E353" s="416"/>
      <c r="F353" s="416"/>
      <c r="G353" s="416"/>
      <c r="H353" s="416"/>
      <c r="I353" s="416"/>
      <c r="J353" s="416"/>
      <c r="K353" s="416"/>
      <c r="L353" s="416"/>
      <c r="M353" s="416"/>
      <c r="N353" s="416"/>
    </row>
    <row r="354">
      <c r="A354" s="416"/>
      <c r="B354" s="416"/>
      <c r="C354" s="416"/>
      <c r="D354" s="416"/>
      <c r="E354" s="416"/>
      <c r="F354" s="416"/>
      <c r="G354" s="416"/>
      <c r="H354" s="416"/>
      <c r="I354" s="416"/>
      <c r="J354" s="416"/>
      <c r="K354" s="416"/>
      <c r="L354" s="416"/>
      <c r="M354" s="416"/>
      <c r="N354" s="416"/>
    </row>
    <row r="355">
      <c r="A355" s="416"/>
      <c r="B355" s="416"/>
      <c r="C355" s="416"/>
      <c r="D355" s="416"/>
      <c r="E355" s="416"/>
      <c r="F355" s="416"/>
      <c r="G355" s="416"/>
      <c r="H355" s="416"/>
      <c r="I355" s="416"/>
      <c r="J355" s="416"/>
      <c r="K355" s="416"/>
      <c r="L355" s="416"/>
      <c r="M355" s="416"/>
      <c r="N355" s="416"/>
    </row>
    <row r="356">
      <c r="A356" s="416"/>
      <c r="B356" s="416"/>
      <c r="C356" s="416"/>
      <c r="D356" s="416"/>
      <c r="E356" s="416"/>
      <c r="F356" s="416"/>
      <c r="G356" s="416"/>
      <c r="H356" s="416"/>
      <c r="I356" s="416"/>
      <c r="J356" s="416"/>
      <c r="K356" s="416"/>
      <c r="L356" s="416"/>
      <c r="M356" s="416"/>
      <c r="N356" s="416"/>
    </row>
    <row r="357">
      <c r="A357" s="416"/>
      <c r="B357" s="416"/>
      <c r="C357" s="416"/>
      <c r="D357" s="416"/>
      <c r="E357" s="416"/>
      <c r="F357" s="416"/>
      <c r="G357" s="416"/>
      <c r="H357" s="416"/>
      <c r="I357" s="416"/>
      <c r="J357" s="416"/>
      <c r="K357" s="416"/>
      <c r="L357" s="416"/>
      <c r="M357" s="416"/>
      <c r="N357" s="416"/>
    </row>
    <row r="358">
      <c r="A358" s="416"/>
      <c r="B358" s="416"/>
      <c r="C358" s="416"/>
      <c r="D358" s="416"/>
      <c r="E358" s="416"/>
      <c r="F358" s="416"/>
      <c r="G358" s="416"/>
      <c r="H358" s="416"/>
      <c r="I358" s="416"/>
      <c r="J358" s="416"/>
      <c r="K358" s="416"/>
      <c r="L358" s="416"/>
      <c r="M358" s="416"/>
      <c r="N358" s="416"/>
    </row>
    <row r="359">
      <c r="A359" s="416"/>
      <c r="B359" s="416"/>
      <c r="C359" s="416"/>
      <c r="D359" s="416"/>
      <c r="E359" s="416"/>
      <c r="F359" s="416"/>
      <c r="G359" s="416"/>
      <c r="H359" s="416"/>
      <c r="I359" s="416"/>
      <c r="J359" s="416"/>
      <c r="K359" s="416"/>
      <c r="L359" s="416"/>
      <c r="M359" s="416"/>
      <c r="N359" s="416"/>
    </row>
    <row r="360">
      <c r="A360" s="416"/>
      <c r="B360" s="416"/>
      <c r="C360" s="416"/>
      <c r="D360" s="416"/>
      <c r="E360" s="416"/>
      <c r="F360" s="416"/>
      <c r="G360" s="416"/>
      <c r="H360" s="416"/>
      <c r="I360" s="416"/>
      <c r="J360" s="416"/>
      <c r="K360" s="416"/>
      <c r="L360" s="416"/>
      <c r="M360" s="416"/>
      <c r="N360" s="416"/>
    </row>
    <row r="361">
      <c r="A361" s="416"/>
      <c r="B361" s="416"/>
      <c r="C361" s="416"/>
      <c r="D361" s="416"/>
      <c r="E361" s="416"/>
      <c r="F361" s="416"/>
      <c r="G361" s="416"/>
      <c r="H361" s="416"/>
      <c r="I361" s="416"/>
      <c r="J361" s="416"/>
      <c r="K361" s="416"/>
      <c r="L361" s="416"/>
      <c r="M361" s="416"/>
      <c r="N361" s="416"/>
    </row>
    <row r="362">
      <c r="A362" s="416"/>
      <c r="B362" s="416"/>
      <c r="C362" s="416"/>
      <c r="D362" s="416"/>
      <c r="E362" s="416"/>
      <c r="F362" s="416"/>
      <c r="G362" s="416"/>
      <c r="H362" s="416"/>
      <c r="I362" s="416"/>
      <c r="J362" s="416"/>
      <c r="K362" s="416"/>
      <c r="L362" s="416"/>
      <c r="M362" s="416"/>
      <c r="N362" s="416"/>
    </row>
    <row r="363">
      <c r="A363" s="416"/>
      <c r="B363" s="416"/>
      <c r="C363" s="416"/>
      <c r="D363" s="416"/>
      <c r="E363" s="416"/>
      <c r="F363" s="416"/>
      <c r="G363" s="416"/>
      <c r="H363" s="416"/>
      <c r="I363" s="416"/>
      <c r="J363" s="416"/>
      <c r="K363" s="416"/>
      <c r="L363" s="416"/>
      <c r="M363" s="416"/>
      <c r="N363" s="416"/>
    </row>
    <row r="364">
      <c r="A364" s="416"/>
      <c r="B364" s="416"/>
      <c r="C364" s="416"/>
      <c r="D364" s="416"/>
      <c r="E364" s="416"/>
      <c r="F364" s="416"/>
      <c r="G364" s="416"/>
      <c r="H364" s="416"/>
      <c r="I364" s="416"/>
      <c r="J364" s="416"/>
      <c r="K364" s="416"/>
      <c r="L364" s="416"/>
      <c r="M364" s="416"/>
      <c r="N364" s="416"/>
    </row>
    <row r="365">
      <c r="A365" s="416"/>
      <c r="B365" s="416"/>
      <c r="C365" s="416"/>
      <c r="D365" s="416"/>
      <c r="E365" s="416"/>
      <c r="F365" s="416"/>
      <c r="G365" s="416"/>
      <c r="H365" s="416"/>
      <c r="I365" s="416"/>
      <c r="J365" s="416"/>
      <c r="K365" s="416"/>
      <c r="L365" s="416"/>
      <c r="M365" s="416"/>
      <c r="N365" s="416"/>
    </row>
    <row r="366">
      <c r="A366" s="416"/>
      <c r="B366" s="416"/>
      <c r="C366" s="416"/>
      <c r="D366" s="416"/>
      <c r="E366" s="416"/>
      <c r="F366" s="416"/>
      <c r="G366" s="416"/>
      <c r="H366" s="416"/>
      <c r="I366" s="416"/>
      <c r="J366" s="416"/>
      <c r="K366" s="416"/>
      <c r="L366" s="416"/>
      <c r="M366" s="416"/>
      <c r="N366" s="416"/>
    </row>
    <row r="367">
      <c r="A367" s="416"/>
      <c r="B367" s="416"/>
      <c r="C367" s="416"/>
      <c r="D367" s="416"/>
      <c r="E367" s="416"/>
      <c r="F367" s="416"/>
      <c r="G367" s="416"/>
      <c r="H367" s="416"/>
      <c r="I367" s="416"/>
      <c r="J367" s="416"/>
      <c r="K367" s="416"/>
      <c r="L367" s="416"/>
      <c r="M367" s="416"/>
      <c r="N367" s="416"/>
    </row>
    <row r="368">
      <c r="A368" s="416"/>
      <c r="B368" s="416"/>
      <c r="C368" s="416"/>
      <c r="D368" s="416"/>
      <c r="E368" s="416"/>
      <c r="F368" s="416"/>
      <c r="G368" s="416"/>
      <c r="H368" s="416"/>
      <c r="I368" s="416"/>
      <c r="J368" s="416"/>
      <c r="K368" s="416"/>
      <c r="L368" s="416"/>
      <c r="M368" s="416"/>
      <c r="N368" s="416"/>
    </row>
    <row r="369">
      <c r="A369" s="416"/>
      <c r="B369" s="416"/>
      <c r="C369" s="416"/>
      <c r="D369" s="416"/>
      <c r="E369" s="416"/>
      <c r="F369" s="416"/>
      <c r="G369" s="416"/>
      <c r="H369" s="416"/>
      <c r="I369" s="416"/>
      <c r="J369" s="416"/>
      <c r="K369" s="416"/>
      <c r="L369" s="416"/>
      <c r="M369" s="416"/>
      <c r="N369" s="416"/>
    </row>
    <row r="370">
      <c r="A370" s="416"/>
      <c r="B370" s="416"/>
      <c r="C370" s="416"/>
      <c r="D370" s="416"/>
      <c r="E370" s="416"/>
      <c r="F370" s="416"/>
      <c r="G370" s="416"/>
      <c r="H370" s="416"/>
      <c r="I370" s="416"/>
      <c r="J370" s="416"/>
      <c r="K370" s="416"/>
      <c r="L370" s="416"/>
      <c r="M370" s="416"/>
      <c r="N370" s="416"/>
    </row>
    <row r="371">
      <c r="A371" s="416"/>
      <c r="B371" s="416"/>
      <c r="C371" s="416"/>
      <c r="D371" s="416"/>
      <c r="E371" s="416"/>
      <c r="F371" s="416"/>
      <c r="G371" s="416"/>
      <c r="H371" s="416"/>
      <c r="I371" s="416"/>
      <c r="J371" s="416"/>
      <c r="K371" s="416"/>
      <c r="L371" s="416"/>
      <c r="M371" s="416"/>
      <c r="N371" s="416"/>
    </row>
    <row r="372">
      <c r="A372" s="416"/>
      <c r="B372" s="416"/>
      <c r="C372" s="416"/>
      <c r="D372" s="416"/>
      <c r="E372" s="416"/>
      <c r="F372" s="416"/>
      <c r="G372" s="416"/>
      <c r="H372" s="416"/>
      <c r="I372" s="416"/>
      <c r="J372" s="416"/>
      <c r="K372" s="416"/>
      <c r="L372" s="416"/>
      <c r="M372" s="416"/>
      <c r="N372" s="416"/>
    </row>
    <row r="373">
      <c r="A373" s="416"/>
      <c r="B373" s="416"/>
      <c r="C373" s="416"/>
      <c r="D373" s="416"/>
      <c r="E373" s="416"/>
      <c r="F373" s="416"/>
      <c r="G373" s="416"/>
      <c r="H373" s="416"/>
      <c r="I373" s="416"/>
      <c r="J373" s="416"/>
      <c r="K373" s="416"/>
      <c r="L373" s="416"/>
      <c r="M373" s="416"/>
      <c r="N373" s="416"/>
    </row>
    <row r="374">
      <c r="A374" s="416"/>
      <c r="B374" s="416"/>
      <c r="C374" s="416"/>
      <c r="D374" s="416"/>
      <c r="E374" s="416"/>
      <c r="F374" s="416"/>
      <c r="G374" s="416"/>
      <c r="H374" s="416"/>
      <c r="I374" s="416"/>
      <c r="J374" s="416"/>
      <c r="K374" s="416"/>
      <c r="L374" s="416"/>
      <c r="M374" s="416"/>
      <c r="N374" s="416"/>
    </row>
    <row r="375">
      <c r="A375" s="416"/>
      <c r="B375" s="416"/>
      <c r="C375" s="416"/>
      <c r="D375" s="416"/>
      <c r="E375" s="416"/>
      <c r="F375" s="416"/>
      <c r="G375" s="416"/>
      <c r="H375" s="416"/>
      <c r="I375" s="416"/>
      <c r="J375" s="416"/>
      <c r="K375" s="416"/>
      <c r="L375" s="416"/>
      <c r="M375" s="416"/>
      <c r="N375" s="416"/>
    </row>
    <row r="376">
      <c r="A376" s="416"/>
      <c r="B376" s="416"/>
      <c r="C376" s="416"/>
      <c r="D376" s="416"/>
      <c r="E376" s="416"/>
      <c r="F376" s="416"/>
      <c r="G376" s="416"/>
      <c r="H376" s="416"/>
      <c r="I376" s="416"/>
      <c r="J376" s="416"/>
      <c r="K376" s="416"/>
      <c r="L376" s="416"/>
      <c r="M376" s="416"/>
      <c r="N376" s="416"/>
    </row>
    <row r="377">
      <c r="A377" s="416"/>
      <c r="B377" s="416"/>
      <c r="C377" s="416"/>
      <c r="D377" s="416"/>
      <c r="E377" s="416"/>
      <c r="F377" s="416"/>
      <c r="G377" s="416"/>
      <c r="H377" s="416"/>
      <c r="I377" s="416"/>
      <c r="J377" s="416"/>
      <c r="K377" s="416"/>
      <c r="L377" s="416"/>
      <c r="M377" s="416"/>
      <c r="N377" s="416"/>
    </row>
    <row r="378">
      <c r="A378" s="416"/>
      <c r="B378" s="416"/>
      <c r="C378" s="416"/>
      <c r="D378" s="416"/>
      <c r="E378" s="416"/>
      <c r="F378" s="416"/>
      <c r="G378" s="416"/>
      <c r="H378" s="416"/>
      <c r="I378" s="416"/>
      <c r="J378" s="416"/>
      <c r="K378" s="416"/>
      <c r="L378" s="416"/>
      <c r="M378" s="416"/>
      <c r="N378" s="416"/>
    </row>
    <row r="379">
      <c r="A379" s="416"/>
      <c r="B379" s="416"/>
      <c r="C379" s="416"/>
      <c r="D379" s="416"/>
      <c r="E379" s="416"/>
      <c r="F379" s="416"/>
      <c r="G379" s="416"/>
      <c r="H379" s="416"/>
      <c r="I379" s="416"/>
      <c r="J379" s="416"/>
      <c r="K379" s="416"/>
      <c r="L379" s="416"/>
      <c r="M379" s="416"/>
      <c r="N379" s="416"/>
    </row>
    <row r="380">
      <c r="A380" s="416"/>
      <c r="B380" s="416"/>
      <c r="C380" s="416"/>
      <c r="D380" s="416"/>
      <c r="E380" s="416"/>
      <c r="F380" s="416"/>
      <c r="G380" s="416"/>
      <c r="H380" s="416"/>
      <c r="I380" s="416"/>
      <c r="J380" s="416"/>
      <c r="K380" s="416"/>
      <c r="L380" s="416"/>
      <c r="M380" s="416"/>
      <c r="N380" s="416"/>
    </row>
    <row r="381">
      <c r="A381" s="416"/>
      <c r="B381" s="416"/>
      <c r="C381" s="416"/>
      <c r="D381" s="416"/>
      <c r="E381" s="416"/>
      <c r="F381" s="416"/>
      <c r="G381" s="416"/>
      <c r="H381" s="416"/>
      <c r="I381" s="416"/>
      <c r="J381" s="416"/>
      <c r="K381" s="416"/>
      <c r="L381" s="416"/>
      <c r="M381" s="416"/>
      <c r="N381" s="416"/>
    </row>
    <row r="382">
      <c r="A382" s="416"/>
      <c r="B382" s="416"/>
      <c r="C382" s="416"/>
      <c r="D382" s="416"/>
      <c r="E382" s="416"/>
      <c r="F382" s="416"/>
      <c r="G382" s="416"/>
      <c r="H382" s="416"/>
      <c r="I382" s="416"/>
      <c r="J382" s="416"/>
      <c r="K382" s="416"/>
      <c r="L382" s="416"/>
      <c r="M382" s="416"/>
      <c r="N382" s="416"/>
    </row>
    <row r="383">
      <c r="A383" s="416"/>
      <c r="B383" s="416"/>
      <c r="C383" s="416"/>
      <c r="D383" s="416"/>
      <c r="E383" s="416"/>
      <c r="F383" s="416"/>
      <c r="G383" s="416"/>
      <c r="H383" s="416"/>
      <c r="I383" s="416"/>
      <c r="J383" s="416"/>
      <c r="K383" s="416"/>
      <c r="L383" s="416"/>
      <c r="M383" s="416"/>
      <c r="N383" s="416"/>
    </row>
    <row r="384">
      <c r="A384" s="416"/>
      <c r="B384" s="416"/>
      <c r="C384" s="416"/>
      <c r="D384" s="416"/>
      <c r="E384" s="416"/>
      <c r="F384" s="416"/>
      <c r="G384" s="416"/>
      <c r="H384" s="416"/>
      <c r="I384" s="416"/>
      <c r="J384" s="416"/>
      <c r="K384" s="416"/>
      <c r="L384" s="416"/>
      <c r="M384" s="416"/>
      <c r="N384" s="416"/>
    </row>
    <row r="385">
      <c r="A385" s="416"/>
      <c r="B385" s="416"/>
      <c r="C385" s="416"/>
      <c r="D385" s="416"/>
      <c r="E385" s="416"/>
      <c r="F385" s="416"/>
      <c r="G385" s="416"/>
      <c r="H385" s="416"/>
      <c r="I385" s="416"/>
      <c r="J385" s="416"/>
      <c r="K385" s="416"/>
      <c r="L385" s="416"/>
      <c r="M385" s="416"/>
      <c r="N385" s="416"/>
    </row>
    <row r="386">
      <c r="A386" s="416"/>
      <c r="B386" s="416"/>
      <c r="C386" s="416"/>
      <c r="D386" s="416"/>
      <c r="E386" s="416"/>
      <c r="F386" s="416"/>
      <c r="G386" s="416"/>
      <c r="H386" s="416"/>
      <c r="I386" s="416"/>
      <c r="J386" s="416"/>
      <c r="K386" s="416"/>
      <c r="L386" s="416"/>
      <c r="M386" s="416"/>
      <c r="N386" s="416"/>
    </row>
    <row r="387">
      <c r="A387" s="416"/>
      <c r="B387" s="416"/>
      <c r="C387" s="416"/>
      <c r="D387" s="416"/>
      <c r="E387" s="416"/>
      <c r="F387" s="416"/>
      <c r="G387" s="416"/>
      <c r="H387" s="416"/>
      <c r="I387" s="416"/>
      <c r="J387" s="416"/>
      <c r="K387" s="416"/>
      <c r="L387" s="416"/>
      <c r="M387" s="416"/>
      <c r="N387" s="416"/>
    </row>
    <row r="388">
      <c r="A388" s="416"/>
      <c r="B388" s="416"/>
      <c r="C388" s="416"/>
      <c r="D388" s="416"/>
      <c r="E388" s="416"/>
      <c r="F388" s="416"/>
      <c r="G388" s="416"/>
      <c r="H388" s="416"/>
      <c r="I388" s="416"/>
      <c r="J388" s="416"/>
      <c r="K388" s="416"/>
      <c r="L388" s="416"/>
      <c r="M388" s="416"/>
      <c r="N388" s="416"/>
    </row>
    <row r="389">
      <c r="A389" s="416"/>
      <c r="B389" s="416"/>
      <c r="C389" s="416"/>
      <c r="D389" s="416"/>
      <c r="E389" s="416"/>
      <c r="F389" s="416"/>
      <c r="G389" s="416"/>
      <c r="H389" s="416"/>
      <c r="I389" s="416"/>
      <c r="J389" s="416"/>
      <c r="K389" s="416"/>
      <c r="L389" s="416"/>
      <c r="M389" s="416"/>
      <c r="N389" s="416"/>
    </row>
    <row r="390">
      <c r="A390" s="416"/>
      <c r="B390" s="416"/>
      <c r="C390" s="416"/>
      <c r="D390" s="416"/>
      <c r="E390" s="416"/>
      <c r="F390" s="416"/>
      <c r="G390" s="416"/>
      <c r="H390" s="416"/>
      <c r="I390" s="416"/>
      <c r="J390" s="416"/>
      <c r="K390" s="416"/>
      <c r="L390" s="416"/>
      <c r="M390" s="416"/>
      <c r="N390" s="416"/>
    </row>
    <row r="391">
      <c r="A391" s="416"/>
      <c r="B391" s="416"/>
      <c r="C391" s="416"/>
      <c r="D391" s="416"/>
      <c r="E391" s="416"/>
      <c r="F391" s="416"/>
      <c r="G391" s="416"/>
      <c r="H391" s="416"/>
      <c r="I391" s="416"/>
      <c r="J391" s="416"/>
      <c r="K391" s="416"/>
      <c r="L391" s="416"/>
      <c r="M391" s="416"/>
      <c r="N391" s="416"/>
    </row>
    <row r="392">
      <c r="A392" s="416"/>
      <c r="B392" s="416"/>
      <c r="C392" s="416"/>
      <c r="D392" s="416"/>
      <c r="E392" s="416"/>
      <c r="F392" s="416"/>
      <c r="G392" s="416"/>
      <c r="H392" s="416"/>
      <c r="I392" s="416"/>
      <c r="J392" s="416"/>
      <c r="K392" s="416"/>
      <c r="L392" s="416"/>
      <c r="M392" s="416"/>
      <c r="N392" s="416"/>
    </row>
    <row r="393">
      <c r="A393" s="416"/>
      <c r="B393" s="416"/>
      <c r="C393" s="416"/>
      <c r="D393" s="416"/>
      <c r="E393" s="416"/>
      <c r="F393" s="416"/>
      <c r="G393" s="416"/>
      <c r="H393" s="416"/>
      <c r="I393" s="416"/>
      <c r="J393" s="416"/>
      <c r="K393" s="416"/>
      <c r="L393" s="416"/>
      <c r="M393" s="416"/>
      <c r="N393" s="416"/>
    </row>
    <row r="394">
      <c r="A394" s="416"/>
      <c r="B394" s="416"/>
      <c r="C394" s="416"/>
      <c r="D394" s="416"/>
      <c r="E394" s="416"/>
      <c r="F394" s="416"/>
      <c r="G394" s="416"/>
      <c r="H394" s="416"/>
      <c r="I394" s="416"/>
      <c r="J394" s="416"/>
      <c r="K394" s="416"/>
      <c r="L394" s="416"/>
      <c r="M394" s="416"/>
      <c r="N394" s="416"/>
    </row>
    <row r="395">
      <c r="A395" s="416"/>
      <c r="B395" s="416"/>
      <c r="C395" s="416"/>
      <c r="D395" s="416"/>
      <c r="E395" s="416"/>
      <c r="F395" s="416"/>
      <c r="G395" s="416"/>
      <c r="H395" s="416"/>
      <c r="I395" s="416"/>
      <c r="J395" s="416"/>
      <c r="K395" s="416"/>
      <c r="L395" s="416"/>
      <c r="M395" s="416"/>
      <c r="N395" s="416"/>
    </row>
    <row r="396">
      <c r="A396" s="416"/>
      <c r="B396" s="416"/>
      <c r="C396" s="416"/>
      <c r="D396" s="416"/>
      <c r="E396" s="416"/>
      <c r="F396" s="416"/>
      <c r="G396" s="416"/>
      <c r="H396" s="416"/>
      <c r="I396" s="416"/>
      <c r="J396" s="416"/>
      <c r="K396" s="416"/>
      <c r="L396" s="416"/>
      <c r="M396" s="416"/>
      <c r="N396" s="416"/>
    </row>
    <row r="397">
      <c r="A397" s="416"/>
      <c r="B397" s="416"/>
      <c r="C397" s="416"/>
      <c r="D397" s="416"/>
      <c r="E397" s="416"/>
      <c r="F397" s="416"/>
      <c r="G397" s="416"/>
      <c r="H397" s="416"/>
      <c r="I397" s="416"/>
      <c r="J397" s="416"/>
      <c r="K397" s="416"/>
      <c r="L397" s="416"/>
      <c r="M397" s="416"/>
      <c r="N397" s="416"/>
    </row>
    <row r="398">
      <c r="A398" s="416"/>
      <c r="B398" s="416"/>
      <c r="C398" s="416"/>
      <c r="D398" s="416"/>
      <c r="E398" s="416"/>
      <c r="F398" s="416"/>
      <c r="G398" s="416"/>
      <c r="H398" s="416"/>
      <c r="I398" s="416"/>
      <c r="J398" s="416"/>
      <c r="K398" s="416"/>
      <c r="L398" s="416"/>
      <c r="M398" s="416"/>
      <c r="N398" s="416"/>
    </row>
    <row r="399">
      <c r="A399" s="416"/>
      <c r="B399" s="416"/>
      <c r="C399" s="416"/>
      <c r="D399" s="416"/>
      <c r="E399" s="416"/>
      <c r="F399" s="416"/>
      <c r="G399" s="416"/>
      <c r="H399" s="416"/>
      <c r="I399" s="416"/>
      <c r="J399" s="416"/>
      <c r="K399" s="416"/>
      <c r="L399" s="416"/>
      <c r="M399" s="416"/>
      <c r="N399" s="416"/>
    </row>
    <row r="400">
      <c r="A400" s="416"/>
      <c r="B400" s="416"/>
      <c r="C400" s="416"/>
      <c r="D400" s="416"/>
      <c r="E400" s="416"/>
      <c r="F400" s="416"/>
      <c r="G400" s="416"/>
      <c r="H400" s="416"/>
      <c r="I400" s="416"/>
      <c r="J400" s="416"/>
      <c r="K400" s="416"/>
      <c r="L400" s="416"/>
      <c r="M400" s="416"/>
      <c r="N400" s="416"/>
    </row>
    <row r="401">
      <c r="A401" s="416"/>
      <c r="B401" s="416"/>
      <c r="C401" s="416"/>
      <c r="D401" s="416"/>
      <c r="E401" s="416"/>
      <c r="F401" s="416"/>
      <c r="G401" s="416"/>
      <c r="H401" s="416"/>
      <c r="I401" s="416"/>
      <c r="J401" s="416"/>
      <c r="K401" s="416"/>
      <c r="L401" s="416"/>
      <c r="M401" s="416"/>
      <c r="N401" s="416"/>
    </row>
    <row r="402">
      <c r="A402" s="416"/>
      <c r="B402" s="416"/>
      <c r="C402" s="416"/>
      <c r="D402" s="416"/>
      <c r="E402" s="416"/>
      <c r="F402" s="416"/>
      <c r="G402" s="416"/>
      <c r="H402" s="416"/>
      <c r="I402" s="416"/>
      <c r="J402" s="416"/>
      <c r="K402" s="416"/>
      <c r="L402" s="416"/>
      <c r="M402" s="416"/>
      <c r="N402" s="416"/>
    </row>
    <row r="403">
      <c r="A403" s="416"/>
      <c r="B403" s="416"/>
      <c r="C403" s="416"/>
      <c r="D403" s="416"/>
      <c r="E403" s="416"/>
      <c r="F403" s="416"/>
      <c r="G403" s="416"/>
      <c r="H403" s="416"/>
      <c r="I403" s="416"/>
      <c r="J403" s="416"/>
      <c r="K403" s="416"/>
      <c r="L403" s="416"/>
      <c r="M403" s="416"/>
      <c r="N403" s="416"/>
    </row>
    <row r="404">
      <c r="A404" s="416"/>
      <c r="B404" s="416"/>
      <c r="C404" s="416"/>
      <c r="D404" s="416"/>
      <c r="E404" s="416"/>
      <c r="F404" s="416"/>
      <c r="G404" s="416"/>
      <c r="H404" s="416"/>
      <c r="I404" s="416"/>
      <c r="J404" s="416"/>
      <c r="K404" s="416"/>
      <c r="L404" s="416"/>
      <c r="M404" s="416"/>
      <c r="N404" s="416"/>
    </row>
    <row r="405">
      <c r="A405" s="416"/>
      <c r="B405" s="416"/>
      <c r="C405" s="416"/>
      <c r="D405" s="416"/>
      <c r="E405" s="416"/>
      <c r="F405" s="416"/>
      <c r="G405" s="416"/>
      <c r="H405" s="416"/>
      <c r="I405" s="416"/>
      <c r="J405" s="416"/>
      <c r="K405" s="416"/>
      <c r="L405" s="416"/>
      <c r="M405" s="416"/>
      <c r="N405" s="416"/>
    </row>
    <row r="406">
      <c r="A406" s="416"/>
      <c r="B406" s="416"/>
      <c r="C406" s="416"/>
      <c r="D406" s="416"/>
      <c r="E406" s="416"/>
      <c r="F406" s="416"/>
      <c r="G406" s="416"/>
      <c r="H406" s="416"/>
      <c r="I406" s="416"/>
      <c r="J406" s="416"/>
      <c r="K406" s="416"/>
      <c r="L406" s="416"/>
      <c r="M406" s="416"/>
      <c r="N406" s="416"/>
    </row>
    <row r="407">
      <c r="A407" s="416"/>
      <c r="B407" s="416"/>
      <c r="C407" s="416"/>
      <c r="D407" s="416"/>
      <c r="E407" s="416"/>
      <c r="F407" s="416"/>
      <c r="G407" s="416"/>
      <c r="H407" s="416"/>
      <c r="I407" s="416"/>
      <c r="J407" s="416"/>
      <c r="K407" s="416"/>
      <c r="L407" s="416"/>
      <c r="M407" s="416"/>
      <c r="N407" s="416"/>
    </row>
    <row r="408">
      <c r="A408" s="416"/>
      <c r="B408" s="416"/>
      <c r="C408" s="416"/>
      <c r="D408" s="416"/>
      <c r="E408" s="416"/>
      <c r="F408" s="416"/>
      <c r="G408" s="416"/>
      <c r="H408" s="416"/>
      <c r="I408" s="416"/>
      <c r="J408" s="416"/>
      <c r="K408" s="416"/>
      <c r="L408" s="416"/>
      <c r="M408" s="416"/>
      <c r="N408" s="416"/>
    </row>
    <row r="409">
      <c r="A409" s="416"/>
      <c r="B409" s="416"/>
      <c r="C409" s="416"/>
      <c r="D409" s="416"/>
      <c r="E409" s="416"/>
      <c r="F409" s="416"/>
      <c r="G409" s="416"/>
      <c r="H409" s="416"/>
      <c r="I409" s="416"/>
      <c r="J409" s="416"/>
      <c r="K409" s="416"/>
      <c r="L409" s="416"/>
      <c r="M409" s="416"/>
      <c r="N409" s="416"/>
    </row>
    <row r="410">
      <c r="A410" s="416"/>
      <c r="B410" s="416"/>
      <c r="C410" s="416"/>
      <c r="D410" s="416"/>
      <c r="E410" s="416"/>
      <c r="F410" s="416"/>
      <c r="G410" s="416"/>
      <c r="H410" s="416"/>
      <c r="I410" s="416"/>
      <c r="J410" s="416"/>
      <c r="K410" s="416"/>
      <c r="L410" s="416"/>
      <c r="M410" s="416"/>
      <c r="N410" s="416"/>
    </row>
    <row r="411">
      <c r="A411" s="416"/>
      <c r="B411" s="416"/>
      <c r="C411" s="416"/>
      <c r="D411" s="416"/>
      <c r="E411" s="416"/>
      <c r="F411" s="416"/>
      <c r="G411" s="416"/>
      <c r="H411" s="416"/>
      <c r="I411" s="416"/>
      <c r="J411" s="416"/>
      <c r="K411" s="416"/>
      <c r="L411" s="416"/>
      <c r="M411" s="416"/>
      <c r="N411" s="416"/>
    </row>
    <row r="412">
      <c r="A412" s="416"/>
      <c r="B412" s="416"/>
      <c r="C412" s="416"/>
      <c r="D412" s="416"/>
      <c r="E412" s="416"/>
      <c r="F412" s="416"/>
      <c r="G412" s="416"/>
      <c r="H412" s="416"/>
      <c r="I412" s="416"/>
      <c r="J412" s="416"/>
      <c r="K412" s="416"/>
      <c r="L412" s="416"/>
      <c r="M412" s="416"/>
      <c r="N412" s="416"/>
    </row>
    <row r="413">
      <c r="A413" s="416"/>
      <c r="B413" s="416"/>
      <c r="C413" s="416"/>
      <c r="D413" s="416"/>
      <c r="E413" s="416"/>
      <c r="F413" s="416"/>
      <c r="G413" s="416"/>
      <c r="H413" s="416"/>
      <c r="I413" s="416"/>
      <c r="J413" s="416"/>
      <c r="K413" s="416"/>
      <c r="L413" s="416"/>
      <c r="M413" s="416"/>
      <c r="N413" s="416"/>
    </row>
    <row r="414">
      <c r="A414" s="416"/>
      <c r="B414" s="416"/>
      <c r="C414" s="416"/>
      <c r="D414" s="416"/>
      <c r="E414" s="416"/>
      <c r="F414" s="416"/>
      <c r="G414" s="416"/>
      <c r="H414" s="416"/>
      <c r="I414" s="416"/>
      <c r="J414" s="416"/>
      <c r="K414" s="416"/>
      <c r="L414" s="416"/>
      <c r="M414" s="416"/>
      <c r="N414" s="416"/>
    </row>
    <row r="415">
      <c r="A415" s="416"/>
      <c r="B415" s="416"/>
      <c r="C415" s="416"/>
      <c r="D415" s="416"/>
      <c r="E415" s="416"/>
      <c r="F415" s="416"/>
      <c r="G415" s="416"/>
      <c r="H415" s="416"/>
      <c r="I415" s="416"/>
      <c r="J415" s="416"/>
      <c r="K415" s="416"/>
      <c r="L415" s="416"/>
      <c r="M415" s="416"/>
      <c r="N415" s="416"/>
    </row>
    <row r="416">
      <c r="A416" s="416"/>
      <c r="B416" s="416"/>
      <c r="C416" s="416"/>
      <c r="D416" s="416"/>
      <c r="E416" s="416"/>
      <c r="F416" s="416"/>
      <c r="G416" s="416"/>
      <c r="H416" s="416"/>
      <c r="I416" s="416"/>
      <c r="J416" s="416"/>
      <c r="K416" s="416"/>
      <c r="L416" s="416"/>
      <c r="M416" s="416"/>
      <c r="N416" s="416"/>
    </row>
    <row r="417">
      <c r="A417" s="416"/>
      <c r="B417" s="416"/>
      <c r="C417" s="416"/>
      <c r="D417" s="416"/>
      <c r="E417" s="416"/>
      <c r="F417" s="416"/>
      <c r="G417" s="416"/>
      <c r="H417" s="416"/>
      <c r="I417" s="416"/>
      <c r="J417" s="416"/>
      <c r="K417" s="416"/>
      <c r="L417" s="416"/>
      <c r="M417" s="416"/>
      <c r="N417" s="416"/>
    </row>
    <row r="418">
      <c r="A418" s="416"/>
      <c r="B418" s="416"/>
      <c r="C418" s="416"/>
      <c r="D418" s="416"/>
      <c r="E418" s="416"/>
      <c r="F418" s="416"/>
      <c r="G418" s="416"/>
      <c r="H418" s="416"/>
      <c r="I418" s="416"/>
      <c r="J418" s="416"/>
      <c r="K418" s="416"/>
      <c r="L418" s="416"/>
      <c r="M418" s="416"/>
      <c r="N418" s="416"/>
    </row>
    <row r="419">
      <c r="A419" s="416"/>
      <c r="B419" s="416"/>
      <c r="C419" s="416"/>
      <c r="D419" s="416"/>
      <c r="E419" s="416"/>
      <c r="F419" s="416"/>
      <c r="G419" s="416"/>
      <c r="H419" s="416"/>
      <c r="I419" s="416"/>
      <c r="J419" s="416"/>
      <c r="K419" s="416"/>
      <c r="L419" s="416"/>
      <c r="M419" s="416"/>
      <c r="N419" s="416"/>
    </row>
    <row r="420">
      <c r="A420" s="416"/>
      <c r="B420" s="416"/>
      <c r="C420" s="416"/>
      <c r="D420" s="416"/>
      <c r="E420" s="416"/>
      <c r="F420" s="416"/>
      <c r="G420" s="416"/>
      <c r="H420" s="416"/>
      <c r="I420" s="416"/>
      <c r="J420" s="416"/>
      <c r="K420" s="416"/>
      <c r="L420" s="416"/>
      <c r="M420" s="416"/>
      <c r="N420" s="416"/>
    </row>
    <row r="421">
      <c r="A421" s="416"/>
      <c r="B421" s="416"/>
      <c r="C421" s="416"/>
      <c r="D421" s="416"/>
      <c r="E421" s="416"/>
      <c r="F421" s="416"/>
      <c r="G421" s="416"/>
      <c r="H421" s="416"/>
      <c r="I421" s="416"/>
      <c r="J421" s="416"/>
      <c r="K421" s="416"/>
      <c r="L421" s="416"/>
      <c r="M421" s="416"/>
      <c r="N421" s="416"/>
    </row>
    <row r="422">
      <c r="A422" s="416"/>
      <c r="B422" s="416"/>
      <c r="C422" s="416"/>
      <c r="D422" s="416"/>
      <c r="E422" s="416"/>
      <c r="F422" s="416"/>
      <c r="G422" s="416"/>
      <c r="H422" s="416"/>
      <c r="I422" s="416"/>
      <c r="J422" s="416"/>
      <c r="K422" s="416"/>
      <c r="L422" s="416"/>
      <c r="M422" s="416"/>
      <c r="N422" s="416"/>
    </row>
    <row r="423">
      <c r="A423" s="416"/>
      <c r="B423" s="416"/>
      <c r="C423" s="416"/>
      <c r="D423" s="416"/>
      <c r="E423" s="416"/>
      <c r="F423" s="416"/>
      <c r="G423" s="416"/>
      <c r="H423" s="416"/>
      <c r="I423" s="416"/>
      <c r="J423" s="416"/>
      <c r="K423" s="416"/>
      <c r="L423" s="416"/>
      <c r="M423" s="416"/>
      <c r="N423" s="416"/>
    </row>
    <row r="424">
      <c r="A424" s="416"/>
      <c r="B424" s="416"/>
      <c r="C424" s="416"/>
      <c r="D424" s="416"/>
      <c r="E424" s="416"/>
      <c r="F424" s="416"/>
      <c r="G424" s="416"/>
      <c r="H424" s="416"/>
      <c r="I424" s="416"/>
      <c r="J424" s="416"/>
      <c r="K424" s="416"/>
      <c r="L424" s="416"/>
      <c r="M424" s="416"/>
      <c r="N424" s="416"/>
    </row>
    <row r="425">
      <c r="A425" s="416"/>
      <c r="B425" s="416"/>
      <c r="C425" s="416"/>
      <c r="D425" s="416"/>
      <c r="E425" s="416"/>
      <c r="F425" s="416"/>
      <c r="G425" s="416"/>
      <c r="H425" s="416"/>
      <c r="I425" s="416"/>
      <c r="J425" s="416"/>
      <c r="K425" s="416"/>
      <c r="L425" s="416"/>
      <c r="M425" s="416"/>
      <c r="N425" s="416"/>
    </row>
    <row r="426">
      <c r="A426" s="416"/>
      <c r="B426" s="416"/>
      <c r="C426" s="416"/>
      <c r="D426" s="416"/>
      <c r="E426" s="416"/>
      <c r="F426" s="416"/>
      <c r="G426" s="416"/>
      <c r="H426" s="416"/>
      <c r="I426" s="416"/>
      <c r="J426" s="416"/>
      <c r="K426" s="416"/>
      <c r="L426" s="416"/>
      <c r="M426" s="416"/>
      <c r="N426" s="416"/>
    </row>
    <row r="427">
      <c r="A427" s="416"/>
      <c r="B427" s="416"/>
      <c r="C427" s="416"/>
      <c r="D427" s="416"/>
      <c r="E427" s="416"/>
      <c r="F427" s="416"/>
      <c r="G427" s="416"/>
      <c r="H427" s="416"/>
      <c r="I427" s="416"/>
      <c r="J427" s="416"/>
      <c r="K427" s="416"/>
      <c r="L427" s="416"/>
      <c r="M427" s="416"/>
      <c r="N427" s="416"/>
    </row>
    <row r="428">
      <c r="A428" s="416"/>
      <c r="B428" s="416"/>
      <c r="C428" s="416"/>
      <c r="D428" s="416"/>
      <c r="E428" s="416"/>
      <c r="F428" s="416"/>
      <c r="G428" s="416"/>
      <c r="H428" s="416"/>
      <c r="I428" s="416"/>
      <c r="J428" s="416"/>
      <c r="K428" s="416"/>
      <c r="L428" s="416"/>
      <c r="M428" s="416"/>
      <c r="N428" s="416"/>
    </row>
    <row r="429">
      <c r="A429" s="416"/>
      <c r="B429" s="416"/>
      <c r="C429" s="416"/>
      <c r="D429" s="416"/>
      <c r="E429" s="416"/>
      <c r="F429" s="416"/>
      <c r="G429" s="416"/>
      <c r="H429" s="416"/>
      <c r="I429" s="416"/>
      <c r="J429" s="416"/>
      <c r="K429" s="416"/>
      <c r="L429" s="416"/>
      <c r="M429" s="416"/>
      <c r="N429" s="416"/>
    </row>
    <row r="430">
      <c r="A430" s="416"/>
      <c r="B430" s="416"/>
      <c r="C430" s="416"/>
      <c r="D430" s="416"/>
      <c r="E430" s="416"/>
      <c r="F430" s="416"/>
      <c r="G430" s="416"/>
      <c r="H430" s="416"/>
      <c r="I430" s="416"/>
      <c r="J430" s="416"/>
      <c r="K430" s="416"/>
      <c r="L430" s="416"/>
      <c r="M430" s="416"/>
      <c r="N430" s="416"/>
    </row>
    <row r="431">
      <c r="A431" s="416"/>
      <c r="B431" s="416"/>
      <c r="C431" s="416"/>
      <c r="D431" s="416"/>
      <c r="E431" s="416"/>
      <c r="F431" s="416"/>
      <c r="G431" s="416"/>
      <c r="H431" s="416"/>
      <c r="I431" s="416"/>
      <c r="J431" s="416"/>
      <c r="K431" s="416"/>
      <c r="L431" s="416"/>
      <c r="M431" s="416"/>
      <c r="N431" s="416"/>
    </row>
    <row r="432">
      <c r="A432" s="416"/>
      <c r="B432" s="416"/>
      <c r="C432" s="416"/>
      <c r="D432" s="416"/>
      <c r="E432" s="416"/>
      <c r="F432" s="416"/>
      <c r="G432" s="416"/>
      <c r="H432" s="416"/>
      <c r="I432" s="416"/>
      <c r="J432" s="416"/>
      <c r="K432" s="416"/>
      <c r="L432" s="416"/>
      <c r="M432" s="416"/>
      <c r="N432" s="416"/>
    </row>
    <row r="433">
      <c r="A433" s="416"/>
      <c r="B433" s="416"/>
      <c r="C433" s="416"/>
      <c r="D433" s="416"/>
      <c r="E433" s="416"/>
      <c r="F433" s="416"/>
      <c r="G433" s="416"/>
      <c r="H433" s="416"/>
      <c r="I433" s="416"/>
      <c r="J433" s="416"/>
      <c r="K433" s="416"/>
      <c r="L433" s="416"/>
      <c r="M433" s="416"/>
      <c r="N433" s="416"/>
    </row>
    <row r="434">
      <c r="A434" s="416"/>
      <c r="B434" s="416"/>
      <c r="C434" s="416"/>
      <c r="D434" s="416"/>
      <c r="E434" s="416"/>
      <c r="F434" s="416"/>
      <c r="G434" s="416"/>
      <c r="H434" s="416"/>
      <c r="I434" s="416"/>
      <c r="J434" s="416"/>
      <c r="K434" s="416"/>
      <c r="L434" s="416"/>
      <c r="M434" s="416"/>
      <c r="N434" s="416"/>
    </row>
    <row r="435">
      <c r="A435" s="416"/>
      <c r="B435" s="416"/>
      <c r="C435" s="416"/>
      <c r="D435" s="416"/>
      <c r="E435" s="416"/>
      <c r="F435" s="416"/>
      <c r="G435" s="416"/>
      <c r="H435" s="416"/>
      <c r="I435" s="416"/>
      <c r="J435" s="416"/>
      <c r="K435" s="416"/>
      <c r="L435" s="416"/>
      <c r="M435" s="416"/>
      <c r="N435" s="416"/>
    </row>
    <row r="436">
      <c r="A436" s="416"/>
      <c r="B436" s="416"/>
      <c r="C436" s="416"/>
      <c r="D436" s="416"/>
      <c r="E436" s="416"/>
      <c r="F436" s="416"/>
      <c r="G436" s="416"/>
      <c r="H436" s="416"/>
      <c r="I436" s="416"/>
      <c r="J436" s="416"/>
      <c r="K436" s="416"/>
      <c r="L436" s="416"/>
      <c r="M436" s="416"/>
      <c r="N436" s="416"/>
    </row>
    <row r="437">
      <c r="A437" s="416"/>
      <c r="B437" s="416"/>
      <c r="C437" s="416"/>
      <c r="D437" s="416"/>
      <c r="E437" s="416"/>
      <c r="F437" s="416"/>
      <c r="G437" s="416"/>
      <c r="H437" s="416"/>
      <c r="I437" s="416"/>
      <c r="J437" s="416"/>
      <c r="K437" s="416"/>
      <c r="L437" s="416"/>
      <c r="M437" s="416"/>
      <c r="N437" s="416"/>
    </row>
    <row r="438">
      <c r="A438" s="416"/>
      <c r="B438" s="416"/>
      <c r="C438" s="416"/>
      <c r="D438" s="416"/>
      <c r="E438" s="416"/>
      <c r="F438" s="416"/>
      <c r="G438" s="416"/>
      <c r="H438" s="416"/>
      <c r="I438" s="416"/>
      <c r="J438" s="416"/>
      <c r="K438" s="416"/>
      <c r="L438" s="416"/>
      <c r="M438" s="416"/>
      <c r="N438" s="416"/>
    </row>
    <row r="439">
      <c r="A439" s="416"/>
      <c r="B439" s="416"/>
      <c r="C439" s="416"/>
      <c r="D439" s="416"/>
      <c r="E439" s="416"/>
      <c r="F439" s="416"/>
      <c r="G439" s="416"/>
      <c r="H439" s="416"/>
      <c r="I439" s="416"/>
      <c r="J439" s="416"/>
      <c r="K439" s="416"/>
      <c r="L439" s="416"/>
      <c r="M439" s="416"/>
      <c r="N439" s="416"/>
    </row>
    <row r="440">
      <c r="A440" s="416"/>
      <c r="B440" s="416"/>
      <c r="C440" s="416"/>
      <c r="D440" s="416"/>
      <c r="E440" s="416"/>
      <c r="F440" s="416"/>
      <c r="G440" s="416"/>
      <c r="H440" s="416"/>
      <c r="I440" s="416"/>
      <c r="J440" s="416"/>
      <c r="K440" s="416"/>
      <c r="L440" s="416"/>
      <c r="M440" s="416"/>
      <c r="N440" s="416"/>
    </row>
    <row r="441">
      <c r="A441" s="416"/>
      <c r="B441" s="416"/>
      <c r="C441" s="416"/>
      <c r="D441" s="416"/>
      <c r="E441" s="416"/>
      <c r="F441" s="416"/>
      <c r="G441" s="416"/>
      <c r="H441" s="416"/>
      <c r="I441" s="416"/>
      <c r="J441" s="416"/>
      <c r="K441" s="416"/>
      <c r="L441" s="416"/>
      <c r="M441" s="416"/>
      <c r="N441" s="416"/>
    </row>
    <row r="442">
      <c r="A442" s="416"/>
      <c r="B442" s="416"/>
      <c r="C442" s="416"/>
      <c r="D442" s="416"/>
      <c r="E442" s="416"/>
      <c r="F442" s="416"/>
      <c r="G442" s="416"/>
      <c r="H442" s="416"/>
      <c r="I442" s="416"/>
      <c r="J442" s="416"/>
      <c r="K442" s="416"/>
      <c r="L442" s="416"/>
      <c r="M442" s="416"/>
      <c r="N442" s="416"/>
    </row>
    <row r="443">
      <c r="A443" s="416"/>
      <c r="B443" s="416"/>
      <c r="C443" s="416"/>
      <c r="D443" s="416"/>
      <c r="E443" s="416"/>
      <c r="F443" s="416"/>
      <c r="G443" s="416"/>
      <c r="H443" s="416"/>
      <c r="I443" s="416"/>
      <c r="J443" s="416"/>
      <c r="K443" s="416"/>
      <c r="L443" s="416"/>
      <c r="M443" s="416"/>
      <c r="N443" s="416"/>
    </row>
    <row r="444">
      <c r="A444" s="416"/>
      <c r="B444" s="416"/>
      <c r="C444" s="416"/>
      <c r="D444" s="416"/>
      <c r="E444" s="416"/>
      <c r="F444" s="416"/>
      <c r="G444" s="416"/>
      <c r="H444" s="416"/>
      <c r="I444" s="416"/>
      <c r="J444" s="416"/>
      <c r="K444" s="416"/>
      <c r="L444" s="416"/>
      <c r="M444" s="416"/>
      <c r="N444" s="416"/>
    </row>
    <row r="445">
      <c r="A445" s="416"/>
      <c r="B445" s="416"/>
      <c r="C445" s="416"/>
      <c r="D445" s="416"/>
      <c r="E445" s="416"/>
      <c r="F445" s="416"/>
      <c r="G445" s="416"/>
      <c r="H445" s="416"/>
      <c r="I445" s="416"/>
      <c r="J445" s="416"/>
      <c r="K445" s="416"/>
      <c r="L445" s="416"/>
      <c r="M445" s="416"/>
      <c r="N445" s="416"/>
    </row>
    <row r="446">
      <c r="A446" s="416"/>
      <c r="B446" s="416"/>
      <c r="C446" s="416"/>
      <c r="D446" s="416"/>
      <c r="E446" s="416"/>
      <c r="F446" s="416"/>
      <c r="G446" s="416"/>
      <c r="H446" s="416"/>
      <c r="I446" s="416"/>
      <c r="J446" s="416"/>
      <c r="K446" s="416"/>
      <c r="L446" s="416"/>
      <c r="M446" s="416"/>
      <c r="N446" s="416"/>
    </row>
    <row r="447">
      <c r="A447" s="416"/>
      <c r="B447" s="416"/>
      <c r="C447" s="416"/>
      <c r="D447" s="416"/>
      <c r="E447" s="416"/>
      <c r="F447" s="416"/>
      <c r="G447" s="416"/>
      <c r="H447" s="416"/>
      <c r="I447" s="416"/>
      <c r="J447" s="416"/>
      <c r="K447" s="416"/>
      <c r="L447" s="416"/>
      <c r="M447" s="416"/>
      <c r="N447" s="416"/>
    </row>
    <row r="448">
      <c r="A448" s="416"/>
      <c r="B448" s="416"/>
      <c r="C448" s="416"/>
      <c r="D448" s="416"/>
      <c r="E448" s="416"/>
      <c r="F448" s="416"/>
      <c r="G448" s="416"/>
      <c r="H448" s="416"/>
      <c r="I448" s="416"/>
      <c r="J448" s="416"/>
      <c r="K448" s="416"/>
      <c r="L448" s="416"/>
      <c r="M448" s="416"/>
      <c r="N448" s="416"/>
    </row>
    <row r="449">
      <c r="A449" s="416"/>
      <c r="B449" s="416"/>
      <c r="C449" s="416"/>
      <c r="D449" s="416"/>
      <c r="E449" s="416"/>
      <c r="F449" s="416"/>
      <c r="G449" s="416"/>
      <c r="H449" s="416"/>
      <c r="I449" s="416"/>
      <c r="J449" s="416"/>
      <c r="K449" s="416"/>
      <c r="L449" s="416"/>
      <c r="M449" s="416"/>
      <c r="N449" s="416"/>
    </row>
    <row r="450">
      <c r="A450" s="416"/>
      <c r="B450" s="416"/>
      <c r="C450" s="416"/>
      <c r="D450" s="416"/>
      <c r="E450" s="416"/>
      <c r="F450" s="416"/>
      <c r="G450" s="416"/>
      <c r="H450" s="416"/>
      <c r="I450" s="416"/>
      <c r="J450" s="416"/>
      <c r="K450" s="416"/>
      <c r="L450" s="416"/>
      <c r="M450" s="416"/>
      <c r="N450" s="416"/>
    </row>
    <row r="451">
      <c r="A451" s="416"/>
      <c r="B451" s="416"/>
      <c r="C451" s="416"/>
      <c r="D451" s="416"/>
      <c r="E451" s="416"/>
      <c r="F451" s="416"/>
      <c r="G451" s="416"/>
      <c r="H451" s="416"/>
      <c r="I451" s="416"/>
      <c r="J451" s="416"/>
      <c r="K451" s="416"/>
      <c r="L451" s="416"/>
      <c r="M451" s="416"/>
      <c r="N451" s="416"/>
    </row>
    <row r="452">
      <c r="A452" s="416"/>
      <c r="B452" s="416"/>
      <c r="C452" s="416"/>
      <c r="D452" s="416"/>
      <c r="E452" s="416"/>
      <c r="F452" s="416"/>
      <c r="G452" s="416"/>
      <c r="H452" s="416"/>
      <c r="I452" s="416"/>
      <c r="J452" s="416"/>
      <c r="K452" s="416"/>
      <c r="L452" s="416"/>
      <c r="M452" s="416"/>
      <c r="N452" s="416"/>
    </row>
    <row r="453">
      <c r="A453" s="416"/>
      <c r="B453" s="416"/>
      <c r="C453" s="416"/>
      <c r="D453" s="416"/>
      <c r="E453" s="416"/>
      <c r="F453" s="416"/>
      <c r="G453" s="416"/>
      <c r="H453" s="416"/>
      <c r="I453" s="416"/>
      <c r="J453" s="416"/>
      <c r="K453" s="416"/>
      <c r="L453" s="416"/>
      <c r="M453" s="416"/>
      <c r="N453" s="416"/>
    </row>
    <row r="454">
      <c r="A454" s="416"/>
      <c r="B454" s="416"/>
      <c r="C454" s="416"/>
      <c r="D454" s="416"/>
      <c r="E454" s="416"/>
      <c r="F454" s="416"/>
      <c r="G454" s="416"/>
      <c r="H454" s="416"/>
      <c r="I454" s="416"/>
      <c r="J454" s="416"/>
      <c r="K454" s="416"/>
      <c r="L454" s="416"/>
      <c r="M454" s="416"/>
      <c r="N454" s="416"/>
    </row>
    <row r="455">
      <c r="A455" s="416"/>
      <c r="B455" s="416"/>
      <c r="C455" s="416"/>
      <c r="D455" s="416"/>
      <c r="E455" s="416"/>
      <c r="F455" s="416"/>
      <c r="G455" s="416"/>
      <c r="H455" s="416"/>
      <c r="I455" s="416"/>
      <c r="J455" s="416"/>
      <c r="K455" s="416"/>
      <c r="L455" s="416"/>
      <c r="M455" s="416"/>
      <c r="N455" s="416"/>
    </row>
    <row r="456">
      <c r="A456" s="416"/>
      <c r="B456" s="416"/>
      <c r="C456" s="416"/>
      <c r="D456" s="416"/>
      <c r="E456" s="416"/>
      <c r="F456" s="416"/>
      <c r="G456" s="416"/>
      <c r="H456" s="416"/>
      <c r="I456" s="416"/>
      <c r="J456" s="416"/>
      <c r="K456" s="416"/>
      <c r="L456" s="416"/>
      <c r="M456" s="416"/>
      <c r="N456" s="416"/>
    </row>
    <row r="457">
      <c r="A457" s="416"/>
      <c r="B457" s="416"/>
      <c r="C457" s="416"/>
      <c r="D457" s="416"/>
      <c r="E457" s="416"/>
      <c r="F457" s="416"/>
      <c r="G457" s="416"/>
      <c r="H457" s="416"/>
      <c r="I457" s="416"/>
      <c r="J457" s="416"/>
      <c r="K457" s="416"/>
      <c r="L457" s="416"/>
      <c r="M457" s="416"/>
      <c r="N457" s="416"/>
    </row>
    <row r="458">
      <c r="A458" s="416"/>
      <c r="B458" s="416"/>
      <c r="C458" s="416"/>
      <c r="D458" s="416"/>
      <c r="E458" s="416"/>
      <c r="F458" s="416"/>
      <c r="G458" s="416"/>
      <c r="H458" s="416"/>
      <c r="I458" s="416"/>
      <c r="J458" s="416"/>
      <c r="K458" s="416"/>
      <c r="L458" s="416"/>
      <c r="M458" s="416"/>
      <c r="N458" s="416"/>
    </row>
    <row r="459">
      <c r="A459" s="416"/>
      <c r="B459" s="416"/>
      <c r="C459" s="416"/>
      <c r="D459" s="416"/>
      <c r="E459" s="416"/>
      <c r="F459" s="416"/>
      <c r="G459" s="416"/>
      <c r="H459" s="416"/>
      <c r="I459" s="416"/>
      <c r="J459" s="416"/>
      <c r="K459" s="416"/>
      <c r="L459" s="416"/>
      <c r="M459" s="416"/>
      <c r="N459" s="416"/>
    </row>
    <row r="460">
      <c r="A460" s="416"/>
      <c r="B460" s="416"/>
      <c r="C460" s="416"/>
      <c r="D460" s="416"/>
      <c r="E460" s="416"/>
      <c r="F460" s="416"/>
      <c r="G460" s="416"/>
      <c r="H460" s="416"/>
      <c r="I460" s="416"/>
      <c r="J460" s="416"/>
      <c r="K460" s="416"/>
      <c r="L460" s="416"/>
      <c r="M460" s="416"/>
      <c r="N460" s="416"/>
    </row>
    <row r="461">
      <c r="A461" s="416"/>
      <c r="B461" s="416"/>
      <c r="C461" s="416"/>
      <c r="D461" s="416"/>
      <c r="E461" s="416"/>
      <c r="F461" s="416"/>
      <c r="G461" s="416"/>
      <c r="H461" s="416"/>
      <c r="I461" s="416"/>
      <c r="J461" s="416"/>
      <c r="K461" s="416"/>
      <c r="L461" s="416"/>
      <c r="M461" s="416"/>
      <c r="N461" s="416"/>
    </row>
    <row r="462">
      <c r="A462" s="416"/>
      <c r="B462" s="416"/>
      <c r="C462" s="416"/>
      <c r="D462" s="416"/>
      <c r="E462" s="416"/>
      <c r="F462" s="416"/>
      <c r="G462" s="416"/>
      <c r="H462" s="416"/>
      <c r="I462" s="416"/>
      <c r="J462" s="416"/>
      <c r="K462" s="416"/>
      <c r="L462" s="416"/>
      <c r="M462" s="416"/>
      <c r="N462" s="416"/>
    </row>
    <row r="463">
      <c r="A463" s="416"/>
      <c r="B463" s="416"/>
      <c r="C463" s="416"/>
      <c r="D463" s="416"/>
      <c r="E463" s="416"/>
      <c r="F463" s="416"/>
      <c r="G463" s="416"/>
      <c r="H463" s="416"/>
      <c r="I463" s="416"/>
      <c r="J463" s="416"/>
      <c r="K463" s="416"/>
      <c r="L463" s="416"/>
      <c r="M463" s="416"/>
      <c r="N463" s="416"/>
    </row>
    <row r="464">
      <c r="A464" s="416"/>
      <c r="B464" s="416"/>
      <c r="C464" s="416"/>
      <c r="D464" s="416"/>
      <c r="E464" s="416"/>
      <c r="F464" s="416"/>
      <c r="G464" s="416"/>
      <c r="H464" s="416"/>
      <c r="I464" s="416"/>
      <c r="J464" s="416"/>
      <c r="K464" s="416"/>
      <c r="L464" s="416"/>
      <c r="M464" s="416"/>
      <c r="N464" s="416"/>
    </row>
    <row r="465">
      <c r="A465" s="416"/>
      <c r="B465" s="416"/>
      <c r="C465" s="416"/>
      <c r="D465" s="416"/>
      <c r="E465" s="416"/>
      <c r="F465" s="416"/>
      <c r="G465" s="416"/>
      <c r="H465" s="416"/>
      <c r="I465" s="416"/>
      <c r="J465" s="416"/>
      <c r="K465" s="416"/>
      <c r="L465" s="416"/>
      <c r="M465" s="416"/>
      <c r="N465" s="416"/>
    </row>
    <row r="466">
      <c r="A466" s="416"/>
      <c r="B466" s="416"/>
      <c r="C466" s="416"/>
      <c r="D466" s="416"/>
      <c r="E466" s="416"/>
      <c r="F466" s="416"/>
      <c r="G466" s="416"/>
      <c r="H466" s="416"/>
      <c r="I466" s="416"/>
      <c r="J466" s="416"/>
      <c r="K466" s="416"/>
      <c r="L466" s="416"/>
      <c r="M466" s="416"/>
      <c r="N466" s="416"/>
    </row>
    <row r="467">
      <c r="A467" s="416"/>
      <c r="B467" s="416"/>
      <c r="C467" s="416"/>
      <c r="D467" s="416"/>
      <c r="E467" s="416"/>
      <c r="F467" s="416"/>
      <c r="G467" s="416"/>
      <c r="H467" s="416"/>
      <c r="I467" s="416"/>
      <c r="J467" s="416"/>
      <c r="K467" s="416"/>
      <c r="L467" s="416"/>
      <c r="M467" s="416"/>
      <c r="N467" s="416"/>
    </row>
    <row r="468">
      <c r="A468" s="416"/>
      <c r="B468" s="416"/>
      <c r="C468" s="416"/>
      <c r="D468" s="416"/>
      <c r="E468" s="416"/>
      <c r="F468" s="416"/>
      <c r="G468" s="416"/>
      <c r="H468" s="416"/>
      <c r="I468" s="416"/>
      <c r="J468" s="416"/>
      <c r="K468" s="416"/>
      <c r="L468" s="416"/>
      <c r="M468" s="416"/>
      <c r="N468" s="416"/>
    </row>
    <row r="469">
      <c r="A469" s="416"/>
      <c r="B469" s="416"/>
      <c r="C469" s="416"/>
      <c r="D469" s="416"/>
      <c r="E469" s="416"/>
      <c r="F469" s="416"/>
      <c r="G469" s="416"/>
      <c r="H469" s="416"/>
      <c r="I469" s="416"/>
      <c r="J469" s="416"/>
      <c r="K469" s="416"/>
      <c r="L469" s="416"/>
      <c r="M469" s="416"/>
      <c r="N469" s="416"/>
    </row>
    <row r="470">
      <c r="A470" s="416"/>
      <c r="B470" s="416"/>
      <c r="C470" s="416"/>
      <c r="D470" s="416"/>
      <c r="E470" s="416"/>
      <c r="F470" s="416"/>
      <c r="G470" s="416"/>
      <c r="H470" s="416"/>
      <c r="I470" s="416"/>
      <c r="J470" s="416"/>
      <c r="K470" s="416"/>
      <c r="L470" s="416"/>
      <c r="M470" s="416"/>
      <c r="N470" s="416"/>
    </row>
    <row r="471">
      <c r="A471" s="416"/>
      <c r="B471" s="416"/>
      <c r="C471" s="416"/>
      <c r="D471" s="416"/>
      <c r="E471" s="416"/>
      <c r="F471" s="416"/>
      <c r="G471" s="416"/>
      <c r="H471" s="416"/>
      <c r="I471" s="416"/>
      <c r="J471" s="416"/>
      <c r="K471" s="416"/>
      <c r="L471" s="416"/>
      <c r="M471" s="416"/>
      <c r="N471" s="416"/>
    </row>
    <row r="472">
      <c r="A472" s="416"/>
      <c r="B472" s="416"/>
      <c r="C472" s="416"/>
      <c r="D472" s="416"/>
      <c r="E472" s="416"/>
      <c r="F472" s="416"/>
      <c r="G472" s="416"/>
      <c r="H472" s="416"/>
      <c r="I472" s="416"/>
      <c r="J472" s="416"/>
      <c r="K472" s="416"/>
      <c r="L472" s="416"/>
      <c r="M472" s="416"/>
      <c r="N472" s="416"/>
    </row>
    <row r="473">
      <c r="A473" s="416"/>
      <c r="B473" s="416"/>
      <c r="C473" s="416"/>
      <c r="D473" s="416"/>
      <c r="E473" s="416"/>
      <c r="F473" s="416"/>
      <c r="G473" s="416"/>
      <c r="H473" s="416"/>
      <c r="I473" s="416"/>
      <c r="J473" s="416"/>
      <c r="K473" s="416"/>
      <c r="L473" s="416"/>
      <c r="M473" s="416"/>
      <c r="N473" s="416"/>
    </row>
    <row r="474">
      <c r="A474" s="416"/>
      <c r="B474" s="416"/>
      <c r="C474" s="416"/>
      <c r="D474" s="416"/>
      <c r="E474" s="416"/>
      <c r="F474" s="416"/>
      <c r="G474" s="416"/>
      <c r="H474" s="416"/>
      <c r="I474" s="416"/>
      <c r="J474" s="416"/>
      <c r="K474" s="416"/>
      <c r="L474" s="416"/>
      <c r="M474" s="416"/>
      <c r="N474" s="416"/>
    </row>
    <row r="475">
      <c r="A475" s="416"/>
      <c r="B475" s="416"/>
      <c r="C475" s="416"/>
      <c r="D475" s="416"/>
      <c r="E475" s="416"/>
      <c r="F475" s="416"/>
      <c r="G475" s="416"/>
      <c r="H475" s="416"/>
      <c r="I475" s="416"/>
      <c r="J475" s="416"/>
      <c r="K475" s="416"/>
      <c r="L475" s="416"/>
      <c r="M475" s="416"/>
      <c r="N475" s="416"/>
    </row>
    <row r="476">
      <c r="A476" s="416"/>
      <c r="B476" s="416"/>
      <c r="C476" s="416"/>
      <c r="D476" s="416"/>
      <c r="E476" s="416"/>
      <c r="F476" s="416"/>
      <c r="G476" s="416"/>
      <c r="H476" s="416"/>
      <c r="I476" s="416"/>
      <c r="J476" s="416"/>
      <c r="K476" s="416"/>
      <c r="L476" s="416"/>
      <c r="M476" s="416"/>
      <c r="N476" s="416"/>
    </row>
    <row r="477">
      <c r="A477" s="416"/>
      <c r="B477" s="416"/>
      <c r="C477" s="416"/>
      <c r="D477" s="416"/>
      <c r="E477" s="416"/>
      <c r="F477" s="416"/>
      <c r="G477" s="416"/>
      <c r="H477" s="416"/>
      <c r="I477" s="416"/>
      <c r="J477" s="416"/>
      <c r="K477" s="416"/>
      <c r="L477" s="416"/>
      <c r="M477" s="416"/>
      <c r="N477" s="416"/>
    </row>
    <row r="478">
      <c r="A478" s="416"/>
      <c r="B478" s="416"/>
      <c r="C478" s="416"/>
      <c r="D478" s="416"/>
      <c r="E478" s="416"/>
      <c r="F478" s="416"/>
      <c r="G478" s="416"/>
      <c r="H478" s="416"/>
      <c r="I478" s="416"/>
      <c r="J478" s="416"/>
      <c r="K478" s="416"/>
      <c r="L478" s="416"/>
      <c r="M478" s="416"/>
      <c r="N478" s="416"/>
    </row>
    <row r="479">
      <c r="A479" s="416"/>
      <c r="B479" s="416"/>
      <c r="C479" s="416"/>
      <c r="D479" s="416"/>
      <c r="E479" s="416"/>
      <c r="F479" s="416"/>
      <c r="G479" s="416"/>
      <c r="H479" s="416"/>
      <c r="I479" s="416"/>
      <c r="J479" s="416"/>
      <c r="K479" s="416"/>
      <c r="L479" s="416"/>
      <c r="M479" s="416"/>
      <c r="N479" s="416"/>
    </row>
    <row r="480">
      <c r="A480" s="416"/>
      <c r="B480" s="416"/>
      <c r="C480" s="416"/>
      <c r="D480" s="416"/>
      <c r="E480" s="416"/>
      <c r="F480" s="416"/>
      <c r="G480" s="416"/>
      <c r="H480" s="416"/>
      <c r="I480" s="416"/>
      <c r="J480" s="416"/>
      <c r="K480" s="416"/>
      <c r="L480" s="416"/>
      <c r="M480" s="416"/>
      <c r="N480" s="416"/>
    </row>
    <row r="481">
      <c r="A481" s="416"/>
      <c r="B481" s="416"/>
      <c r="C481" s="416"/>
      <c r="D481" s="416"/>
      <c r="E481" s="416"/>
      <c r="F481" s="416"/>
      <c r="G481" s="416"/>
      <c r="H481" s="416"/>
      <c r="I481" s="416"/>
      <c r="J481" s="416"/>
      <c r="K481" s="416"/>
      <c r="L481" s="416"/>
      <c r="M481" s="416"/>
      <c r="N481" s="416"/>
    </row>
    <row r="482">
      <c r="A482" s="416"/>
      <c r="B482" s="416"/>
      <c r="C482" s="416"/>
      <c r="D482" s="416"/>
      <c r="E482" s="416"/>
      <c r="F482" s="416"/>
      <c r="G482" s="416"/>
      <c r="H482" s="416"/>
      <c r="I482" s="416"/>
      <c r="J482" s="416"/>
      <c r="K482" s="416"/>
      <c r="L482" s="416"/>
      <c r="M482" s="416"/>
      <c r="N482" s="416"/>
    </row>
    <row r="483">
      <c r="A483" s="416"/>
      <c r="B483" s="416"/>
      <c r="C483" s="416"/>
      <c r="D483" s="416"/>
      <c r="E483" s="416"/>
      <c r="F483" s="416"/>
      <c r="G483" s="416"/>
      <c r="H483" s="416"/>
      <c r="I483" s="416"/>
      <c r="J483" s="416"/>
      <c r="K483" s="416"/>
      <c r="L483" s="416"/>
      <c r="M483" s="416"/>
      <c r="N483" s="416"/>
    </row>
    <row r="484">
      <c r="A484" s="416"/>
      <c r="B484" s="416"/>
      <c r="C484" s="416"/>
      <c r="D484" s="416"/>
      <c r="E484" s="416"/>
      <c r="F484" s="416"/>
      <c r="G484" s="416"/>
      <c r="H484" s="416"/>
      <c r="I484" s="416"/>
      <c r="J484" s="416"/>
      <c r="K484" s="416"/>
      <c r="L484" s="416"/>
      <c r="M484" s="416"/>
      <c r="N484" s="416"/>
    </row>
    <row r="485">
      <c r="A485" s="416"/>
      <c r="B485" s="416"/>
      <c r="C485" s="416"/>
      <c r="D485" s="416"/>
      <c r="E485" s="416"/>
      <c r="F485" s="416"/>
      <c r="G485" s="416"/>
      <c r="H485" s="416"/>
      <c r="I485" s="416"/>
      <c r="J485" s="416"/>
      <c r="K485" s="416"/>
      <c r="L485" s="416"/>
      <c r="M485" s="416"/>
      <c r="N485" s="416"/>
    </row>
    <row r="486">
      <c r="A486" s="416"/>
      <c r="B486" s="416"/>
      <c r="C486" s="416"/>
      <c r="D486" s="416"/>
      <c r="E486" s="416"/>
      <c r="F486" s="416"/>
      <c r="G486" s="416"/>
      <c r="H486" s="416"/>
      <c r="I486" s="416"/>
      <c r="J486" s="416"/>
      <c r="K486" s="416"/>
      <c r="L486" s="416"/>
      <c r="M486" s="416"/>
      <c r="N486" s="416"/>
    </row>
    <row r="487">
      <c r="A487" s="416"/>
      <c r="B487" s="416"/>
      <c r="C487" s="416"/>
      <c r="D487" s="416"/>
      <c r="E487" s="416"/>
      <c r="F487" s="416"/>
      <c r="G487" s="416"/>
      <c r="H487" s="416"/>
      <c r="I487" s="416"/>
      <c r="J487" s="416"/>
      <c r="K487" s="416"/>
      <c r="L487" s="416"/>
      <c r="M487" s="416"/>
      <c r="N487" s="416"/>
    </row>
    <row r="488">
      <c r="A488" s="416"/>
      <c r="B488" s="416"/>
      <c r="C488" s="416"/>
      <c r="D488" s="416"/>
      <c r="E488" s="416"/>
      <c r="F488" s="416"/>
      <c r="G488" s="416"/>
      <c r="H488" s="416"/>
      <c r="I488" s="416"/>
      <c r="J488" s="416"/>
      <c r="K488" s="416"/>
      <c r="L488" s="416"/>
      <c r="M488" s="416"/>
      <c r="N488" s="416"/>
    </row>
    <row r="489">
      <c r="A489" s="416"/>
      <c r="B489" s="416"/>
      <c r="C489" s="416"/>
      <c r="D489" s="416"/>
      <c r="E489" s="416"/>
      <c r="F489" s="416"/>
      <c r="G489" s="416"/>
      <c r="H489" s="416"/>
      <c r="I489" s="416"/>
      <c r="J489" s="416"/>
      <c r="K489" s="416"/>
      <c r="L489" s="416"/>
      <c r="M489" s="416"/>
      <c r="N489" s="416"/>
    </row>
    <row r="490">
      <c r="A490" s="416"/>
      <c r="B490" s="416"/>
      <c r="C490" s="416"/>
      <c r="D490" s="416"/>
      <c r="E490" s="416"/>
      <c r="F490" s="416"/>
      <c r="G490" s="416"/>
      <c r="H490" s="416"/>
      <c r="I490" s="416"/>
      <c r="J490" s="416"/>
      <c r="K490" s="416"/>
      <c r="L490" s="416"/>
      <c r="M490" s="416"/>
      <c r="N490" s="416"/>
    </row>
    <row r="491">
      <c r="A491" s="416"/>
      <c r="B491" s="416"/>
      <c r="C491" s="416"/>
      <c r="D491" s="416"/>
      <c r="E491" s="416"/>
      <c r="F491" s="416"/>
      <c r="G491" s="416"/>
      <c r="H491" s="416"/>
      <c r="I491" s="416"/>
      <c r="J491" s="416"/>
      <c r="K491" s="416"/>
      <c r="L491" s="416"/>
      <c r="M491" s="416"/>
      <c r="N491" s="416"/>
    </row>
    <row r="492">
      <c r="A492" s="416"/>
      <c r="B492" s="416"/>
      <c r="C492" s="416"/>
      <c r="D492" s="416"/>
      <c r="E492" s="416"/>
      <c r="F492" s="416"/>
      <c r="G492" s="416"/>
      <c r="H492" s="416"/>
      <c r="I492" s="416"/>
      <c r="J492" s="416"/>
      <c r="K492" s="416"/>
      <c r="L492" s="416"/>
      <c r="M492" s="416"/>
      <c r="N492" s="416"/>
    </row>
    <row r="493">
      <c r="A493" s="416"/>
      <c r="B493" s="416"/>
      <c r="C493" s="416"/>
      <c r="D493" s="416"/>
      <c r="E493" s="416"/>
      <c r="F493" s="416"/>
      <c r="G493" s="416"/>
      <c r="H493" s="416"/>
      <c r="I493" s="416"/>
      <c r="J493" s="416"/>
      <c r="K493" s="416"/>
      <c r="L493" s="416"/>
      <c r="M493" s="416"/>
      <c r="N493" s="416"/>
    </row>
    <row r="494">
      <c r="A494" s="416"/>
      <c r="B494" s="416"/>
      <c r="C494" s="416"/>
      <c r="D494" s="416"/>
      <c r="E494" s="416"/>
      <c r="F494" s="416"/>
      <c r="G494" s="416"/>
      <c r="H494" s="416"/>
      <c r="I494" s="416"/>
      <c r="J494" s="416"/>
      <c r="K494" s="416"/>
      <c r="L494" s="416"/>
      <c r="M494" s="416"/>
      <c r="N494" s="416"/>
    </row>
    <row r="495">
      <c r="A495" s="416"/>
      <c r="B495" s="416"/>
      <c r="C495" s="416"/>
      <c r="D495" s="416"/>
      <c r="E495" s="416"/>
      <c r="F495" s="416"/>
      <c r="G495" s="416"/>
      <c r="H495" s="416"/>
      <c r="I495" s="416"/>
      <c r="J495" s="416"/>
      <c r="K495" s="416"/>
      <c r="L495" s="416"/>
      <c r="M495" s="416"/>
      <c r="N495" s="416"/>
    </row>
    <row r="496">
      <c r="A496" s="416"/>
      <c r="B496" s="416"/>
      <c r="C496" s="416"/>
      <c r="D496" s="416"/>
      <c r="E496" s="416"/>
      <c r="F496" s="416"/>
      <c r="G496" s="416"/>
      <c r="H496" s="416"/>
      <c r="I496" s="416"/>
      <c r="J496" s="416"/>
      <c r="K496" s="416"/>
      <c r="L496" s="416"/>
      <c r="M496" s="416"/>
      <c r="N496" s="416"/>
    </row>
    <row r="497">
      <c r="A497" s="416"/>
      <c r="B497" s="416"/>
      <c r="C497" s="416"/>
      <c r="D497" s="416"/>
      <c r="E497" s="416"/>
      <c r="F497" s="416"/>
      <c r="G497" s="416"/>
      <c r="H497" s="416"/>
      <c r="I497" s="416"/>
      <c r="J497" s="416"/>
      <c r="K497" s="416"/>
      <c r="L497" s="416"/>
      <c r="M497" s="416"/>
      <c r="N497" s="416"/>
    </row>
    <row r="498">
      <c r="A498" s="416"/>
      <c r="B498" s="416"/>
      <c r="C498" s="416"/>
      <c r="D498" s="416"/>
      <c r="E498" s="416"/>
      <c r="F498" s="416"/>
      <c r="G498" s="416"/>
      <c r="H498" s="416"/>
      <c r="I498" s="416"/>
      <c r="J498" s="416"/>
      <c r="K498" s="416"/>
      <c r="L498" s="416"/>
      <c r="M498" s="416"/>
      <c r="N498" s="416"/>
    </row>
    <row r="499">
      <c r="A499" s="416"/>
      <c r="B499" s="416"/>
      <c r="C499" s="416"/>
      <c r="D499" s="416"/>
      <c r="E499" s="416"/>
      <c r="F499" s="416"/>
      <c r="G499" s="416"/>
      <c r="H499" s="416"/>
      <c r="I499" s="416"/>
      <c r="J499" s="416"/>
      <c r="K499" s="416"/>
      <c r="L499" s="416"/>
      <c r="M499" s="416"/>
      <c r="N499" s="416"/>
    </row>
    <row r="500">
      <c r="A500" s="416"/>
      <c r="B500" s="416"/>
      <c r="C500" s="416"/>
      <c r="D500" s="416"/>
      <c r="E500" s="416"/>
      <c r="F500" s="416"/>
      <c r="G500" s="416"/>
      <c r="H500" s="416"/>
      <c r="I500" s="416"/>
      <c r="J500" s="416"/>
      <c r="K500" s="416"/>
      <c r="L500" s="416"/>
      <c r="M500" s="416"/>
      <c r="N500" s="416"/>
    </row>
    <row r="501">
      <c r="A501" s="416"/>
      <c r="B501" s="416"/>
      <c r="C501" s="416"/>
      <c r="D501" s="416"/>
      <c r="E501" s="416"/>
      <c r="F501" s="416"/>
      <c r="G501" s="416"/>
      <c r="H501" s="416"/>
      <c r="I501" s="416"/>
      <c r="J501" s="416"/>
      <c r="K501" s="416"/>
      <c r="L501" s="416"/>
      <c r="M501" s="416"/>
      <c r="N501" s="416"/>
    </row>
    <row r="502">
      <c r="A502" s="416"/>
      <c r="B502" s="416"/>
      <c r="C502" s="416"/>
      <c r="D502" s="416"/>
      <c r="E502" s="416"/>
      <c r="F502" s="416"/>
      <c r="G502" s="416"/>
      <c r="H502" s="416"/>
      <c r="I502" s="416"/>
      <c r="J502" s="416"/>
      <c r="K502" s="416"/>
      <c r="L502" s="416"/>
      <c r="M502" s="416"/>
      <c r="N502" s="416"/>
    </row>
    <row r="503">
      <c r="A503" s="416"/>
      <c r="B503" s="416"/>
      <c r="C503" s="416"/>
      <c r="D503" s="416"/>
      <c r="E503" s="416"/>
      <c r="F503" s="416"/>
      <c r="G503" s="416"/>
      <c r="H503" s="416"/>
      <c r="I503" s="416"/>
      <c r="J503" s="416"/>
      <c r="K503" s="416"/>
      <c r="L503" s="416"/>
      <c r="M503" s="416"/>
      <c r="N503" s="416"/>
    </row>
    <row r="504">
      <c r="A504" s="416"/>
      <c r="B504" s="416"/>
      <c r="C504" s="416"/>
      <c r="D504" s="416"/>
      <c r="E504" s="416"/>
      <c r="F504" s="416"/>
      <c r="G504" s="416"/>
      <c r="H504" s="416"/>
      <c r="I504" s="416"/>
      <c r="J504" s="416"/>
      <c r="K504" s="416"/>
      <c r="L504" s="416"/>
      <c r="M504" s="416"/>
      <c r="N504" s="416"/>
    </row>
    <row r="505">
      <c r="A505" s="416"/>
      <c r="B505" s="416"/>
      <c r="C505" s="416"/>
      <c r="D505" s="416"/>
      <c r="E505" s="416"/>
      <c r="F505" s="416"/>
      <c r="G505" s="416"/>
      <c r="H505" s="416"/>
      <c r="I505" s="416"/>
      <c r="J505" s="416"/>
      <c r="K505" s="416"/>
      <c r="L505" s="416"/>
      <c r="M505" s="416"/>
      <c r="N505" s="416"/>
    </row>
    <row r="506">
      <c r="A506" s="416"/>
      <c r="B506" s="416"/>
      <c r="C506" s="416"/>
      <c r="D506" s="416"/>
      <c r="E506" s="416"/>
      <c r="F506" s="416"/>
      <c r="G506" s="416"/>
      <c r="H506" s="416"/>
      <c r="I506" s="416"/>
      <c r="J506" s="416"/>
      <c r="K506" s="416"/>
      <c r="L506" s="416"/>
      <c r="M506" s="416"/>
      <c r="N506" s="416"/>
    </row>
    <row r="507">
      <c r="A507" s="416"/>
      <c r="B507" s="416"/>
      <c r="C507" s="416"/>
      <c r="D507" s="416"/>
      <c r="E507" s="416"/>
      <c r="F507" s="416"/>
      <c r="G507" s="416"/>
      <c r="H507" s="416"/>
      <c r="I507" s="416"/>
      <c r="J507" s="416"/>
      <c r="K507" s="416"/>
      <c r="L507" s="416"/>
      <c r="M507" s="416"/>
      <c r="N507" s="416"/>
    </row>
    <row r="508">
      <c r="A508" s="416"/>
      <c r="B508" s="416"/>
      <c r="C508" s="416"/>
      <c r="D508" s="416"/>
      <c r="E508" s="416"/>
      <c r="F508" s="416"/>
      <c r="G508" s="416"/>
      <c r="H508" s="416"/>
      <c r="I508" s="416"/>
      <c r="J508" s="416"/>
      <c r="K508" s="416"/>
      <c r="L508" s="416"/>
      <c r="M508" s="416"/>
      <c r="N508" s="416"/>
    </row>
    <row r="509">
      <c r="A509" s="416"/>
      <c r="B509" s="416"/>
      <c r="C509" s="416"/>
      <c r="D509" s="416"/>
      <c r="E509" s="416"/>
      <c r="F509" s="416"/>
      <c r="G509" s="416"/>
      <c r="H509" s="416"/>
      <c r="I509" s="416"/>
      <c r="J509" s="416"/>
      <c r="K509" s="416"/>
      <c r="L509" s="416"/>
      <c r="M509" s="416"/>
      <c r="N509" s="416"/>
    </row>
    <row r="510">
      <c r="A510" s="416"/>
      <c r="B510" s="416"/>
      <c r="C510" s="416"/>
      <c r="D510" s="416"/>
      <c r="E510" s="416"/>
      <c r="F510" s="416"/>
      <c r="G510" s="416"/>
      <c r="H510" s="416"/>
      <c r="I510" s="416"/>
      <c r="J510" s="416"/>
      <c r="K510" s="416"/>
      <c r="L510" s="416"/>
      <c r="M510" s="416"/>
      <c r="N510" s="416"/>
    </row>
    <row r="511">
      <c r="A511" s="416"/>
      <c r="B511" s="416"/>
      <c r="C511" s="416"/>
      <c r="D511" s="416"/>
      <c r="E511" s="416"/>
      <c r="F511" s="416"/>
      <c r="G511" s="416"/>
      <c r="H511" s="416"/>
      <c r="I511" s="416"/>
      <c r="J511" s="416"/>
      <c r="K511" s="416"/>
      <c r="L511" s="416"/>
      <c r="M511" s="416"/>
      <c r="N511" s="416"/>
    </row>
    <row r="512">
      <c r="A512" s="416"/>
      <c r="B512" s="416"/>
      <c r="C512" s="416"/>
      <c r="D512" s="416"/>
      <c r="E512" s="416"/>
      <c r="F512" s="416"/>
      <c r="G512" s="416"/>
      <c r="H512" s="416"/>
      <c r="I512" s="416"/>
      <c r="J512" s="416"/>
      <c r="K512" s="416"/>
      <c r="L512" s="416"/>
      <c r="M512" s="416"/>
      <c r="N512" s="416"/>
    </row>
    <row r="513">
      <c r="A513" s="416"/>
      <c r="B513" s="416"/>
      <c r="C513" s="416"/>
      <c r="D513" s="416"/>
      <c r="E513" s="416"/>
      <c r="F513" s="416"/>
      <c r="G513" s="416"/>
      <c r="H513" s="416"/>
      <c r="I513" s="416"/>
      <c r="J513" s="416"/>
      <c r="K513" s="416"/>
      <c r="L513" s="416"/>
      <c r="M513" s="416"/>
      <c r="N513" s="416"/>
    </row>
    <row r="514">
      <c r="A514" s="416"/>
      <c r="B514" s="416"/>
      <c r="C514" s="416"/>
      <c r="D514" s="416"/>
      <c r="E514" s="416"/>
      <c r="F514" s="416"/>
      <c r="G514" s="416"/>
      <c r="H514" s="416"/>
      <c r="I514" s="416"/>
      <c r="J514" s="416"/>
      <c r="K514" s="416"/>
      <c r="L514" s="416"/>
      <c r="M514" s="416"/>
      <c r="N514" s="416"/>
    </row>
    <row r="515">
      <c r="A515" s="416"/>
      <c r="B515" s="416"/>
      <c r="C515" s="416"/>
      <c r="D515" s="416"/>
      <c r="E515" s="416"/>
      <c r="F515" s="416"/>
      <c r="G515" s="416"/>
      <c r="H515" s="416"/>
      <c r="I515" s="416"/>
      <c r="J515" s="416"/>
      <c r="K515" s="416"/>
      <c r="L515" s="416"/>
      <c r="M515" s="416"/>
      <c r="N515" s="416"/>
    </row>
    <row r="516">
      <c r="A516" s="416"/>
      <c r="B516" s="416"/>
      <c r="C516" s="416"/>
      <c r="D516" s="416"/>
      <c r="E516" s="416"/>
      <c r="F516" s="416"/>
      <c r="G516" s="416"/>
      <c r="H516" s="416"/>
      <c r="I516" s="416"/>
      <c r="J516" s="416"/>
      <c r="K516" s="416"/>
      <c r="L516" s="416"/>
      <c r="M516" s="416"/>
      <c r="N516" s="416"/>
    </row>
    <row r="517">
      <c r="A517" s="416"/>
      <c r="B517" s="416"/>
      <c r="C517" s="416"/>
      <c r="D517" s="416"/>
      <c r="E517" s="416"/>
      <c r="F517" s="416"/>
      <c r="G517" s="416"/>
      <c r="H517" s="416"/>
      <c r="I517" s="416"/>
      <c r="J517" s="416"/>
      <c r="K517" s="416"/>
      <c r="L517" s="416"/>
      <c r="M517" s="416"/>
      <c r="N517" s="416"/>
    </row>
    <row r="518">
      <c r="A518" s="416"/>
      <c r="B518" s="416"/>
      <c r="C518" s="416"/>
      <c r="D518" s="416"/>
      <c r="E518" s="416"/>
      <c r="F518" s="416"/>
      <c r="G518" s="416"/>
      <c r="H518" s="416"/>
      <c r="I518" s="416"/>
      <c r="J518" s="416"/>
      <c r="K518" s="416"/>
      <c r="L518" s="416"/>
      <c r="M518" s="416"/>
      <c r="N518" s="416"/>
    </row>
    <row r="519">
      <c r="A519" s="416"/>
      <c r="B519" s="416"/>
      <c r="C519" s="416"/>
      <c r="D519" s="416"/>
      <c r="E519" s="416"/>
      <c r="F519" s="416"/>
      <c r="G519" s="416"/>
      <c r="H519" s="416"/>
      <c r="I519" s="416"/>
      <c r="J519" s="416"/>
      <c r="K519" s="416"/>
      <c r="L519" s="416"/>
      <c r="M519" s="416"/>
      <c r="N519" s="416"/>
    </row>
    <row r="520">
      <c r="A520" s="416"/>
      <c r="B520" s="416"/>
      <c r="C520" s="416"/>
      <c r="D520" s="416"/>
      <c r="E520" s="416"/>
      <c r="F520" s="416"/>
      <c r="G520" s="416"/>
      <c r="H520" s="416"/>
      <c r="I520" s="416"/>
      <c r="J520" s="416"/>
      <c r="K520" s="416"/>
      <c r="L520" s="416"/>
      <c r="M520" s="416"/>
      <c r="N520" s="416"/>
    </row>
    <row r="521">
      <c r="A521" s="416"/>
      <c r="B521" s="416"/>
      <c r="C521" s="416"/>
      <c r="D521" s="416"/>
      <c r="E521" s="416"/>
      <c r="F521" s="416"/>
      <c r="G521" s="416"/>
      <c r="H521" s="416"/>
      <c r="I521" s="416"/>
      <c r="J521" s="416"/>
      <c r="K521" s="416"/>
      <c r="L521" s="416"/>
      <c r="M521" s="416"/>
      <c r="N521" s="416"/>
    </row>
    <row r="522">
      <c r="A522" s="416"/>
      <c r="B522" s="416"/>
      <c r="C522" s="416"/>
      <c r="D522" s="416"/>
      <c r="E522" s="416"/>
      <c r="F522" s="416"/>
      <c r="G522" s="416"/>
      <c r="H522" s="416"/>
      <c r="I522" s="416"/>
      <c r="J522" s="416"/>
      <c r="K522" s="416"/>
      <c r="L522" s="416"/>
      <c r="M522" s="416"/>
      <c r="N522" s="416"/>
    </row>
    <row r="523">
      <c r="A523" s="416"/>
      <c r="B523" s="416"/>
      <c r="C523" s="416"/>
      <c r="D523" s="416"/>
      <c r="E523" s="416"/>
      <c r="F523" s="416"/>
      <c r="G523" s="416"/>
      <c r="H523" s="416"/>
      <c r="I523" s="416"/>
      <c r="J523" s="416"/>
      <c r="K523" s="416"/>
      <c r="L523" s="416"/>
      <c r="M523" s="416"/>
      <c r="N523" s="416"/>
    </row>
    <row r="524">
      <c r="A524" s="416"/>
      <c r="B524" s="416"/>
      <c r="C524" s="416"/>
      <c r="D524" s="416"/>
      <c r="E524" s="416"/>
      <c r="F524" s="416"/>
      <c r="G524" s="416"/>
      <c r="H524" s="416"/>
      <c r="I524" s="416"/>
      <c r="J524" s="416"/>
      <c r="K524" s="416"/>
      <c r="L524" s="416"/>
      <c r="M524" s="416"/>
      <c r="N524" s="416"/>
    </row>
    <row r="525">
      <c r="A525" s="416"/>
      <c r="B525" s="416"/>
      <c r="C525" s="416"/>
      <c r="D525" s="416"/>
      <c r="E525" s="416"/>
      <c r="F525" s="416"/>
      <c r="G525" s="416"/>
      <c r="H525" s="416"/>
      <c r="I525" s="416"/>
      <c r="J525" s="416"/>
      <c r="K525" s="416"/>
      <c r="L525" s="416"/>
      <c r="M525" s="416"/>
      <c r="N525" s="416"/>
    </row>
    <row r="526">
      <c r="A526" s="416"/>
      <c r="B526" s="416"/>
      <c r="C526" s="416"/>
      <c r="D526" s="416"/>
      <c r="E526" s="416"/>
      <c r="F526" s="416"/>
      <c r="G526" s="416"/>
      <c r="H526" s="416"/>
      <c r="I526" s="416"/>
      <c r="J526" s="416"/>
      <c r="K526" s="416"/>
      <c r="L526" s="416"/>
      <c r="M526" s="416"/>
      <c r="N526" s="416"/>
    </row>
    <row r="527">
      <c r="A527" s="416"/>
      <c r="B527" s="416"/>
      <c r="C527" s="416"/>
      <c r="D527" s="416"/>
      <c r="E527" s="416"/>
      <c r="F527" s="416"/>
      <c r="G527" s="416"/>
      <c r="H527" s="416"/>
      <c r="I527" s="416"/>
      <c r="J527" s="416"/>
      <c r="K527" s="416"/>
      <c r="L527" s="416"/>
      <c r="M527" s="416"/>
      <c r="N527" s="416"/>
    </row>
    <row r="528">
      <c r="A528" s="416"/>
      <c r="B528" s="416"/>
      <c r="C528" s="416"/>
      <c r="D528" s="416"/>
      <c r="E528" s="416"/>
      <c r="F528" s="416"/>
      <c r="G528" s="416"/>
      <c r="H528" s="416"/>
      <c r="I528" s="416"/>
      <c r="J528" s="416"/>
      <c r="K528" s="416"/>
      <c r="L528" s="416"/>
      <c r="M528" s="416"/>
      <c r="N528" s="416"/>
    </row>
    <row r="529">
      <c r="A529" s="416"/>
      <c r="B529" s="416"/>
      <c r="C529" s="416"/>
      <c r="D529" s="416"/>
      <c r="E529" s="416"/>
      <c r="F529" s="416"/>
      <c r="G529" s="416"/>
      <c r="H529" s="416"/>
      <c r="I529" s="416"/>
      <c r="J529" s="416"/>
      <c r="K529" s="416"/>
      <c r="L529" s="416"/>
      <c r="M529" s="416"/>
      <c r="N529" s="416"/>
    </row>
    <row r="530">
      <c r="A530" s="416"/>
      <c r="B530" s="416"/>
      <c r="C530" s="416"/>
      <c r="D530" s="416"/>
      <c r="E530" s="416"/>
      <c r="F530" s="416"/>
      <c r="G530" s="416"/>
      <c r="H530" s="416"/>
      <c r="I530" s="416"/>
      <c r="J530" s="416"/>
      <c r="K530" s="416"/>
      <c r="L530" s="416"/>
      <c r="M530" s="416"/>
      <c r="N530" s="416"/>
    </row>
    <row r="531">
      <c r="A531" s="416"/>
      <c r="B531" s="416"/>
      <c r="C531" s="416"/>
      <c r="D531" s="416"/>
      <c r="E531" s="416"/>
      <c r="F531" s="416"/>
      <c r="G531" s="416"/>
      <c r="H531" s="416"/>
      <c r="I531" s="416"/>
      <c r="J531" s="416"/>
      <c r="K531" s="416"/>
      <c r="L531" s="416"/>
      <c r="M531" s="416"/>
      <c r="N531" s="416"/>
    </row>
    <row r="532">
      <c r="A532" s="416"/>
      <c r="B532" s="416"/>
      <c r="C532" s="416"/>
      <c r="D532" s="416"/>
      <c r="E532" s="416"/>
      <c r="F532" s="416"/>
      <c r="G532" s="416"/>
      <c r="H532" s="416"/>
      <c r="I532" s="416"/>
      <c r="J532" s="416"/>
      <c r="K532" s="416"/>
      <c r="L532" s="416"/>
      <c r="M532" s="416"/>
      <c r="N532" s="416"/>
    </row>
    <row r="533">
      <c r="A533" s="416"/>
      <c r="B533" s="416"/>
      <c r="C533" s="416"/>
      <c r="D533" s="416"/>
      <c r="E533" s="416"/>
      <c r="F533" s="416"/>
      <c r="G533" s="416"/>
      <c r="H533" s="416"/>
      <c r="I533" s="416"/>
      <c r="J533" s="416"/>
      <c r="K533" s="416"/>
      <c r="L533" s="416"/>
      <c r="M533" s="416"/>
      <c r="N533" s="416"/>
    </row>
    <row r="534">
      <c r="A534" s="416"/>
      <c r="B534" s="416"/>
      <c r="C534" s="416"/>
      <c r="D534" s="416"/>
      <c r="E534" s="416"/>
      <c r="F534" s="416"/>
      <c r="G534" s="416"/>
      <c r="H534" s="416"/>
      <c r="I534" s="416"/>
      <c r="J534" s="416"/>
      <c r="K534" s="416"/>
      <c r="L534" s="416"/>
      <c r="M534" s="416"/>
      <c r="N534" s="416"/>
    </row>
    <row r="535">
      <c r="A535" s="416"/>
      <c r="B535" s="416"/>
      <c r="C535" s="416"/>
      <c r="D535" s="416"/>
      <c r="E535" s="416"/>
      <c r="F535" s="416"/>
      <c r="G535" s="416"/>
      <c r="H535" s="416"/>
      <c r="I535" s="416"/>
      <c r="J535" s="416"/>
      <c r="K535" s="416"/>
      <c r="L535" s="416"/>
      <c r="M535" s="416"/>
      <c r="N535" s="416"/>
    </row>
    <row r="536">
      <c r="A536" s="416"/>
      <c r="B536" s="416"/>
      <c r="C536" s="416"/>
      <c r="D536" s="416"/>
      <c r="E536" s="416"/>
      <c r="F536" s="416"/>
      <c r="G536" s="416"/>
      <c r="H536" s="416"/>
      <c r="I536" s="416"/>
      <c r="J536" s="416"/>
      <c r="K536" s="416"/>
      <c r="L536" s="416"/>
      <c r="M536" s="416"/>
      <c r="N536" s="416"/>
    </row>
    <row r="537">
      <c r="A537" s="416"/>
      <c r="B537" s="416"/>
      <c r="C537" s="416"/>
      <c r="D537" s="416"/>
      <c r="E537" s="416"/>
      <c r="F537" s="416"/>
      <c r="G537" s="416"/>
      <c r="H537" s="416"/>
      <c r="I537" s="416"/>
      <c r="J537" s="416"/>
      <c r="K537" s="416"/>
      <c r="L537" s="416"/>
      <c r="M537" s="416"/>
      <c r="N537" s="416"/>
    </row>
    <row r="538">
      <c r="A538" s="416"/>
      <c r="B538" s="416"/>
      <c r="C538" s="416"/>
      <c r="D538" s="416"/>
      <c r="E538" s="416"/>
      <c r="F538" s="416"/>
      <c r="G538" s="416"/>
      <c r="H538" s="416"/>
      <c r="I538" s="416"/>
      <c r="J538" s="416"/>
      <c r="K538" s="416"/>
      <c r="L538" s="416"/>
      <c r="M538" s="416"/>
      <c r="N538" s="416"/>
    </row>
    <row r="539">
      <c r="A539" s="416"/>
      <c r="B539" s="416"/>
      <c r="C539" s="416"/>
      <c r="D539" s="416"/>
      <c r="E539" s="416"/>
      <c r="F539" s="416"/>
      <c r="G539" s="416"/>
      <c r="H539" s="416"/>
      <c r="I539" s="416"/>
      <c r="J539" s="416"/>
      <c r="K539" s="416"/>
      <c r="L539" s="416"/>
      <c r="M539" s="416"/>
      <c r="N539" s="416"/>
    </row>
    <row r="540">
      <c r="A540" s="416"/>
      <c r="B540" s="416"/>
      <c r="C540" s="416"/>
      <c r="D540" s="416"/>
      <c r="E540" s="416"/>
      <c r="F540" s="416"/>
      <c r="G540" s="416"/>
      <c r="H540" s="416"/>
      <c r="I540" s="416"/>
      <c r="J540" s="416"/>
      <c r="K540" s="416"/>
      <c r="L540" s="416"/>
      <c r="M540" s="416"/>
      <c r="N540" s="416"/>
    </row>
    <row r="541">
      <c r="A541" s="416"/>
      <c r="B541" s="416"/>
      <c r="C541" s="416"/>
      <c r="D541" s="416"/>
      <c r="E541" s="416"/>
      <c r="F541" s="416"/>
      <c r="G541" s="416"/>
      <c r="H541" s="416"/>
      <c r="I541" s="416"/>
      <c r="J541" s="416"/>
      <c r="K541" s="416"/>
      <c r="L541" s="416"/>
      <c r="M541" s="416"/>
      <c r="N541" s="416"/>
    </row>
    <row r="542">
      <c r="A542" s="416"/>
      <c r="B542" s="416"/>
      <c r="C542" s="416"/>
      <c r="D542" s="416"/>
      <c r="E542" s="416"/>
      <c r="F542" s="416"/>
      <c r="G542" s="416"/>
      <c r="H542" s="416"/>
      <c r="I542" s="416"/>
      <c r="J542" s="416"/>
      <c r="K542" s="416"/>
      <c r="L542" s="416"/>
      <c r="M542" s="416"/>
      <c r="N542" s="416"/>
    </row>
    <row r="543">
      <c r="A543" s="416"/>
      <c r="B543" s="416"/>
      <c r="C543" s="416"/>
      <c r="D543" s="416"/>
      <c r="E543" s="416"/>
      <c r="F543" s="416"/>
      <c r="G543" s="416"/>
      <c r="H543" s="416"/>
      <c r="I543" s="416"/>
      <c r="J543" s="416"/>
      <c r="K543" s="416"/>
      <c r="L543" s="416"/>
      <c r="M543" s="416"/>
      <c r="N543" s="416"/>
    </row>
    <row r="544">
      <c r="A544" s="416"/>
      <c r="B544" s="416"/>
      <c r="C544" s="416"/>
      <c r="D544" s="416"/>
      <c r="E544" s="416"/>
      <c r="F544" s="416"/>
      <c r="G544" s="416"/>
      <c r="H544" s="416"/>
      <c r="I544" s="416"/>
      <c r="J544" s="416"/>
      <c r="K544" s="416"/>
      <c r="L544" s="416"/>
      <c r="M544" s="416"/>
      <c r="N544" s="416"/>
    </row>
    <row r="545">
      <c r="A545" s="416"/>
      <c r="B545" s="416"/>
      <c r="C545" s="416"/>
      <c r="D545" s="416"/>
      <c r="E545" s="416"/>
      <c r="F545" s="416"/>
      <c r="G545" s="416"/>
      <c r="H545" s="416"/>
      <c r="I545" s="416"/>
      <c r="J545" s="416"/>
      <c r="K545" s="416"/>
      <c r="L545" s="416"/>
      <c r="M545" s="416"/>
      <c r="N545" s="416"/>
    </row>
    <row r="546">
      <c r="A546" s="416"/>
      <c r="B546" s="416"/>
      <c r="C546" s="416"/>
      <c r="D546" s="416"/>
      <c r="E546" s="416"/>
      <c r="F546" s="416"/>
      <c r="G546" s="416"/>
      <c r="H546" s="416"/>
      <c r="I546" s="416"/>
      <c r="J546" s="416"/>
      <c r="K546" s="416"/>
      <c r="L546" s="416"/>
      <c r="M546" s="416"/>
      <c r="N546" s="416"/>
    </row>
    <row r="547">
      <c r="A547" s="416"/>
      <c r="B547" s="416"/>
      <c r="C547" s="416"/>
      <c r="D547" s="416"/>
      <c r="E547" s="416"/>
      <c r="F547" s="416"/>
      <c r="G547" s="416"/>
      <c r="H547" s="416"/>
      <c r="I547" s="416"/>
      <c r="J547" s="416"/>
      <c r="K547" s="416"/>
      <c r="L547" s="416"/>
      <c r="M547" s="416"/>
      <c r="N547" s="416"/>
    </row>
    <row r="548">
      <c r="A548" s="416"/>
      <c r="B548" s="416"/>
      <c r="C548" s="416"/>
      <c r="D548" s="416"/>
      <c r="E548" s="416"/>
      <c r="F548" s="416"/>
      <c r="G548" s="416"/>
      <c r="H548" s="416"/>
      <c r="I548" s="416"/>
      <c r="J548" s="416"/>
      <c r="K548" s="416"/>
      <c r="L548" s="416"/>
      <c r="M548" s="416"/>
      <c r="N548" s="416"/>
    </row>
    <row r="549">
      <c r="A549" s="416"/>
      <c r="B549" s="416"/>
      <c r="C549" s="416"/>
      <c r="D549" s="416"/>
      <c r="E549" s="416"/>
      <c r="F549" s="416"/>
      <c r="G549" s="416"/>
      <c r="H549" s="416"/>
      <c r="I549" s="416"/>
      <c r="J549" s="416"/>
      <c r="K549" s="416"/>
      <c r="L549" s="416"/>
      <c r="M549" s="416"/>
      <c r="N549" s="416"/>
    </row>
    <row r="550">
      <c r="A550" s="416"/>
      <c r="B550" s="416"/>
      <c r="C550" s="416"/>
      <c r="D550" s="416"/>
      <c r="E550" s="416"/>
      <c r="F550" s="416"/>
      <c r="G550" s="416"/>
      <c r="H550" s="416"/>
      <c r="I550" s="416"/>
      <c r="J550" s="416"/>
      <c r="K550" s="416"/>
      <c r="L550" s="416"/>
      <c r="M550" s="416"/>
      <c r="N550" s="416"/>
    </row>
    <row r="551">
      <c r="A551" s="416"/>
      <c r="B551" s="416"/>
      <c r="C551" s="416"/>
      <c r="D551" s="416"/>
      <c r="E551" s="416"/>
      <c r="F551" s="416"/>
      <c r="G551" s="416"/>
      <c r="H551" s="416"/>
      <c r="I551" s="416"/>
      <c r="J551" s="416"/>
      <c r="K551" s="416"/>
      <c r="L551" s="416"/>
      <c r="M551" s="416"/>
      <c r="N551" s="416"/>
    </row>
    <row r="552">
      <c r="A552" s="416"/>
      <c r="B552" s="416"/>
      <c r="C552" s="416"/>
      <c r="D552" s="416"/>
      <c r="E552" s="416"/>
      <c r="F552" s="416"/>
      <c r="G552" s="416"/>
      <c r="H552" s="416"/>
      <c r="I552" s="416"/>
      <c r="J552" s="416"/>
      <c r="K552" s="416"/>
      <c r="L552" s="416"/>
      <c r="M552" s="416"/>
      <c r="N552" s="416"/>
    </row>
    <row r="553">
      <c r="A553" s="416"/>
      <c r="B553" s="416"/>
      <c r="C553" s="416"/>
      <c r="D553" s="416"/>
      <c r="E553" s="416"/>
      <c r="F553" s="416"/>
      <c r="G553" s="416"/>
      <c r="H553" s="416"/>
      <c r="I553" s="416"/>
      <c r="J553" s="416"/>
      <c r="K553" s="416"/>
      <c r="L553" s="416"/>
      <c r="M553" s="416"/>
      <c r="N553" s="416"/>
    </row>
    <row r="554">
      <c r="A554" s="416"/>
      <c r="B554" s="416"/>
      <c r="C554" s="416"/>
      <c r="D554" s="416"/>
      <c r="E554" s="416"/>
      <c r="F554" s="416"/>
      <c r="G554" s="416"/>
      <c r="H554" s="416"/>
      <c r="I554" s="416"/>
      <c r="J554" s="416"/>
      <c r="K554" s="416"/>
      <c r="L554" s="416"/>
      <c r="M554" s="416"/>
      <c r="N554" s="416"/>
    </row>
    <row r="555">
      <c r="A555" s="416"/>
      <c r="B555" s="416"/>
      <c r="C555" s="416"/>
      <c r="D555" s="416"/>
      <c r="E555" s="416"/>
      <c r="F555" s="416"/>
      <c r="G555" s="416"/>
      <c r="H555" s="416"/>
      <c r="I555" s="416"/>
      <c r="J555" s="416"/>
      <c r="K555" s="416"/>
      <c r="L555" s="416"/>
      <c r="M555" s="416"/>
      <c r="N555" s="416"/>
    </row>
    <row r="556">
      <c r="A556" s="416"/>
      <c r="B556" s="416"/>
      <c r="C556" s="416"/>
      <c r="D556" s="416"/>
      <c r="E556" s="416"/>
      <c r="F556" s="416"/>
      <c r="G556" s="416"/>
      <c r="H556" s="416"/>
      <c r="I556" s="416"/>
      <c r="J556" s="416"/>
      <c r="K556" s="416"/>
      <c r="L556" s="416"/>
      <c r="M556" s="416"/>
      <c r="N556" s="416"/>
    </row>
    <row r="557">
      <c r="A557" s="416"/>
      <c r="B557" s="416"/>
      <c r="C557" s="416"/>
      <c r="D557" s="416"/>
      <c r="E557" s="416"/>
      <c r="F557" s="416"/>
      <c r="G557" s="416"/>
      <c r="H557" s="416"/>
      <c r="I557" s="416"/>
      <c r="J557" s="416"/>
      <c r="K557" s="416"/>
      <c r="L557" s="416"/>
      <c r="M557" s="416"/>
      <c r="N557" s="416"/>
    </row>
    <row r="558">
      <c r="A558" s="416"/>
      <c r="B558" s="416"/>
      <c r="C558" s="416"/>
      <c r="D558" s="416"/>
      <c r="E558" s="416"/>
      <c r="F558" s="416"/>
      <c r="G558" s="416"/>
      <c r="H558" s="416"/>
      <c r="I558" s="416"/>
      <c r="J558" s="416"/>
      <c r="K558" s="416"/>
      <c r="L558" s="416"/>
      <c r="M558" s="416"/>
      <c r="N558" s="416"/>
    </row>
    <row r="559">
      <c r="A559" s="416"/>
      <c r="B559" s="416"/>
      <c r="C559" s="416"/>
      <c r="D559" s="416"/>
      <c r="E559" s="416"/>
      <c r="F559" s="416"/>
      <c r="G559" s="416"/>
      <c r="H559" s="416"/>
      <c r="I559" s="416"/>
      <c r="J559" s="416"/>
      <c r="K559" s="416"/>
      <c r="L559" s="416"/>
      <c r="M559" s="416"/>
      <c r="N559" s="416"/>
    </row>
    <row r="560">
      <c r="A560" s="416"/>
      <c r="B560" s="416"/>
      <c r="C560" s="416"/>
      <c r="D560" s="416"/>
      <c r="E560" s="416"/>
      <c r="F560" s="416"/>
      <c r="G560" s="416"/>
      <c r="H560" s="416"/>
      <c r="I560" s="416"/>
      <c r="J560" s="416"/>
      <c r="K560" s="416"/>
      <c r="L560" s="416"/>
      <c r="M560" s="416"/>
      <c r="N560" s="416"/>
    </row>
    <row r="561">
      <c r="A561" s="416"/>
      <c r="B561" s="416"/>
      <c r="C561" s="416"/>
      <c r="D561" s="416"/>
      <c r="E561" s="416"/>
      <c r="F561" s="416"/>
      <c r="G561" s="416"/>
      <c r="H561" s="416"/>
      <c r="I561" s="416"/>
      <c r="J561" s="416"/>
      <c r="K561" s="416"/>
      <c r="L561" s="416"/>
      <c r="M561" s="416"/>
      <c r="N561" s="416"/>
    </row>
    <row r="562">
      <c r="A562" s="416"/>
      <c r="B562" s="416"/>
      <c r="C562" s="416"/>
      <c r="D562" s="416"/>
      <c r="E562" s="416"/>
      <c r="F562" s="416"/>
      <c r="G562" s="416"/>
      <c r="H562" s="416"/>
      <c r="I562" s="416"/>
      <c r="J562" s="416"/>
      <c r="K562" s="416"/>
      <c r="L562" s="416"/>
      <c r="M562" s="416"/>
      <c r="N562" s="416"/>
    </row>
    <row r="563">
      <c r="A563" s="416"/>
      <c r="B563" s="416"/>
      <c r="C563" s="416"/>
      <c r="D563" s="416"/>
      <c r="E563" s="416"/>
      <c r="F563" s="416"/>
      <c r="G563" s="416"/>
      <c r="H563" s="416"/>
      <c r="I563" s="416"/>
      <c r="J563" s="416"/>
      <c r="K563" s="416"/>
      <c r="L563" s="416"/>
      <c r="M563" s="416"/>
      <c r="N563" s="416"/>
    </row>
    <row r="564">
      <c r="A564" s="416"/>
      <c r="B564" s="416"/>
      <c r="C564" s="416"/>
      <c r="D564" s="416"/>
      <c r="E564" s="416"/>
      <c r="F564" s="416"/>
      <c r="G564" s="416"/>
      <c r="H564" s="416"/>
      <c r="I564" s="416"/>
      <c r="J564" s="416"/>
      <c r="K564" s="416"/>
      <c r="L564" s="416"/>
      <c r="M564" s="416"/>
      <c r="N564" s="416"/>
    </row>
    <row r="565">
      <c r="A565" s="416"/>
      <c r="B565" s="416"/>
      <c r="C565" s="416"/>
      <c r="D565" s="416"/>
      <c r="E565" s="416"/>
      <c r="F565" s="416"/>
      <c r="G565" s="416"/>
      <c r="H565" s="416"/>
      <c r="I565" s="416"/>
      <c r="J565" s="416"/>
      <c r="K565" s="416"/>
      <c r="L565" s="416"/>
      <c r="M565" s="416"/>
      <c r="N565" s="416"/>
    </row>
    <row r="566">
      <c r="A566" s="416"/>
      <c r="B566" s="416"/>
      <c r="C566" s="416"/>
      <c r="D566" s="416"/>
      <c r="E566" s="416"/>
      <c r="F566" s="416"/>
      <c r="G566" s="416"/>
      <c r="H566" s="416"/>
      <c r="I566" s="416"/>
      <c r="J566" s="416"/>
      <c r="K566" s="416"/>
      <c r="L566" s="416"/>
      <c r="M566" s="416"/>
      <c r="N566" s="416"/>
    </row>
    <row r="567">
      <c r="A567" s="416"/>
      <c r="B567" s="416"/>
      <c r="C567" s="416"/>
      <c r="D567" s="416"/>
      <c r="E567" s="416"/>
      <c r="F567" s="416"/>
      <c r="G567" s="416"/>
      <c r="H567" s="416"/>
      <c r="I567" s="416"/>
      <c r="J567" s="416"/>
      <c r="K567" s="416"/>
      <c r="L567" s="416"/>
      <c r="M567" s="416"/>
      <c r="N567" s="416"/>
    </row>
    <row r="568">
      <c r="A568" s="416"/>
      <c r="B568" s="416"/>
      <c r="C568" s="416"/>
      <c r="D568" s="416"/>
      <c r="E568" s="416"/>
      <c r="F568" s="416"/>
      <c r="G568" s="416"/>
      <c r="H568" s="416"/>
      <c r="I568" s="416"/>
      <c r="J568" s="416"/>
      <c r="K568" s="416"/>
      <c r="L568" s="416"/>
      <c r="M568" s="416"/>
      <c r="N568" s="416"/>
    </row>
    <row r="569">
      <c r="A569" s="416"/>
      <c r="B569" s="416"/>
      <c r="C569" s="416"/>
      <c r="D569" s="416"/>
      <c r="E569" s="416"/>
      <c r="F569" s="416"/>
      <c r="G569" s="416"/>
      <c r="H569" s="416"/>
      <c r="I569" s="416"/>
      <c r="J569" s="416"/>
      <c r="K569" s="416"/>
      <c r="L569" s="416"/>
      <c r="M569" s="416"/>
      <c r="N569" s="416"/>
    </row>
    <row r="570">
      <c r="A570" s="416"/>
      <c r="B570" s="416"/>
      <c r="C570" s="416"/>
      <c r="D570" s="416"/>
      <c r="E570" s="416"/>
      <c r="F570" s="416"/>
      <c r="G570" s="416"/>
      <c r="H570" s="416"/>
      <c r="I570" s="416"/>
      <c r="J570" s="416"/>
      <c r="K570" s="416"/>
      <c r="L570" s="416"/>
      <c r="M570" s="416"/>
      <c r="N570" s="416"/>
    </row>
    <row r="571">
      <c r="A571" s="416"/>
      <c r="B571" s="416"/>
      <c r="C571" s="416"/>
      <c r="D571" s="416"/>
      <c r="E571" s="416"/>
      <c r="F571" s="416"/>
      <c r="G571" s="416"/>
      <c r="H571" s="416"/>
      <c r="I571" s="416"/>
      <c r="J571" s="416"/>
      <c r="K571" s="416"/>
      <c r="L571" s="416"/>
      <c r="M571" s="416"/>
      <c r="N571" s="416"/>
    </row>
    <row r="572">
      <c r="A572" s="416"/>
      <c r="B572" s="416"/>
      <c r="C572" s="416"/>
      <c r="D572" s="416"/>
      <c r="E572" s="416"/>
      <c r="F572" s="416"/>
      <c r="G572" s="416"/>
      <c r="H572" s="416"/>
      <c r="I572" s="416"/>
      <c r="J572" s="416"/>
      <c r="K572" s="416"/>
      <c r="L572" s="416"/>
      <c r="M572" s="416"/>
      <c r="N572" s="416"/>
    </row>
    <row r="573">
      <c r="A573" s="416"/>
      <c r="B573" s="416"/>
      <c r="C573" s="416"/>
      <c r="D573" s="416"/>
      <c r="E573" s="416"/>
      <c r="F573" s="416"/>
      <c r="G573" s="416"/>
      <c r="H573" s="416"/>
      <c r="I573" s="416"/>
      <c r="J573" s="416"/>
      <c r="K573" s="416"/>
      <c r="L573" s="416"/>
      <c r="M573" s="416"/>
      <c r="N573" s="416"/>
    </row>
    <row r="574">
      <c r="A574" s="416"/>
      <c r="B574" s="416"/>
      <c r="C574" s="416"/>
      <c r="D574" s="416"/>
      <c r="E574" s="416"/>
      <c r="F574" s="416"/>
      <c r="G574" s="416"/>
      <c r="H574" s="416"/>
      <c r="I574" s="416"/>
      <c r="J574" s="416"/>
      <c r="K574" s="416"/>
      <c r="L574" s="416"/>
      <c r="M574" s="416"/>
      <c r="N574" s="416"/>
    </row>
    <row r="575">
      <c r="A575" s="416"/>
      <c r="B575" s="416"/>
      <c r="C575" s="416"/>
      <c r="D575" s="416"/>
      <c r="E575" s="416"/>
      <c r="F575" s="416"/>
      <c r="G575" s="416"/>
      <c r="H575" s="416"/>
      <c r="I575" s="416"/>
      <c r="J575" s="416"/>
      <c r="K575" s="416"/>
      <c r="L575" s="416"/>
      <c r="M575" s="416"/>
      <c r="N575" s="416"/>
    </row>
    <row r="576">
      <c r="A576" s="416"/>
      <c r="B576" s="416"/>
      <c r="C576" s="416"/>
      <c r="D576" s="416"/>
      <c r="E576" s="416"/>
      <c r="F576" s="416"/>
      <c r="G576" s="416"/>
      <c r="H576" s="416"/>
      <c r="I576" s="416"/>
      <c r="J576" s="416"/>
      <c r="K576" s="416"/>
      <c r="L576" s="416"/>
      <c r="M576" s="416"/>
      <c r="N576" s="416"/>
    </row>
    <row r="577">
      <c r="A577" s="416"/>
      <c r="B577" s="416"/>
      <c r="C577" s="416"/>
      <c r="D577" s="416"/>
      <c r="E577" s="416"/>
      <c r="F577" s="416"/>
      <c r="G577" s="416"/>
      <c r="H577" s="416"/>
      <c r="I577" s="416"/>
      <c r="J577" s="416"/>
      <c r="K577" s="416"/>
      <c r="L577" s="416"/>
      <c r="M577" s="416"/>
      <c r="N577" s="416"/>
    </row>
    <row r="578">
      <c r="A578" s="416"/>
      <c r="B578" s="416"/>
      <c r="C578" s="416"/>
      <c r="D578" s="416"/>
      <c r="E578" s="416"/>
      <c r="F578" s="416"/>
      <c r="G578" s="416"/>
      <c r="H578" s="416"/>
      <c r="I578" s="416"/>
      <c r="J578" s="416"/>
      <c r="K578" s="416"/>
      <c r="L578" s="416"/>
      <c r="M578" s="416"/>
      <c r="N578" s="416"/>
    </row>
    <row r="579">
      <c r="A579" s="416"/>
      <c r="B579" s="416"/>
      <c r="C579" s="416"/>
      <c r="D579" s="416"/>
      <c r="E579" s="416"/>
      <c r="F579" s="416"/>
      <c r="G579" s="416"/>
      <c r="H579" s="416"/>
      <c r="I579" s="416"/>
      <c r="J579" s="416"/>
      <c r="K579" s="416"/>
      <c r="L579" s="416"/>
      <c r="M579" s="416"/>
      <c r="N579" s="416"/>
    </row>
    <row r="580">
      <c r="A580" s="416"/>
      <c r="B580" s="416"/>
      <c r="C580" s="416"/>
      <c r="D580" s="416"/>
      <c r="E580" s="416"/>
      <c r="F580" s="416"/>
      <c r="G580" s="416"/>
      <c r="H580" s="416"/>
      <c r="I580" s="416"/>
      <c r="J580" s="416"/>
      <c r="K580" s="416"/>
      <c r="L580" s="416"/>
      <c r="M580" s="416"/>
      <c r="N580" s="416"/>
    </row>
    <row r="581">
      <c r="A581" s="416"/>
      <c r="B581" s="416"/>
      <c r="C581" s="416"/>
      <c r="D581" s="416"/>
      <c r="E581" s="416"/>
      <c r="F581" s="416"/>
      <c r="G581" s="416"/>
      <c r="H581" s="416"/>
      <c r="I581" s="416"/>
      <c r="J581" s="416"/>
      <c r="K581" s="416"/>
      <c r="L581" s="416"/>
      <c r="M581" s="416"/>
      <c r="N581" s="416"/>
    </row>
    <row r="582">
      <c r="A582" s="416"/>
      <c r="B582" s="416"/>
      <c r="C582" s="416"/>
      <c r="D582" s="416"/>
      <c r="E582" s="416"/>
      <c r="F582" s="416"/>
      <c r="G582" s="416"/>
      <c r="H582" s="416"/>
      <c r="I582" s="416"/>
      <c r="J582" s="416"/>
      <c r="K582" s="416"/>
      <c r="L582" s="416"/>
      <c r="M582" s="416"/>
      <c r="N582" s="416"/>
    </row>
    <row r="583">
      <c r="A583" s="416"/>
      <c r="B583" s="416"/>
      <c r="C583" s="416"/>
      <c r="D583" s="416"/>
      <c r="E583" s="416"/>
      <c r="F583" s="416"/>
      <c r="G583" s="416"/>
      <c r="H583" s="416"/>
      <c r="I583" s="416"/>
      <c r="J583" s="416"/>
      <c r="K583" s="416"/>
      <c r="L583" s="416"/>
      <c r="M583" s="416"/>
      <c r="N583" s="416"/>
    </row>
    <row r="584">
      <c r="A584" s="416"/>
      <c r="B584" s="416"/>
      <c r="C584" s="416"/>
      <c r="D584" s="416"/>
      <c r="E584" s="416"/>
      <c r="F584" s="416"/>
      <c r="G584" s="416"/>
      <c r="H584" s="416"/>
      <c r="I584" s="416"/>
      <c r="J584" s="416"/>
      <c r="K584" s="416"/>
      <c r="L584" s="416"/>
      <c r="M584" s="416"/>
      <c r="N584" s="416"/>
    </row>
    <row r="585">
      <c r="A585" s="416"/>
      <c r="B585" s="416"/>
      <c r="C585" s="416"/>
      <c r="D585" s="416"/>
      <c r="E585" s="416"/>
      <c r="F585" s="416"/>
      <c r="G585" s="416"/>
      <c r="H585" s="416"/>
      <c r="I585" s="416"/>
      <c r="J585" s="416"/>
      <c r="K585" s="416"/>
      <c r="L585" s="416"/>
      <c r="M585" s="416"/>
      <c r="N585" s="416"/>
    </row>
    <row r="586">
      <c r="A586" s="416"/>
      <c r="B586" s="416"/>
      <c r="C586" s="416"/>
      <c r="D586" s="416"/>
      <c r="E586" s="416"/>
      <c r="F586" s="416"/>
      <c r="G586" s="416"/>
      <c r="H586" s="416"/>
      <c r="I586" s="416"/>
      <c r="J586" s="416"/>
      <c r="K586" s="416"/>
      <c r="L586" s="416"/>
      <c r="M586" s="416"/>
      <c r="N586" s="416"/>
    </row>
    <row r="587">
      <c r="A587" s="416"/>
      <c r="B587" s="416"/>
      <c r="C587" s="416"/>
      <c r="D587" s="416"/>
      <c r="E587" s="416"/>
      <c r="F587" s="416"/>
      <c r="G587" s="416"/>
      <c r="H587" s="416"/>
      <c r="I587" s="416"/>
      <c r="J587" s="416"/>
      <c r="K587" s="416"/>
      <c r="L587" s="416"/>
      <c r="M587" s="416"/>
      <c r="N587" s="416"/>
    </row>
    <row r="588">
      <c r="A588" s="416"/>
      <c r="B588" s="416"/>
      <c r="C588" s="416"/>
      <c r="D588" s="416"/>
      <c r="E588" s="416"/>
      <c r="F588" s="416"/>
      <c r="G588" s="416"/>
      <c r="H588" s="416"/>
      <c r="I588" s="416"/>
      <c r="J588" s="416"/>
      <c r="K588" s="416"/>
      <c r="L588" s="416"/>
      <c r="M588" s="416"/>
      <c r="N588" s="416"/>
    </row>
    <row r="589">
      <c r="A589" s="416"/>
      <c r="B589" s="416"/>
      <c r="C589" s="416"/>
      <c r="D589" s="416"/>
      <c r="E589" s="416"/>
      <c r="F589" s="416"/>
      <c r="G589" s="416"/>
      <c r="H589" s="416"/>
      <c r="I589" s="416"/>
      <c r="J589" s="416"/>
      <c r="K589" s="416"/>
      <c r="L589" s="416"/>
      <c r="M589" s="416"/>
      <c r="N589" s="416"/>
    </row>
    <row r="590">
      <c r="A590" s="416"/>
      <c r="B590" s="416"/>
      <c r="C590" s="416"/>
      <c r="D590" s="416"/>
      <c r="E590" s="416"/>
      <c r="F590" s="416"/>
      <c r="G590" s="416"/>
      <c r="H590" s="416"/>
      <c r="I590" s="416"/>
      <c r="J590" s="416"/>
      <c r="K590" s="416"/>
      <c r="L590" s="416"/>
      <c r="M590" s="416"/>
      <c r="N590" s="416"/>
    </row>
    <row r="591">
      <c r="A591" s="416"/>
      <c r="B591" s="416"/>
      <c r="C591" s="416"/>
      <c r="D591" s="416"/>
      <c r="E591" s="416"/>
      <c r="F591" s="416"/>
      <c r="G591" s="416"/>
      <c r="H591" s="416"/>
      <c r="I591" s="416"/>
      <c r="J591" s="416"/>
      <c r="K591" s="416"/>
      <c r="L591" s="416"/>
      <c r="M591" s="416"/>
      <c r="N591" s="416"/>
    </row>
    <row r="592">
      <c r="A592" s="416"/>
      <c r="B592" s="416"/>
      <c r="C592" s="416"/>
      <c r="D592" s="416"/>
      <c r="E592" s="416"/>
      <c r="F592" s="416"/>
      <c r="G592" s="416"/>
      <c r="H592" s="416"/>
      <c r="I592" s="416"/>
      <c r="J592" s="416"/>
      <c r="K592" s="416"/>
      <c r="L592" s="416"/>
      <c r="M592" s="416"/>
      <c r="N592" s="416"/>
    </row>
    <row r="593">
      <c r="A593" s="416"/>
      <c r="B593" s="416"/>
      <c r="C593" s="416"/>
      <c r="D593" s="416"/>
      <c r="E593" s="416"/>
      <c r="F593" s="416"/>
      <c r="G593" s="416"/>
      <c r="H593" s="416"/>
      <c r="I593" s="416"/>
      <c r="J593" s="416"/>
      <c r="K593" s="416"/>
      <c r="L593" s="416"/>
      <c r="M593" s="416"/>
      <c r="N593" s="416"/>
    </row>
    <row r="594">
      <c r="A594" s="416"/>
      <c r="B594" s="416"/>
      <c r="C594" s="416"/>
      <c r="D594" s="416"/>
      <c r="E594" s="416"/>
      <c r="F594" s="416"/>
      <c r="G594" s="416"/>
      <c r="H594" s="416"/>
      <c r="I594" s="416"/>
      <c r="J594" s="416"/>
      <c r="K594" s="416"/>
      <c r="L594" s="416"/>
      <c r="M594" s="416"/>
      <c r="N594" s="416"/>
    </row>
    <row r="595">
      <c r="A595" s="416"/>
      <c r="B595" s="416"/>
      <c r="C595" s="416"/>
      <c r="D595" s="416"/>
      <c r="E595" s="416"/>
      <c r="F595" s="416"/>
      <c r="G595" s="416"/>
      <c r="H595" s="416"/>
      <c r="I595" s="416"/>
      <c r="J595" s="416"/>
      <c r="K595" s="416"/>
      <c r="L595" s="416"/>
      <c r="M595" s="416"/>
      <c r="N595" s="416"/>
    </row>
    <row r="596">
      <c r="A596" s="416"/>
      <c r="B596" s="416"/>
      <c r="C596" s="416"/>
      <c r="D596" s="416"/>
      <c r="E596" s="416"/>
      <c r="F596" s="416"/>
      <c r="G596" s="416"/>
      <c r="H596" s="416"/>
      <c r="I596" s="416"/>
      <c r="J596" s="416"/>
      <c r="K596" s="416"/>
      <c r="L596" s="416"/>
      <c r="M596" s="416"/>
      <c r="N596" s="416"/>
    </row>
    <row r="597">
      <c r="A597" s="416"/>
      <c r="B597" s="416"/>
      <c r="C597" s="416"/>
      <c r="D597" s="416"/>
      <c r="E597" s="416"/>
      <c r="F597" s="416"/>
      <c r="G597" s="416"/>
      <c r="H597" s="416"/>
      <c r="I597" s="416"/>
      <c r="J597" s="416"/>
      <c r="K597" s="416"/>
      <c r="L597" s="416"/>
      <c r="M597" s="416"/>
      <c r="N597" s="416"/>
    </row>
    <row r="598">
      <c r="A598" s="416"/>
      <c r="B598" s="416"/>
      <c r="C598" s="416"/>
      <c r="D598" s="416"/>
      <c r="E598" s="416"/>
      <c r="F598" s="416"/>
      <c r="G598" s="416"/>
      <c r="H598" s="416"/>
      <c r="I598" s="416"/>
      <c r="J598" s="416"/>
      <c r="K598" s="416"/>
      <c r="L598" s="416"/>
      <c r="M598" s="416"/>
      <c r="N598" s="416"/>
    </row>
    <row r="599">
      <c r="A599" s="416"/>
      <c r="B599" s="416"/>
      <c r="C599" s="416"/>
      <c r="D599" s="416"/>
      <c r="E599" s="416"/>
      <c r="F599" s="416"/>
      <c r="G599" s="416"/>
      <c r="H599" s="416"/>
      <c r="I599" s="416"/>
      <c r="J599" s="416"/>
      <c r="K599" s="416"/>
      <c r="L599" s="416"/>
      <c r="M599" s="416"/>
      <c r="N599" s="416"/>
    </row>
    <row r="600">
      <c r="A600" s="416"/>
      <c r="B600" s="416"/>
      <c r="C600" s="416"/>
      <c r="D600" s="416"/>
      <c r="E600" s="416"/>
      <c r="F600" s="416"/>
      <c r="G600" s="416"/>
      <c r="H600" s="416"/>
      <c r="I600" s="416"/>
      <c r="J600" s="416"/>
      <c r="K600" s="416"/>
      <c r="L600" s="416"/>
      <c r="M600" s="416"/>
      <c r="N600" s="416"/>
    </row>
    <row r="601">
      <c r="A601" s="416"/>
      <c r="B601" s="416"/>
      <c r="C601" s="416"/>
      <c r="D601" s="416"/>
      <c r="E601" s="416"/>
      <c r="F601" s="416"/>
      <c r="G601" s="416"/>
      <c r="H601" s="416"/>
      <c r="I601" s="416"/>
      <c r="J601" s="416"/>
      <c r="K601" s="416"/>
      <c r="L601" s="416"/>
      <c r="M601" s="416"/>
      <c r="N601" s="416"/>
    </row>
    <row r="602">
      <c r="A602" s="416"/>
      <c r="B602" s="416"/>
      <c r="C602" s="416"/>
      <c r="D602" s="416"/>
      <c r="E602" s="416"/>
      <c r="F602" s="416"/>
      <c r="G602" s="416"/>
      <c r="H602" s="416"/>
      <c r="I602" s="416"/>
      <c r="J602" s="416"/>
      <c r="K602" s="416"/>
      <c r="L602" s="416"/>
      <c r="M602" s="416"/>
      <c r="N602" s="416"/>
    </row>
    <row r="603">
      <c r="A603" s="416"/>
      <c r="B603" s="416"/>
      <c r="C603" s="416"/>
      <c r="D603" s="416"/>
      <c r="E603" s="416"/>
      <c r="F603" s="416"/>
      <c r="G603" s="416"/>
      <c r="H603" s="416"/>
      <c r="I603" s="416"/>
      <c r="J603" s="416"/>
      <c r="K603" s="416"/>
      <c r="L603" s="416"/>
      <c r="M603" s="416"/>
      <c r="N603" s="416"/>
    </row>
    <row r="604">
      <c r="A604" s="416"/>
      <c r="B604" s="416"/>
      <c r="C604" s="416"/>
      <c r="D604" s="416"/>
      <c r="E604" s="416"/>
      <c r="F604" s="416"/>
      <c r="G604" s="416"/>
      <c r="H604" s="416"/>
      <c r="I604" s="416"/>
      <c r="J604" s="416"/>
      <c r="K604" s="416"/>
      <c r="L604" s="416"/>
      <c r="M604" s="416"/>
      <c r="N604" s="416"/>
    </row>
    <row r="605">
      <c r="A605" s="416"/>
      <c r="B605" s="416"/>
      <c r="C605" s="416"/>
      <c r="D605" s="416"/>
      <c r="E605" s="416"/>
      <c r="F605" s="416"/>
      <c r="G605" s="416"/>
      <c r="H605" s="416"/>
      <c r="I605" s="416"/>
      <c r="J605" s="416"/>
      <c r="K605" s="416"/>
      <c r="L605" s="416"/>
      <c r="M605" s="416"/>
      <c r="N605" s="416"/>
    </row>
    <row r="606">
      <c r="A606" s="416"/>
      <c r="B606" s="416"/>
      <c r="C606" s="416"/>
      <c r="D606" s="416"/>
      <c r="E606" s="416"/>
      <c r="F606" s="416"/>
      <c r="G606" s="416"/>
      <c r="H606" s="416"/>
      <c r="I606" s="416"/>
      <c r="J606" s="416"/>
      <c r="K606" s="416"/>
      <c r="L606" s="416"/>
      <c r="M606" s="416"/>
      <c r="N606" s="416"/>
    </row>
    <row r="607">
      <c r="A607" s="416"/>
      <c r="B607" s="416"/>
      <c r="C607" s="416"/>
      <c r="D607" s="416"/>
      <c r="E607" s="416"/>
      <c r="F607" s="416"/>
      <c r="G607" s="416"/>
      <c r="H607" s="416"/>
      <c r="I607" s="416"/>
      <c r="J607" s="416"/>
      <c r="K607" s="416"/>
      <c r="L607" s="416"/>
      <c r="M607" s="416"/>
      <c r="N607" s="416"/>
    </row>
    <row r="608">
      <c r="A608" s="416"/>
      <c r="B608" s="416"/>
      <c r="C608" s="416"/>
      <c r="D608" s="416"/>
      <c r="E608" s="416"/>
      <c r="F608" s="416"/>
      <c r="G608" s="416"/>
      <c r="H608" s="416"/>
      <c r="I608" s="416"/>
      <c r="J608" s="416"/>
      <c r="K608" s="416"/>
      <c r="L608" s="416"/>
      <c r="M608" s="416"/>
      <c r="N608" s="416"/>
    </row>
    <row r="609">
      <c r="A609" s="416"/>
      <c r="B609" s="416"/>
      <c r="C609" s="416"/>
      <c r="D609" s="416"/>
      <c r="E609" s="416"/>
      <c r="F609" s="416"/>
      <c r="G609" s="416"/>
      <c r="H609" s="416"/>
      <c r="I609" s="416"/>
      <c r="J609" s="416"/>
      <c r="K609" s="416"/>
      <c r="L609" s="416"/>
      <c r="M609" s="416"/>
      <c r="N609" s="416"/>
    </row>
    <row r="610">
      <c r="A610" s="416"/>
      <c r="B610" s="416"/>
      <c r="C610" s="416"/>
      <c r="D610" s="416"/>
      <c r="E610" s="416"/>
      <c r="F610" s="416"/>
      <c r="G610" s="416"/>
      <c r="H610" s="416"/>
      <c r="I610" s="416"/>
      <c r="J610" s="416"/>
      <c r="K610" s="416"/>
      <c r="L610" s="416"/>
      <c r="M610" s="416"/>
      <c r="N610" s="416"/>
    </row>
    <row r="611">
      <c r="A611" s="416"/>
      <c r="B611" s="416"/>
      <c r="C611" s="416"/>
      <c r="D611" s="416"/>
      <c r="E611" s="416"/>
      <c r="F611" s="416"/>
      <c r="G611" s="416"/>
      <c r="H611" s="416"/>
      <c r="I611" s="416"/>
      <c r="J611" s="416"/>
      <c r="K611" s="416"/>
      <c r="L611" s="416"/>
      <c r="M611" s="416"/>
      <c r="N611" s="416"/>
    </row>
    <row r="612">
      <c r="A612" s="416"/>
      <c r="B612" s="416"/>
      <c r="C612" s="416"/>
      <c r="D612" s="416"/>
      <c r="E612" s="416"/>
      <c r="F612" s="416"/>
      <c r="G612" s="416"/>
      <c r="H612" s="416"/>
      <c r="I612" s="416"/>
      <c r="J612" s="416"/>
      <c r="K612" s="416"/>
      <c r="L612" s="416"/>
      <c r="M612" s="416"/>
      <c r="N612" s="416"/>
    </row>
    <row r="613">
      <c r="A613" s="416"/>
      <c r="B613" s="416"/>
      <c r="C613" s="416"/>
      <c r="D613" s="416"/>
      <c r="E613" s="416"/>
      <c r="F613" s="416"/>
      <c r="G613" s="416"/>
      <c r="H613" s="416"/>
      <c r="I613" s="416"/>
      <c r="J613" s="416"/>
      <c r="K613" s="416"/>
      <c r="L613" s="416"/>
      <c r="M613" s="416"/>
      <c r="N613" s="416"/>
    </row>
    <row r="614">
      <c r="A614" s="416"/>
      <c r="B614" s="416"/>
      <c r="C614" s="416"/>
      <c r="D614" s="416"/>
      <c r="E614" s="416"/>
      <c r="F614" s="416"/>
      <c r="G614" s="416"/>
      <c r="H614" s="416"/>
      <c r="I614" s="416"/>
      <c r="J614" s="416"/>
      <c r="K614" s="416"/>
      <c r="L614" s="416"/>
      <c r="M614" s="416"/>
      <c r="N614" s="416"/>
    </row>
    <row r="615">
      <c r="A615" s="416"/>
      <c r="B615" s="416"/>
      <c r="C615" s="416"/>
      <c r="D615" s="416"/>
      <c r="E615" s="416"/>
      <c r="F615" s="416"/>
      <c r="G615" s="416"/>
      <c r="H615" s="416"/>
      <c r="I615" s="416"/>
      <c r="J615" s="416"/>
      <c r="K615" s="416"/>
      <c r="L615" s="416"/>
      <c r="M615" s="416"/>
      <c r="N615" s="416"/>
    </row>
    <row r="616">
      <c r="A616" s="416"/>
      <c r="B616" s="416"/>
      <c r="C616" s="416"/>
      <c r="D616" s="416"/>
      <c r="E616" s="416"/>
      <c r="F616" s="416"/>
      <c r="G616" s="416"/>
      <c r="H616" s="416"/>
      <c r="I616" s="416"/>
      <c r="J616" s="416"/>
      <c r="K616" s="416"/>
      <c r="L616" s="416"/>
      <c r="M616" s="416"/>
      <c r="N616" s="416"/>
    </row>
    <row r="617">
      <c r="A617" s="416"/>
      <c r="B617" s="416"/>
      <c r="C617" s="416"/>
      <c r="D617" s="416"/>
      <c r="E617" s="416"/>
      <c r="F617" s="416"/>
      <c r="G617" s="416"/>
      <c r="H617" s="416"/>
      <c r="I617" s="416"/>
      <c r="J617" s="416"/>
      <c r="K617" s="416"/>
      <c r="L617" s="416"/>
      <c r="M617" s="416"/>
      <c r="N617" s="416"/>
    </row>
    <row r="618">
      <c r="A618" s="416"/>
      <c r="B618" s="416"/>
      <c r="C618" s="416"/>
      <c r="D618" s="416"/>
      <c r="E618" s="416"/>
      <c r="F618" s="416"/>
      <c r="G618" s="416"/>
      <c r="H618" s="416"/>
      <c r="I618" s="416"/>
      <c r="J618" s="416"/>
      <c r="K618" s="416"/>
      <c r="L618" s="416"/>
      <c r="M618" s="416"/>
      <c r="N618" s="416"/>
    </row>
    <row r="619">
      <c r="A619" s="416"/>
      <c r="B619" s="416"/>
      <c r="C619" s="416"/>
      <c r="D619" s="416"/>
      <c r="E619" s="416"/>
      <c r="F619" s="416"/>
      <c r="G619" s="416"/>
      <c r="H619" s="416"/>
      <c r="I619" s="416"/>
      <c r="J619" s="416"/>
      <c r="K619" s="416"/>
      <c r="L619" s="416"/>
      <c r="M619" s="416"/>
      <c r="N619" s="416"/>
    </row>
    <row r="620">
      <c r="A620" s="416"/>
      <c r="B620" s="416"/>
      <c r="C620" s="416"/>
      <c r="D620" s="416"/>
      <c r="E620" s="416"/>
      <c r="F620" s="416"/>
      <c r="G620" s="416"/>
      <c r="H620" s="416"/>
      <c r="I620" s="416"/>
      <c r="J620" s="416"/>
      <c r="K620" s="416"/>
      <c r="L620" s="416"/>
      <c r="M620" s="416"/>
      <c r="N620" s="416"/>
    </row>
    <row r="621">
      <c r="A621" s="416"/>
      <c r="B621" s="416"/>
      <c r="C621" s="416"/>
      <c r="D621" s="416"/>
      <c r="E621" s="416"/>
      <c r="F621" s="416"/>
      <c r="G621" s="416"/>
      <c r="H621" s="416"/>
      <c r="I621" s="416"/>
      <c r="J621" s="416"/>
      <c r="K621" s="416"/>
      <c r="L621" s="416"/>
      <c r="M621" s="416"/>
      <c r="N621" s="416"/>
    </row>
    <row r="622">
      <c r="A622" s="416"/>
      <c r="B622" s="416"/>
      <c r="C622" s="416"/>
      <c r="D622" s="416"/>
      <c r="E622" s="416"/>
      <c r="F622" s="416"/>
      <c r="G622" s="416"/>
      <c r="H622" s="416"/>
      <c r="I622" s="416"/>
      <c r="J622" s="416"/>
      <c r="K622" s="416"/>
      <c r="L622" s="416"/>
      <c r="M622" s="416"/>
      <c r="N622" s="416"/>
    </row>
    <row r="623">
      <c r="A623" s="416"/>
      <c r="B623" s="416"/>
      <c r="C623" s="416"/>
      <c r="D623" s="416"/>
      <c r="E623" s="416"/>
      <c r="F623" s="416"/>
      <c r="G623" s="416"/>
      <c r="H623" s="416"/>
      <c r="I623" s="416"/>
      <c r="J623" s="416"/>
      <c r="K623" s="416"/>
      <c r="L623" s="416"/>
      <c r="M623" s="416"/>
      <c r="N623" s="416"/>
    </row>
    <row r="624">
      <c r="A624" s="416"/>
      <c r="B624" s="416"/>
      <c r="C624" s="416"/>
      <c r="D624" s="416"/>
      <c r="E624" s="416"/>
      <c r="F624" s="416"/>
      <c r="G624" s="416"/>
      <c r="H624" s="416"/>
      <c r="I624" s="416"/>
      <c r="J624" s="416"/>
      <c r="K624" s="416"/>
      <c r="L624" s="416"/>
      <c r="M624" s="416"/>
      <c r="N624" s="416"/>
    </row>
    <row r="625">
      <c r="A625" s="416"/>
      <c r="B625" s="416"/>
      <c r="C625" s="416"/>
      <c r="D625" s="416"/>
      <c r="E625" s="416"/>
      <c r="F625" s="416"/>
      <c r="G625" s="416"/>
      <c r="H625" s="416"/>
      <c r="I625" s="416"/>
      <c r="J625" s="416"/>
      <c r="K625" s="416"/>
      <c r="L625" s="416"/>
      <c r="M625" s="416"/>
      <c r="N625" s="416"/>
    </row>
    <row r="626">
      <c r="A626" s="416"/>
      <c r="B626" s="416"/>
      <c r="C626" s="416"/>
      <c r="D626" s="416"/>
      <c r="E626" s="416"/>
      <c r="F626" s="416"/>
      <c r="G626" s="416"/>
      <c r="H626" s="416"/>
      <c r="I626" s="416"/>
      <c r="J626" s="416"/>
      <c r="K626" s="416"/>
      <c r="L626" s="416"/>
      <c r="M626" s="416"/>
      <c r="N626" s="416"/>
    </row>
    <row r="627">
      <c r="A627" s="416"/>
      <c r="B627" s="416"/>
      <c r="C627" s="416"/>
      <c r="D627" s="416"/>
      <c r="E627" s="416"/>
      <c r="F627" s="416"/>
      <c r="G627" s="416"/>
      <c r="H627" s="416"/>
      <c r="I627" s="416"/>
      <c r="J627" s="416"/>
      <c r="K627" s="416"/>
      <c r="L627" s="416"/>
      <c r="M627" s="416"/>
      <c r="N627" s="416"/>
    </row>
    <row r="628">
      <c r="A628" s="416"/>
      <c r="B628" s="416"/>
      <c r="C628" s="416"/>
      <c r="D628" s="416"/>
      <c r="E628" s="416"/>
      <c r="F628" s="416"/>
      <c r="G628" s="416"/>
      <c r="H628" s="416"/>
      <c r="I628" s="416"/>
      <c r="J628" s="416"/>
      <c r="K628" s="416"/>
      <c r="L628" s="416"/>
      <c r="M628" s="416"/>
      <c r="N628" s="416"/>
    </row>
    <row r="629">
      <c r="A629" s="416"/>
      <c r="B629" s="416"/>
      <c r="C629" s="416"/>
      <c r="D629" s="416"/>
      <c r="E629" s="416"/>
      <c r="F629" s="416"/>
      <c r="G629" s="416"/>
      <c r="H629" s="416"/>
      <c r="I629" s="416"/>
      <c r="J629" s="416"/>
      <c r="K629" s="416"/>
      <c r="L629" s="416"/>
      <c r="M629" s="416"/>
      <c r="N629" s="416"/>
    </row>
    <row r="630">
      <c r="A630" s="416"/>
      <c r="B630" s="416"/>
      <c r="C630" s="416"/>
      <c r="D630" s="416"/>
      <c r="E630" s="416"/>
      <c r="F630" s="416"/>
      <c r="G630" s="416"/>
      <c r="H630" s="416"/>
      <c r="I630" s="416"/>
      <c r="J630" s="416"/>
      <c r="K630" s="416"/>
      <c r="L630" s="416"/>
      <c r="M630" s="416"/>
      <c r="N630" s="416"/>
    </row>
    <row r="631">
      <c r="A631" s="416"/>
      <c r="B631" s="416"/>
      <c r="C631" s="416"/>
      <c r="D631" s="416"/>
      <c r="E631" s="416"/>
      <c r="F631" s="416"/>
      <c r="G631" s="416"/>
      <c r="H631" s="416"/>
      <c r="I631" s="416"/>
      <c r="J631" s="416"/>
      <c r="K631" s="416"/>
      <c r="L631" s="416"/>
      <c r="M631" s="416"/>
      <c r="N631" s="416"/>
    </row>
    <row r="632">
      <c r="A632" s="416"/>
      <c r="B632" s="416"/>
      <c r="C632" s="416"/>
      <c r="D632" s="416"/>
      <c r="E632" s="416"/>
      <c r="F632" s="416"/>
      <c r="G632" s="416"/>
      <c r="H632" s="416"/>
      <c r="I632" s="416"/>
      <c r="J632" s="416"/>
      <c r="K632" s="416"/>
      <c r="L632" s="416"/>
      <c r="M632" s="416"/>
      <c r="N632" s="416"/>
    </row>
    <row r="633">
      <c r="A633" s="416"/>
      <c r="B633" s="416"/>
      <c r="C633" s="416"/>
      <c r="D633" s="416"/>
      <c r="E633" s="416"/>
      <c r="F633" s="416"/>
      <c r="G633" s="416"/>
      <c r="H633" s="416"/>
      <c r="I633" s="416"/>
      <c r="J633" s="416"/>
      <c r="K633" s="416"/>
      <c r="L633" s="416"/>
      <c r="M633" s="416"/>
      <c r="N633" s="416"/>
    </row>
    <row r="634">
      <c r="A634" s="416"/>
      <c r="B634" s="416"/>
      <c r="C634" s="416"/>
      <c r="D634" s="416"/>
      <c r="E634" s="416"/>
      <c r="F634" s="416"/>
      <c r="G634" s="416"/>
      <c r="H634" s="416"/>
      <c r="I634" s="416"/>
      <c r="J634" s="416"/>
      <c r="K634" s="416"/>
      <c r="L634" s="416"/>
      <c r="M634" s="416"/>
      <c r="N634" s="416"/>
    </row>
    <row r="635">
      <c r="A635" s="416"/>
      <c r="B635" s="416"/>
      <c r="C635" s="416"/>
      <c r="D635" s="416"/>
      <c r="E635" s="416"/>
      <c r="F635" s="416"/>
      <c r="G635" s="416"/>
      <c r="H635" s="416"/>
      <c r="I635" s="416"/>
      <c r="J635" s="416"/>
      <c r="K635" s="416"/>
      <c r="L635" s="416"/>
      <c r="M635" s="416"/>
      <c r="N635" s="416"/>
    </row>
    <row r="636">
      <c r="A636" s="416"/>
      <c r="B636" s="416"/>
      <c r="C636" s="416"/>
      <c r="D636" s="416"/>
      <c r="E636" s="416"/>
      <c r="F636" s="416"/>
      <c r="G636" s="416"/>
      <c r="H636" s="416"/>
      <c r="I636" s="416"/>
      <c r="J636" s="416"/>
      <c r="K636" s="416"/>
      <c r="L636" s="416"/>
      <c r="M636" s="416"/>
      <c r="N636" s="416"/>
    </row>
    <row r="637">
      <c r="A637" s="416"/>
      <c r="B637" s="416"/>
      <c r="C637" s="416"/>
      <c r="D637" s="416"/>
      <c r="E637" s="416"/>
      <c r="F637" s="416"/>
      <c r="G637" s="416"/>
      <c r="H637" s="416"/>
      <c r="I637" s="416"/>
      <c r="J637" s="416"/>
      <c r="K637" s="416"/>
      <c r="L637" s="416"/>
      <c r="M637" s="416"/>
      <c r="N637" s="416"/>
    </row>
    <row r="638">
      <c r="A638" s="416"/>
      <c r="B638" s="416"/>
      <c r="C638" s="416"/>
      <c r="D638" s="416"/>
      <c r="E638" s="416"/>
      <c r="F638" s="416"/>
      <c r="G638" s="416"/>
      <c r="H638" s="416"/>
      <c r="I638" s="416"/>
      <c r="J638" s="416"/>
      <c r="K638" s="416"/>
      <c r="L638" s="416"/>
      <c r="M638" s="416"/>
      <c r="N638" s="416"/>
    </row>
    <row r="639">
      <c r="A639" s="416"/>
      <c r="B639" s="416"/>
      <c r="C639" s="416"/>
      <c r="D639" s="416"/>
      <c r="E639" s="416"/>
      <c r="F639" s="416"/>
      <c r="G639" s="416"/>
      <c r="H639" s="416"/>
      <c r="I639" s="416"/>
      <c r="J639" s="416"/>
      <c r="K639" s="416"/>
      <c r="L639" s="416"/>
      <c r="M639" s="416"/>
      <c r="N639" s="416"/>
    </row>
    <row r="640">
      <c r="A640" s="416"/>
      <c r="B640" s="416"/>
      <c r="C640" s="416"/>
      <c r="D640" s="416"/>
      <c r="E640" s="416"/>
      <c r="F640" s="416"/>
      <c r="G640" s="416"/>
      <c r="H640" s="416"/>
      <c r="I640" s="416"/>
      <c r="J640" s="416"/>
      <c r="K640" s="416"/>
      <c r="L640" s="416"/>
      <c r="M640" s="416"/>
      <c r="N640" s="416"/>
    </row>
    <row r="641">
      <c r="A641" s="416"/>
      <c r="B641" s="416"/>
      <c r="C641" s="416"/>
      <c r="D641" s="416"/>
      <c r="E641" s="416"/>
      <c r="F641" s="416"/>
      <c r="G641" s="416"/>
      <c r="H641" s="416"/>
      <c r="I641" s="416"/>
      <c r="J641" s="416"/>
      <c r="K641" s="416"/>
      <c r="L641" s="416"/>
      <c r="M641" s="416"/>
      <c r="N641" s="416"/>
    </row>
    <row r="642">
      <c r="A642" s="416"/>
      <c r="B642" s="416"/>
      <c r="C642" s="416"/>
      <c r="D642" s="416"/>
      <c r="E642" s="416"/>
      <c r="F642" s="416"/>
      <c r="G642" s="416"/>
      <c r="H642" s="416"/>
      <c r="I642" s="416"/>
      <c r="J642" s="416"/>
      <c r="K642" s="416"/>
      <c r="L642" s="416"/>
      <c r="M642" s="416"/>
      <c r="N642" s="416"/>
    </row>
    <row r="643">
      <c r="A643" s="416"/>
      <c r="B643" s="416"/>
      <c r="C643" s="416"/>
      <c r="D643" s="416"/>
      <c r="E643" s="416"/>
      <c r="F643" s="416"/>
      <c r="G643" s="416"/>
      <c r="H643" s="416"/>
      <c r="I643" s="416"/>
      <c r="J643" s="416"/>
      <c r="K643" s="416"/>
      <c r="L643" s="416"/>
      <c r="M643" s="416"/>
      <c r="N643" s="416"/>
    </row>
    <row r="644">
      <c r="A644" s="416"/>
      <c r="B644" s="416"/>
      <c r="C644" s="416"/>
      <c r="D644" s="416"/>
      <c r="E644" s="416"/>
      <c r="F644" s="416"/>
      <c r="G644" s="416"/>
      <c r="H644" s="416"/>
      <c r="I644" s="416"/>
      <c r="J644" s="416"/>
      <c r="K644" s="416"/>
      <c r="L644" s="416"/>
      <c r="M644" s="416"/>
      <c r="N644" s="416"/>
    </row>
    <row r="645">
      <c r="A645" s="416"/>
      <c r="B645" s="416"/>
      <c r="C645" s="416"/>
      <c r="D645" s="416"/>
      <c r="E645" s="416"/>
      <c r="F645" s="416"/>
      <c r="G645" s="416"/>
      <c r="H645" s="416"/>
      <c r="I645" s="416"/>
      <c r="J645" s="416"/>
      <c r="K645" s="416"/>
      <c r="L645" s="416"/>
      <c r="M645" s="416"/>
      <c r="N645" s="416"/>
    </row>
    <row r="646">
      <c r="A646" s="416"/>
      <c r="B646" s="416"/>
      <c r="C646" s="416"/>
      <c r="D646" s="416"/>
      <c r="E646" s="416"/>
      <c r="F646" s="416"/>
      <c r="G646" s="416"/>
      <c r="H646" s="416"/>
      <c r="I646" s="416"/>
      <c r="J646" s="416"/>
      <c r="K646" s="416"/>
      <c r="L646" s="416"/>
      <c r="M646" s="416"/>
      <c r="N646" s="416"/>
    </row>
    <row r="647">
      <c r="A647" s="416"/>
      <c r="B647" s="416"/>
      <c r="C647" s="416"/>
      <c r="D647" s="416"/>
      <c r="E647" s="416"/>
      <c r="F647" s="416"/>
      <c r="G647" s="416"/>
      <c r="H647" s="416"/>
      <c r="I647" s="416"/>
      <c r="J647" s="416"/>
      <c r="K647" s="416"/>
      <c r="L647" s="416"/>
      <c r="M647" s="416"/>
      <c r="N647" s="416"/>
    </row>
    <row r="648">
      <c r="A648" s="416"/>
      <c r="B648" s="416"/>
      <c r="C648" s="416"/>
      <c r="D648" s="416"/>
      <c r="E648" s="416"/>
      <c r="F648" s="416"/>
      <c r="G648" s="416"/>
      <c r="H648" s="416"/>
      <c r="I648" s="416"/>
      <c r="J648" s="416"/>
      <c r="K648" s="416"/>
      <c r="L648" s="416"/>
      <c r="M648" s="416"/>
      <c r="N648" s="416"/>
    </row>
    <row r="649">
      <c r="A649" s="416"/>
      <c r="B649" s="416"/>
      <c r="C649" s="416"/>
      <c r="D649" s="416"/>
      <c r="E649" s="416"/>
      <c r="F649" s="416"/>
      <c r="G649" s="416"/>
      <c r="H649" s="416"/>
      <c r="I649" s="416"/>
      <c r="J649" s="416"/>
      <c r="K649" s="416"/>
      <c r="L649" s="416"/>
      <c r="M649" s="416"/>
      <c r="N649" s="416"/>
    </row>
    <row r="650">
      <c r="A650" s="416"/>
      <c r="B650" s="416"/>
      <c r="C650" s="416"/>
      <c r="D650" s="416"/>
      <c r="E650" s="416"/>
      <c r="F650" s="416"/>
      <c r="G650" s="416"/>
      <c r="H650" s="416"/>
      <c r="I650" s="416"/>
      <c r="J650" s="416"/>
      <c r="K650" s="416"/>
      <c r="L650" s="416"/>
      <c r="M650" s="416"/>
      <c r="N650" s="416"/>
    </row>
    <row r="651">
      <c r="A651" s="416"/>
      <c r="B651" s="416"/>
      <c r="C651" s="416"/>
      <c r="D651" s="416"/>
      <c r="E651" s="416"/>
      <c r="F651" s="416"/>
      <c r="G651" s="416"/>
      <c r="H651" s="416"/>
      <c r="I651" s="416"/>
      <c r="J651" s="416"/>
      <c r="K651" s="416"/>
      <c r="L651" s="416"/>
      <c r="M651" s="416"/>
      <c r="N651" s="416"/>
    </row>
    <row r="652">
      <c r="A652" s="416"/>
      <c r="B652" s="416"/>
      <c r="C652" s="416"/>
      <c r="D652" s="416"/>
      <c r="E652" s="416"/>
      <c r="F652" s="416"/>
      <c r="G652" s="416"/>
      <c r="H652" s="416"/>
      <c r="I652" s="416"/>
      <c r="J652" s="416"/>
      <c r="K652" s="416"/>
      <c r="L652" s="416"/>
      <c r="M652" s="416"/>
      <c r="N652" s="416"/>
    </row>
    <row r="653">
      <c r="A653" s="416"/>
      <c r="B653" s="416"/>
      <c r="C653" s="416"/>
      <c r="D653" s="416"/>
      <c r="E653" s="416"/>
      <c r="F653" s="416"/>
      <c r="G653" s="416"/>
      <c r="H653" s="416"/>
      <c r="I653" s="416"/>
      <c r="J653" s="416"/>
      <c r="K653" s="416"/>
      <c r="L653" s="416"/>
      <c r="M653" s="416"/>
      <c r="N653" s="416"/>
    </row>
    <row r="654">
      <c r="A654" s="416"/>
      <c r="B654" s="416"/>
      <c r="C654" s="416"/>
      <c r="D654" s="416"/>
      <c r="E654" s="416"/>
      <c r="F654" s="416"/>
      <c r="G654" s="416"/>
      <c r="H654" s="416"/>
      <c r="I654" s="416"/>
      <c r="J654" s="416"/>
      <c r="K654" s="416"/>
      <c r="L654" s="416"/>
      <c r="M654" s="416"/>
      <c r="N654" s="416"/>
    </row>
    <row r="655">
      <c r="A655" s="416"/>
      <c r="B655" s="416"/>
      <c r="C655" s="416"/>
      <c r="D655" s="416"/>
      <c r="E655" s="416"/>
      <c r="F655" s="416"/>
      <c r="G655" s="416"/>
      <c r="H655" s="416"/>
      <c r="I655" s="416"/>
      <c r="J655" s="416"/>
      <c r="K655" s="416"/>
      <c r="L655" s="416"/>
      <c r="M655" s="416"/>
      <c r="N655" s="416"/>
    </row>
    <row r="656">
      <c r="A656" s="416"/>
      <c r="B656" s="416"/>
      <c r="C656" s="416"/>
      <c r="D656" s="416"/>
      <c r="E656" s="416"/>
      <c r="F656" s="416"/>
      <c r="G656" s="416"/>
      <c r="H656" s="416"/>
      <c r="I656" s="416"/>
      <c r="J656" s="416"/>
      <c r="K656" s="416"/>
      <c r="L656" s="416"/>
      <c r="M656" s="416"/>
      <c r="N656" s="416"/>
    </row>
    <row r="657">
      <c r="A657" s="416"/>
      <c r="B657" s="416"/>
      <c r="C657" s="416"/>
      <c r="D657" s="416"/>
      <c r="E657" s="416"/>
      <c r="F657" s="416"/>
      <c r="G657" s="416"/>
      <c r="H657" s="416"/>
      <c r="I657" s="416"/>
      <c r="J657" s="416"/>
      <c r="K657" s="416"/>
      <c r="L657" s="416"/>
      <c r="M657" s="416"/>
      <c r="N657" s="416"/>
    </row>
    <row r="658">
      <c r="A658" s="416"/>
      <c r="B658" s="416"/>
      <c r="C658" s="416"/>
      <c r="D658" s="416"/>
      <c r="E658" s="416"/>
      <c r="F658" s="416"/>
      <c r="G658" s="416"/>
      <c r="H658" s="416"/>
      <c r="I658" s="416"/>
      <c r="J658" s="416"/>
      <c r="K658" s="416"/>
      <c r="L658" s="416"/>
      <c r="M658" s="416"/>
      <c r="N658" s="416"/>
    </row>
    <row r="659">
      <c r="A659" s="416"/>
      <c r="B659" s="416"/>
      <c r="C659" s="416"/>
      <c r="D659" s="416"/>
      <c r="E659" s="416"/>
      <c r="F659" s="416"/>
      <c r="G659" s="416"/>
      <c r="H659" s="416"/>
      <c r="I659" s="416"/>
      <c r="J659" s="416"/>
      <c r="K659" s="416"/>
      <c r="L659" s="416"/>
      <c r="M659" s="416"/>
      <c r="N659" s="416"/>
    </row>
    <row r="660">
      <c r="A660" s="416"/>
      <c r="B660" s="416"/>
      <c r="C660" s="416"/>
      <c r="D660" s="416"/>
      <c r="E660" s="416"/>
      <c r="F660" s="416"/>
      <c r="G660" s="416"/>
      <c r="H660" s="416"/>
      <c r="I660" s="416"/>
      <c r="J660" s="416"/>
      <c r="K660" s="416"/>
      <c r="L660" s="416"/>
      <c r="M660" s="416"/>
      <c r="N660" s="416"/>
    </row>
    <row r="661">
      <c r="A661" s="416"/>
      <c r="B661" s="416"/>
      <c r="C661" s="416"/>
      <c r="D661" s="416"/>
      <c r="E661" s="416"/>
      <c r="F661" s="416"/>
      <c r="G661" s="416"/>
      <c r="H661" s="416"/>
      <c r="I661" s="416"/>
      <c r="J661" s="416"/>
      <c r="K661" s="416"/>
      <c r="L661" s="416"/>
      <c r="M661" s="416"/>
      <c r="N661" s="416"/>
    </row>
    <row r="662">
      <c r="A662" s="416"/>
      <c r="B662" s="416"/>
      <c r="C662" s="416"/>
      <c r="D662" s="416"/>
      <c r="E662" s="416"/>
      <c r="F662" s="416"/>
      <c r="G662" s="416"/>
      <c r="H662" s="416"/>
      <c r="I662" s="416"/>
      <c r="J662" s="416"/>
      <c r="K662" s="416"/>
      <c r="L662" s="416"/>
      <c r="M662" s="416"/>
      <c r="N662" s="416"/>
    </row>
    <row r="663">
      <c r="A663" s="416"/>
      <c r="B663" s="416"/>
      <c r="C663" s="416"/>
      <c r="D663" s="416"/>
      <c r="E663" s="416"/>
      <c r="F663" s="416"/>
      <c r="G663" s="416"/>
      <c r="H663" s="416"/>
      <c r="I663" s="416"/>
      <c r="J663" s="416"/>
      <c r="K663" s="416"/>
      <c r="L663" s="416"/>
      <c r="M663" s="416"/>
      <c r="N663" s="416"/>
    </row>
    <row r="664">
      <c r="A664" s="416"/>
      <c r="B664" s="416"/>
      <c r="C664" s="416"/>
      <c r="D664" s="416"/>
      <c r="E664" s="416"/>
      <c r="F664" s="416"/>
      <c r="G664" s="416"/>
      <c r="H664" s="416"/>
      <c r="I664" s="416"/>
      <c r="J664" s="416"/>
      <c r="K664" s="416"/>
      <c r="L664" s="416"/>
      <c r="M664" s="416"/>
      <c r="N664" s="416"/>
    </row>
    <row r="665">
      <c r="A665" s="416"/>
      <c r="B665" s="416"/>
      <c r="C665" s="416"/>
      <c r="D665" s="416"/>
      <c r="E665" s="416"/>
      <c r="F665" s="416"/>
      <c r="G665" s="416"/>
      <c r="H665" s="416"/>
      <c r="I665" s="416"/>
      <c r="J665" s="416"/>
      <c r="K665" s="416"/>
      <c r="L665" s="416"/>
      <c r="M665" s="416"/>
      <c r="N665" s="416"/>
    </row>
    <row r="666">
      <c r="A666" s="416"/>
      <c r="B666" s="416"/>
      <c r="C666" s="416"/>
      <c r="D666" s="416"/>
      <c r="E666" s="416"/>
      <c r="F666" s="416"/>
      <c r="G666" s="416"/>
      <c r="H666" s="416"/>
      <c r="I666" s="416"/>
      <c r="J666" s="416"/>
      <c r="K666" s="416"/>
      <c r="L666" s="416"/>
      <c r="M666" s="416"/>
      <c r="N666" s="416"/>
    </row>
    <row r="667">
      <c r="A667" s="416"/>
      <c r="B667" s="416"/>
      <c r="C667" s="416"/>
      <c r="D667" s="416"/>
      <c r="E667" s="416"/>
      <c r="F667" s="416"/>
      <c r="G667" s="416"/>
      <c r="H667" s="416"/>
      <c r="I667" s="416"/>
      <c r="J667" s="416"/>
      <c r="K667" s="416"/>
      <c r="L667" s="416"/>
      <c r="M667" s="416"/>
      <c r="N667" s="416"/>
    </row>
    <row r="668">
      <c r="A668" s="416"/>
      <c r="B668" s="416"/>
      <c r="C668" s="416"/>
      <c r="D668" s="416"/>
      <c r="E668" s="416"/>
      <c r="F668" s="416"/>
      <c r="G668" s="416"/>
      <c r="H668" s="416"/>
      <c r="I668" s="416"/>
      <c r="J668" s="416"/>
      <c r="K668" s="416"/>
      <c r="L668" s="416"/>
      <c r="M668" s="416"/>
      <c r="N668" s="416"/>
    </row>
    <row r="669">
      <c r="A669" s="416"/>
      <c r="B669" s="416"/>
      <c r="C669" s="416"/>
      <c r="D669" s="416"/>
      <c r="E669" s="416"/>
      <c r="F669" s="416"/>
      <c r="G669" s="416"/>
      <c r="H669" s="416"/>
      <c r="I669" s="416"/>
      <c r="J669" s="416"/>
      <c r="K669" s="416"/>
      <c r="L669" s="416"/>
      <c r="M669" s="416"/>
      <c r="N669" s="416"/>
    </row>
    <row r="670">
      <c r="A670" s="416"/>
      <c r="B670" s="416"/>
      <c r="C670" s="416"/>
      <c r="D670" s="416"/>
      <c r="E670" s="416"/>
      <c r="F670" s="416"/>
      <c r="G670" s="416"/>
      <c r="H670" s="416"/>
      <c r="I670" s="416"/>
      <c r="J670" s="416"/>
      <c r="K670" s="416"/>
      <c r="L670" s="416"/>
      <c r="M670" s="416"/>
      <c r="N670" s="416"/>
    </row>
    <row r="671">
      <c r="A671" s="416"/>
      <c r="B671" s="416"/>
      <c r="C671" s="416"/>
      <c r="D671" s="416"/>
      <c r="E671" s="416"/>
      <c r="F671" s="416"/>
      <c r="G671" s="416"/>
      <c r="H671" s="416"/>
      <c r="I671" s="416"/>
      <c r="J671" s="416"/>
      <c r="K671" s="416"/>
      <c r="L671" s="416"/>
      <c r="M671" s="416"/>
      <c r="N671" s="416"/>
    </row>
    <row r="672">
      <c r="A672" s="416"/>
      <c r="B672" s="416"/>
      <c r="C672" s="416"/>
      <c r="D672" s="416"/>
      <c r="E672" s="416"/>
      <c r="F672" s="416"/>
      <c r="G672" s="416"/>
      <c r="H672" s="416"/>
      <c r="I672" s="416"/>
      <c r="J672" s="416"/>
      <c r="K672" s="416"/>
      <c r="L672" s="416"/>
      <c r="M672" s="416"/>
      <c r="N672" s="416"/>
    </row>
    <row r="673">
      <c r="A673" s="416"/>
      <c r="B673" s="416"/>
      <c r="C673" s="416"/>
      <c r="D673" s="416"/>
      <c r="E673" s="416"/>
      <c r="F673" s="416"/>
      <c r="G673" s="416"/>
      <c r="H673" s="416"/>
      <c r="I673" s="416"/>
      <c r="J673" s="416"/>
      <c r="K673" s="416"/>
      <c r="L673" s="416"/>
      <c r="M673" s="416"/>
      <c r="N673" s="416"/>
    </row>
    <row r="674">
      <c r="A674" s="416"/>
      <c r="B674" s="416"/>
      <c r="C674" s="416"/>
      <c r="D674" s="416"/>
      <c r="E674" s="416"/>
      <c r="F674" s="416"/>
      <c r="G674" s="416"/>
      <c r="H674" s="416"/>
      <c r="I674" s="416"/>
      <c r="J674" s="416"/>
      <c r="K674" s="416"/>
      <c r="L674" s="416"/>
      <c r="M674" s="416"/>
      <c r="N674" s="416"/>
    </row>
    <row r="675">
      <c r="A675" s="416"/>
      <c r="B675" s="416"/>
      <c r="C675" s="416"/>
      <c r="D675" s="416"/>
      <c r="E675" s="416"/>
      <c r="F675" s="416"/>
      <c r="G675" s="416"/>
      <c r="H675" s="416"/>
      <c r="I675" s="416"/>
      <c r="J675" s="416"/>
      <c r="K675" s="416"/>
      <c r="L675" s="416"/>
      <c r="M675" s="416"/>
      <c r="N675" s="416"/>
    </row>
    <row r="676">
      <c r="A676" s="416"/>
      <c r="B676" s="416"/>
      <c r="C676" s="416"/>
      <c r="D676" s="416"/>
      <c r="E676" s="416"/>
      <c r="F676" s="416"/>
      <c r="G676" s="416"/>
      <c r="H676" s="416"/>
      <c r="I676" s="416"/>
      <c r="J676" s="416"/>
      <c r="K676" s="416"/>
      <c r="L676" s="416"/>
      <c r="M676" s="416"/>
      <c r="N676" s="416"/>
    </row>
    <row r="677">
      <c r="A677" s="416"/>
      <c r="B677" s="416"/>
      <c r="C677" s="416"/>
      <c r="D677" s="416"/>
      <c r="E677" s="416"/>
      <c r="F677" s="416"/>
      <c r="G677" s="416"/>
      <c r="H677" s="416"/>
      <c r="I677" s="416"/>
      <c r="J677" s="416"/>
      <c r="K677" s="416"/>
      <c r="L677" s="416"/>
      <c r="M677" s="416"/>
      <c r="N677" s="416"/>
    </row>
    <row r="678">
      <c r="A678" s="416"/>
      <c r="B678" s="416"/>
      <c r="C678" s="416"/>
      <c r="D678" s="416"/>
      <c r="E678" s="416"/>
      <c r="F678" s="416"/>
      <c r="G678" s="416"/>
      <c r="H678" s="416"/>
      <c r="I678" s="416"/>
      <c r="J678" s="416"/>
      <c r="K678" s="416"/>
      <c r="L678" s="416"/>
      <c r="M678" s="416"/>
      <c r="N678" s="416"/>
    </row>
    <row r="679">
      <c r="A679" s="416"/>
      <c r="B679" s="416"/>
      <c r="C679" s="416"/>
      <c r="D679" s="416"/>
      <c r="E679" s="416"/>
      <c r="F679" s="416"/>
      <c r="G679" s="416"/>
      <c r="H679" s="416"/>
      <c r="I679" s="416"/>
      <c r="J679" s="416"/>
      <c r="K679" s="416"/>
      <c r="L679" s="416"/>
      <c r="M679" s="416"/>
      <c r="N679" s="416"/>
    </row>
    <row r="680">
      <c r="A680" s="416"/>
      <c r="B680" s="416"/>
      <c r="C680" s="416"/>
      <c r="D680" s="416"/>
      <c r="E680" s="416"/>
      <c r="F680" s="416"/>
      <c r="G680" s="416"/>
      <c r="H680" s="416"/>
      <c r="I680" s="416"/>
      <c r="J680" s="416"/>
      <c r="K680" s="416"/>
      <c r="L680" s="416"/>
      <c r="M680" s="416"/>
      <c r="N680" s="416"/>
    </row>
    <row r="681">
      <c r="A681" s="416"/>
      <c r="B681" s="416"/>
      <c r="C681" s="416"/>
      <c r="D681" s="416"/>
      <c r="E681" s="416"/>
      <c r="F681" s="416"/>
      <c r="G681" s="416"/>
      <c r="H681" s="416"/>
      <c r="I681" s="416"/>
      <c r="J681" s="416"/>
      <c r="K681" s="416"/>
      <c r="L681" s="416"/>
      <c r="M681" s="416"/>
      <c r="N681" s="416"/>
    </row>
    <row r="682">
      <c r="A682" s="416"/>
      <c r="B682" s="416"/>
      <c r="C682" s="416"/>
      <c r="D682" s="416"/>
      <c r="E682" s="416"/>
      <c r="F682" s="416"/>
      <c r="G682" s="416"/>
      <c r="H682" s="416"/>
      <c r="I682" s="416"/>
      <c r="J682" s="416"/>
      <c r="K682" s="416"/>
      <c r="L682" s="416"/>
      <c r="M682" s="416"/>
      <c r="N682" s="416"/>
    </row>
    <row r="683">
      <c r="A683" s="416"/>
      <c r="B683" s="416"/>
      <c r="C683" s="416"/>
      <c r="D683" s="416"/>
      <c r="E683" s="416"/>
      <c r="F683" s="416"/>
      <c r="G683" s="416"/>
      <c r="H683" s="416"/>
      <c r="I683" s="416"/>
      <c r="J683" s="416"/>
      <c r="K683" s="416"/>
      <c r="L683" s="416"/>
      <c r="M683" s="416"/>
      <c r="N683" s="416"/>
    </row>
    <row r="684">
      <c r="A684" s="416"/>
      <c r="B684" s="416"/>
      <c r="C684" s="416"/>
      <c r="D684" s="416"/>
      <c r="E684" s="416"/>
      <c r="F684" s="416"/>
      <c r="G684" s="416"/>
      <c r="H684" s="416"/>
      <c r="I684" s="416"/>
      <c r="J684" s="416"/>
      <c r="K684" s="416"/>
      <c r="L684" s="416"/>
      <c r="M684" s="416"/>
      <c r="N684" s="416"/>
    </row>
    <row r="685">
      <c r="A685" s="416"/>
      <c r="B685" s="416"/>
      <c r="C685" s="416"/>
      <c r="D685" s="416"/>
      <c r="E685" s="416"/>
      <c r="F685" s="416"/>
      <c r="G685" s="416"/>
      <c r="H685" s="416"/>
      <c r="I685" s="416"/>
      <c r="J685" s="416"/>
      <c r="K685" s="416"/>
      <c r="L685" s="416"/>
      <c r="M685" s="416"/>
      <c r="N685" s="416"/>
    </row>
    <row r="686">
      <c r="A686" s="416"/>
      <c r="B686" s="416"/>
      <c r="C686" s="416"/>
      <c r="D686" s="416"/>
      <c r="E686" s="416"/>
      <c r="F686" s="416"/>
      <c r="G686" s="416"/>
      <c r="H686" s="416"/>
      <c r="I686" s="416"/>
      <c r="J686" s="416"/>
      <c r="K686" s="416"/>
      <c r="L686" s="416"/>
      <c r="M686" s="416"/>
      <c r="N686" s="416"/>
    </row>
    <row r="687">
      <c r="A687" s="416"/>
      <c r="B687" s="416"/>
      <c r="C687" s="416"/>
      <c r="D687" s="416"/>
      <c r="E687" s="416"/>
      <c r="F687" s="416"/>
      <c r="G687" s="416"/>
      <c r="H687" s="416"/>
      <c r="I687" s="416"/>
      <c r="J687" s="416"/>
      <c r="K687" s="416"/>
      <c r="L687" s="416"/>
      <c r="M687" s="416"/>
      <c r="N687" s="416"/>
    </row>
    <row r="688">
      <c r="A688" s="416"/>
      <c r="B688" s="416"/>
      <c r="C688" s="416"/>
      <c r="D688" s="416"/>
      <c r="E688" s="416"/>
      <c r="F688" s="416"/>
      <c r="G688" s="416"/>
      <c r="H688" s="416"/>
      <c r="I688" s="416"/>
      <c r="J688" s="416"/>
      <c r="K688" s="416"/>
      <c r="L688" s="416"/>
      <c r="M688" s="416"/>
      <c r="N688" s="416"/>
    </row>
    <row r="689">
      <c r="A689" s="416"/>
      <c r="B689" s="416"/>
      <c r="C689" s="416"/>
      <c r="D689" s="416"/>
      <c r="E689" s="416"/>
      <c r="F689" s="416"/>
      <c r="G689" s="416"/>
      <c r="H689" s="416"/>
      <c r="I689" s="416"/>
      <c r="J689" s="416"/>
      <c r="K689" s="416"/>
      <c r="L689" s="416"/>
      <c r="M689" s="416"/>
      <c r="N689" s="416"/>
    </row>
    <row r="690">
      <c r="A690" s="416"/>
      <c r="B690" s="416"/>
      <c r="C690" s="416"/>
      <c r="D690" s="416"/>
      <c r="E690" s="416"/>
      <c r="F690" s="416"/>
      <c r="G690" s="416"/>
      <c r="H690" s="416"/>
      <c r="I690" s="416"/>
      <c r="J690" s="416"/>
      <c r="K690" s="416"/>
      <c r="L690" s="416"/>
      <c r="M690" s="416"/>
      <c r="N690" s="416"/>
    </row>
    <row r="691">
      <c r="A691" s="416"/>
      <c r="B691" s="416"/>
      <c r="C691" s="416"/>
      <c r="D691" s="416"/>
      <c r="E691" s="416"/>
      <c r="F691" s="416"/>
      <c r="G691" s="416"/>
      <c r="H691" s="416"/>
      <c r="I691" s="416"/>
      <c r="J691" s="416"/>
      <c r="K691" s="416"/>
      <c r="L691" s="416"/>
      <c r="M691" s="416"/>
      <c r="N691" s="416"/>
    </row>
    <row r="692">
      <c r="A692" s="416"/>
      <c r="B692" s="416"/>
      <c r="C692" s="416"/>
      <c r="D692" s="416"/>
      <c r="E692" s="416"/>
      <c r="F692" s="416"/>
      <c r="G692" s="416"/>
      <c r="H692" s="416"/>
      <c r="I692" s="416"/>
      <c r="J692" s="416"/>
      <c r="K692" s="416"/>
      <c r="L692" s="416"/>
      <c r="M692" s="416"/>
      <c r="N692" s="416"/>
    </row>
    <row r="693">
      <c r="A693" s="416"/>
      <c r="B693" s="416"/>
      <c r="C693" s="416"/>
      <c r="D693" s="416"/>
      <c r="E693" s="416"/>
      <c r="F693" s="416"/>
      <c r="G693" s="416"/>
      <c r="H693" s="416"/>
      <c r="I693" s="416"/>
      <c r="J693" s="416"/>
      <c r="K693" s="416"/>
      <c r="L693" s="416"/>
      <c r="M693" s="416"/>
      <c r="N693" s="416"/>
    </row>
    <row r="694">
      <c r="A694" s="416"/>
      <c r="B694" s="416"/>
      <c r="C694" s="416"/>
      <c r="D694" s="416"/>
      <c r="E694" s="416"/>
      <c r="F694" s="416"/>
      <c r="G694" s="416"/>
      <c r="H694" s="416"/>
      <c r="I694" s="416"/>
      <c r="J694" s="416"/>
      <c r="K694" s="416"/>
      <c r="L694" s="416"/>
      <c r="M694" s="416"/>
      <c r="N694" s="416"/>
    </row>
    <row r="695">
      <c r="A695" s="416"/>
      <c r="B695" s="416"/>
      <c r="C695" s="416"/>
      <c r="D695" s="416"/>
      <c r="E695" s="416"/>
      <c r="F695" s="416"/>
      <c r="G695" s="416"/>
      <c r="H695" s="416"/>
      <c r="I695" s="416"/>
      <c r="J695" s="416"/>
      <c r="K695" s="416"/>
      <c r="L695" s="416"/>
      <c r="M695" s="416"/>
      <c r="N695" s="416"/>
    </row>
    <row r="696">
      <c r="A696" s="416"/>
      <c r="B696" s="416"/>
      <c r="C696" s="416"/>
      <c r="D696" s="416"/>
      <c r="E696" s="416"/>
      <c r="F696" s="416"/>
      <c r="G696" s="416"/>
      <c r="H696" s="416"/>
      <c r="I696" s="416"/>
      <c r="J696" s="416"/>
      <c r="K696" s="416"/>
      <c r="L696" s="416"/>
      <c r="M696" s="416"/>
      <c r="N696" s="416"/>
    </row>
    <row r="697">
      <c r="A697" s="416"/>
      <c r="B697" s="416"/>
      <c r="C697" s="416"/>
      <c r="D697" s="416"/>
      <c r="E697" s="416"/>
      <c r="F697" s="416"/>
      <c r="G697" s="416"/>
      <c r="H697" s="416"/>
      <c r="I697" s="416"/>
      <c r="J697" s="416"/>
      <c r="K697" s="416"/>
      <c r="L697" s="416"/>
      <c r="M697" s="416"/>
      <c r="N697" s="416"/>
    </row>
    <row r="698">
      <c r="A698" s="416"/>
      <c r="B698" s="416"/>
      <c r="C698" s="416"/>
      <c r="D698" s="416"/>
      <c r="E698" s="416"/>
      <c r="F698" s="416"/>
      <c r="G698" s="416"/>
      <c r="H698" s="416"/>
      <c r="I698" s="416"/>
      <c r="J698" s="416"/>
      <c r="K698" s="416"/>
      <c r="L698" s="416"/>
      <c r="M698" s="416"/>
      <c r="N698" s="416"/>
    </row>
    <row r="699">
      <c r="A699" s="416"/>
      <c r="B699" s="416"/>
      <c r="C699" s="416"/>
      <c r="D699" s="416"/>
      <c r="E699" s="416"/>
      <c r="F699" s="416"/>
      <c r="G699" s="416"/>
      <c r="H699" s="416"/>
      <c r="I699" s="416"/>
      <c r="J699" s="416"/>
      <c r="K699" s="416"/>
      <c r="L699" s="416"/>
      <c r="M699" s="416"/>
      <c r="N699" s="416"/>
    </row>
    <row r="700">
      <c r="A700" s="416"/>
      <c r="B700" s="416"/>
      <c r="C700" s="416"/>
      <c r="D700" s="416"/>
      <c r="E700" s="416"/>
      <c r="F700" s="416"/>
      <c r="G700" s="416"/>
      <c r="H700" s="416"/>
      <c r="I700" s="416"/>
      <c r="J700" s="416"/>
      <c r="K700" s="416"/>
      <c r="L700" s="416"/>
      <c r="M700" s="416"/>
      <c r="N700" s="416"/>
    </row>
    <row r="701">
      <c r="A701" s="416"/>
      <c r="B701" s="416"/>
      <c r="C701" s="416"/>
      <c r="D701" s="416"/>
      <c r="E701" s="416"/>
      <c r="F701" s="416"/>
      <c r="G701" s="416"/>
      <c r="H701" s="416"/>
      <c r="I701" s="416"/>
      <c r="J701" s="416"/>
      <c r="K701" s="416"/>
      <c r="L701" s="416"/>
      <c r="M701" s="416"/>
      <c r="N701" s="416"/>
    </row>
    <row r="702">
      <c r="A702" s="416"/>
      <c r="B702" s="416"/>
      <c r="C702" s="416"/>
      <c r="D702" s="416"/>
      <c r="E702" s="416"/>
      <c r="F702" s="416"/>
      <c r="G702" s="416"/>
      <c r="H702" s="416"/>
      <c r="I702" s="416"/>
      <c r="J702" s="416"/>
      <c r="K702" s="416"/>
      <c r="L702" s="416"/>
      <c r="M702" s="416"/>
      <c r="N702" s="416"/>
    </row>
    <row r="703">
      <c r="A703" s="416"/>
      <c r="B703" s="416"/>
      <c r="C703" s="416"/>
      <c r="D703" s="416"/>
      <c r="E703" s="416"/>
      <c r="F703" s="416"/>
      <c r="G703" s="416"/>
      <c r="H703" s="416"/>
      <c r="I703" s="416"/>
      <c r="J703" s="416"/>
      <c r="K703" s="416"/>
      <c r="L703" s="416"/>
      <c r="M703" s="416"/>
      <c r="N703" s="416"/>
    </row>
    <row r="704">
      <c r="A704" s="416"/>
      <c r="B704" s="416"/>
      <c r="C704" s="416"/>
      <c r="D704" s="416"/>
      <c r="E704" s="416"/>
      <c r="F704" s="416"/>
      <c r="G704" s="416"/>
      <c r="H704" s="416"/>
      <c r="I704" s="416"/>
      <c r="J704" s="416"/>
      <c r="K704" s="416"/>
      <c r="L704" s="416"/>
      <c r="M704" s="416"/>
      <c r="N704" s="416"/>
    </row>
    <row r="705">
      <c r="A705" s="416"/>
      <c r="B705" s="416"/>
      <c r="C705" s="416"/>
      <c r="D705" s="416"/>
      <c r="E705" s="416"/>
      <c r="F705" s="416"/>
      <c r="G705" s="416"/>
      <c r="H705" s="416"/>
      <c r="I705" s="416"/>
      <c r="J705" s="416"/>
      <c r="K705" s="416"/>
      <c r="L705" s="416"/>
      <c r="M705" s="416"/>
      <c r="N705" s="416"/>
    </row>
    <row r="706">
      <c r="A706" s="416"/>
      <c r="B706" s="416"/>
      <c r="C706" s="416"/>
      <c r="D706" s="416"/>
      <c r="E706" s="416"/>
      <c r="F706" s="416"/>
      <c r="G706" s="416"/>
      <c r="H706" s="416"/>
      <c r="I706" s="416"/>
      <c r="J706" s="416"/>
      <c r="K706" s="416"/>
      <c r="L706" s="416"/>
      <c r="M706" s="416"/>
      <c r="N706" s="416"/>
    </row>
    <row r="707">
      <c r="A707" s="416"/>
      <c r="B707" s="416"/>
      <c r="C707" s="416"/>
      <c r="D707" s="416"/>
      <c r="E707" s="416"/>
      <c r="F707" s="416"/>
      <c r="G707" s="416"/>
      <c r="H707" s="416"/>
      <c r="I707" s="416"/>
      <c r="J707" s="416"/>
      <c r="K707" s="416"/>
      <c r="L707" s="416"/>
      <c r="M707" s="416"/>
      <c r="N707" s="416"/>
    </row>
    <row r="708">
      <c r="A708" s="416"/>
      <c r="B708" s="416"/>
      <c r="C708" s="416"/>
      <c r="D708" s="416"/>
      <c r="E708" s="416"/>
      <c r="F708" s="416"/>
      <c r="G708" s="416"/>
      <c r="H708" s="416"/>
      <c r="I708" s="416"/>
      <c r="J708" s="416"/>
      <c r="K708" s="416"/>
      <c r="L708" s="416"/>
      <c r="M708" s="416"/>
      <c r="N708" s="416"/>
    </row>
    <row r="709">
      <c r="A709" s="416"/>
      <c r="B709" s="416"/>
      <c r="C709" s="416"/>
      <c r="D709" s="416"/>
      <c r="E709" s="416"/>
      <c r="F709" s="416"/>
      <c r="G709" s="416"/>
      <c r="H709" s="416"/>
      <c r="I709" s="416"/>
      <c r="J709" s="416"/>
      <c r="K709" s="416"/>
      <c r="L709" s="416"/>
      <c r="M709" s="416"/>
      <c r="N709" s="416"/>
    </row>
    <row r="710">
      <c r="A710" s="416"/>
      <c r="B710" s="416"/>
      <c r="C710" s="416"/>
      <c r="D710" s="416"/>
      <c r="E710" s="416"/>
      <c r="F710" s="416"/>
      <c r="G710" s="416"/>
      <c r="H710" s="416"/>
      <c r="I710" s="416"/>
      <c r="J710" s="416"/>
      <c r="K710" s="416"/>
      <c r="L710" s="416"/>
      <c r="M710" s="416"/>
      <c r="N710" s="416"/>
    </row>
    <row r="711">
      <c r="A711" s="416"/>
      <c r="B711" s="416"/>
      <c r="C711" s="416"/>
      <c r="D711" s="416"/>
      <c r="E711" s="416"/>
      <c r="F711" s="416"/>
      <c r="G711" s="416"/>
      <c r="H711" s="416"/>
      <c r="I711" s="416"/>
      <c r="J711" s="416"/>
      <c r="K711" s="416"/>
      <c r="L711" s="416"/>
      <c r="M711" s="416"/>
      <c r="N711" s="416"/>
    </row>
    <row r="712">
      <c r="A712" s="416"/>
      <c r="B712" s="416"/>
      <c r="C712" s="416"/>
      <c r="D712" s="416"/>
      <c r="E712" s="416"/>
      <c r="F712" s="416"/>
      <c r="G712" s="416"/>
      <c r="H712" s="416"/>
      <c r="I712" s="416"/>
      <c r="J712" s="416"/>
      <c r="K712" s="416"/>
      <c r="L712" s="416"/>
      <c r="M712" s="416"/>
      <c r="N712" s="416"/>
    </row>
    <row r="713">
      <c r="A713" s="416"/>
      <c r="B713" s="416"/>
      <c r="C713" s="416"/>
      <c r="D713" s="416"/>
      <c r="E713" s="416"/>
      <c r="F713" s="416"/>
      <c r="G713" s="416"/>
      <c r="H713" s="416"/>
      <c r="I713" s="416"/>
      <c r="J713" s="416"/>
      <c r="K713" s="416"/>
      <c r="L713" s="416"/>
      <c r="M713" s="416"/>
      <c r="N713" s="416"/>
    </row>
    <row r="714">
      <c r="A714" s="416"/>
      <c r="B714" s="416"/>
      <c r="C714" s="416"/>
      <c r="D714" s="416"/>
      <c r="E714" s="416"/>
      <c r="F714" s="416"/>
      <c r="G714" s="416"/>
      <c r="H714" s="416"/>
      <c r="I714" s="416"/>
      <c r="J714" s="416"/>
      <c r="K714" s="416"/>
      <c r="L714" s="416"/>
      <c r="M714" s="416"/>
      <c r="N714" s="416"/>
    </row>
    <row r="715">
      <c r="A715" s="416"/>
      <c r="B715" s="416"/>
      <c r="C715" s="416"/>
      <c r="D715" s="416"/>
      <c r="E715" s="416"/>
      <c r="F715" s="416"/>
      <c r="G715" s="416"/>
      <c r="H715" s="416"/>
      <c r="I715" s="416"/>
      <c r="J715" s="416"/>
      <c r="K715" s="416"/>
      <c r="L715" s="416"/>
      <c r="M715" s="416"/>
      <c r="N715" s="416"/>
    </row>
    <row r="716">
      <c r="A716" s="416"/>
      <c r="B716" s="416"/>
      <c r="C716" s="416"/>
      <c r="D716" s="416"/>
      <c r="E716" s="416"/>
      <c r="F716" s="416"/>
      <c r="G716" s="416"/>
      <c r="H716" s="416"/>
      <c r="I716" s="416"/>
      <c r="J716" s="416"/>
      <c r="K716" s="416"/>
      <c r="L716" s="416"/>
      <c r="M716" s="416"/>
      <c r="N716" s="416"/>
    </row>
    <row r="717">
      <c r="A717" s="416"/>
      <c r="B717" s="416"/>
      <c r="C717" s="416"/>
      <c r="D717" s="416"/>
      <c r="E717" s="416"/>
      <c r="F717" s="416"/>
      <c r="G717" s="416"/>
      <c r="H717" s="416"/>
      <c r="I717" s="416"/>
      <c r="J717" s="416"/>
      <c r="K717" s="416"/>
      <c r="L717" s="416"/>
      <c r="M717" s="416"/>
      <c r="N717" s="416"/>
    </row>
    <row r="718">
      <c r="A718" s="416"/>
      <c r="B718" s="416"/>
      <c r="C718" s="416"/>
      <c r="D718" s="416"/>
      <c r="E718" s="416"/>
      <c r="F718" s="416"/>
      <c r="G718" s="416"/>
      <c r="H718" s="416"/>
      <c r="I718" s="416"/>
      <c r="J718" s="416"/>
      <c r="K718" s="416"/>
      <c r="L718" s="416"/>
      <c r="M718" s="416"/>
      <c r="N718" s="416"/>
    </row>
    <row r="719">
      <c r="A719" s="416"/>
      <c r="B719" s="416"/>
      <c r="C719" s="416"/>
      <c r="D719" s="416"/>
      <c r="E719" s="416"/>
      <c r="F719" s="416"/>
      <c r="G719" s="416"/>
      <c r="H719" s="416"/>
      <c r="I719" s="416"/>
      <c r="J719" s="416"/>
      <c r="K719" s="416"/>
      <c r="L719" s="416"/>
      <c r="M719" s="416"/>
      <c r="N719" s="416"/>
    </row>
    <row r="720">
      <c r="A720" s="416"/>
      <c r="B720" s="416"/>
      <c r="C720" s="416"/>
      <c r="D720" s="416"/>
      <c r="E720" s="416"/>
      <c r="F720" s="416"/>
      <c r="G720" s="416"/>
      <c r="H720" s="416"/>
      <c r="I720" s="416"/>
      <c r="J720" s="416"/>
      <c r="K720" s="416"/>
      <c r="L720" s="416"/>
      <c r="M720" s="416"/>
      <c r="N720" s="416"/>
    </row>
    <row r="721">
      <c r="A721" s="416"/>
      <c r="B721" s="416"/>
      <c r="C721" s="416"/>
      <c r="D721" s="416"/>
      <c r="E721" s="416"/>
      <c r="F721" s="416"/>
      <c r="G721" s="416"/>
      <c r="H721" s="416"/>
      <c r="I721" s="416"/>
      <c r="J721" s="416"/>
      <c r="K721" s="416"/>
      <c r="L721" s="416"/>
      <c r="M721" s="416"/>
      <c r="N721" s="416"/>
    </row>
    <row r="722">
      <c r="A722" s="416"/>
      <c r="B722" s="416"/>
      <c r="C722" s="416"/>
      <c r="D722" s="416"/>
      <c r="E722" s="416"/>
      <c r="F722" s="416"/>
      <c r="G722" s="416"/>
      <c r="H722" s="416"/>
      <c r="I722" s="416"/>
      <c r="J722" s="416"/>
      <c r="K722" s="416"/>
      <c r="L722" s="416"/>
      <c r="M722" s="416"/>
      <c r="N722" s="416"/>
    </row>
    <row r="723">
      <c r="A723" s="416"/>
      <c r="B723" s="416"/>
      <c r="C723" s="416"/>
      <c r="D723" s="416"/>
      <c r="E723" s="416"/>
      <c r="F723" s="416"/>
      <c r="G723" s="416"/>
      <c r="H723" s="416"/>
      <c r="I723" s="416"/>
      <c r="J723" s="416"/>
      <c r="K723" s="416"/>
      <c r="L723" s="416"/>
      <c r="M723" s="416"/>
      <c r="N723" s="416"/>
    </row>
    <row r="724">
      <c r="A724" s="416"/>
      <c r="B724" s="416"/>
      <c r="C724" s="416"/>
      <c r="D724" s="416"/>
      <c r="E724" s="416"/>
      <c r="F724" s="416"/>
      <c r="G724" s="416"/>
      <c r="H724" s="416"/>
      <c r="I724" s="416"/>
      <c r="J724" s="416"/>
      <c r="K724" s="416"/>
      <c r="L724" s="416"/>
      <c r="M724" s="416"/>
      <c r="N724" s="416"/>
    </row>
    <row r="725">
      <c r="A725" s="416"/>
      <c r="B725" s="416"/>
      <c r="C725" s="416"/>
      <c r="D725" s="416"/>
      <c r="E725" s="416"/>
      <c r="F725" s="416"/>
      <c r="G725" s="416"/>
      <c r="H725" s="416"/>
      <c r="I725" s="416"/>
      <c r="J725" s="416"/>
      <c r="K725" s="416"/>
      <c r="L725" s="416"/>
      <c r="M725" s="416"/>
      <c r="N725" s="416"/>
    </row>
    <row r="726">
      <c r="A726" s="416"/>
      <c r="B726" s="416"/>
      <c r="C726" s="416"/>
      <c r="D726" s="416"/>
      <c r="E726" s="416"/>
      <c r="F726" s="416"/>
      <c r="G726" s="416"/>
      <c r="H726" s="416"/>
      <c r="I726" s="416"/>
      <c r="J726" s="416"/>
      <c r="K726" s="416"/>
      <c r="L726" s="416"/>
      <c r="M726" s="416"/>
      <c r="N726" s="416"/>
    </row>
    <row r="727">
      <c r="A727" s="416"/>
      <c r="B727" s="416"/>
      <c r="C727" s="416"/>
      <c r="D727" s="416"/>
      <c r="E727" s="416"/>
      <c r="F727" s="416"/>
      <c r="G727" s="416"/>
      <c r="H727" s="416"/>
      <c r="I727" s="416"/>
      <c r="J727" s="416"/>
      <c r="K727" s="416"/>
      <c r="L727" s="416"/>
      <c r="M727" s="416"/>
      <c r="N727" s="416"/>
    </row>
    <row r="728">
      <c r="A728" s="416"/>
      <c r="B728" s="416"/>
      <c r="C728" s="416"/>
      <c r="D728" s="416"/>
      <c r="E728" s="416"/>
      <c r="F728" s="416"/>
      <c r="G728" s="416"/>
      <c r="H728" s="416"/>
      <c r="I728" s="416"/>
      <c r="J728" s="416"/>
      <c r="K728" s="416"/>
      <c r="L728" s="416"/>
      <c r="M728" s="416"/>
      <c r="N728" s="416"/>
    </row>
    <row r="729">
      <c r="A729" s="416"/>
      <c r="B729" s="416"/>
      <c r="C729" s="416"/>
      <c r="D729" s="416"/>
      <c r="E729" s="416"/>
      <c r="F729" s="416"/>
      <c r="G729" s="416"/>
      <c r="H729" s="416"/>
      <c r="I729" s="416"/>
      <c r="J729" s="416"/>
      <c r="K729" s="416"/>
      <c r="L729" s="416"/>
      <c r="M729" s="416"/>
      <c r="N729" s="416"/>
    </row>
    <row r="730">
      <c r="A730" s="416"/>
      <c r="B730" s="416"/>
      <c r="C730" s="416"/>
      <c r="D730" s="416"/>
      <c r="E730" s="416"/>
      <c r="F730" s="416"/>
      <c r="G730" s="416"/>
      <c r="H730" s="416"/>
      <c r="I730" s="416"/>
      <c r="J730" s="416"/>
      <c r="K730" s="416"/>
      <c r="L730" s="416"/>
      <c r="M730" s="416"/>
      <c r="N730" s="416"/>
    </row>
    <row r="731">
      <c r="A731" s="416"/>
      <c r="B731" s="416"/>
      <c r="C731" s="416"/>
      <c r="D731" s="416"/>
      <c r="E731" s="416"/>
      <c r="F731" s="416"/>
      <c r="G731" s="416"/>
      <c r="H731" s="416"/>
      <c r="I731" s="416"/>
      <c r="J731" s="416"/>
      <c r="K731" s="416"/>
      <c r="L731" s="416"/>
      <c r="M731" s="416"/>
      <c r="N731" s="416"/>
    </row>
    <row r="732">
      <c r="A732" s="416"/>
      <c r="B732" s="416"/>
      <c r="C732" s="416"/>
      <c r="D732" s="416"/>
      <c r="E732" s="416"/>
      <c r="F732" s="416"/>
      <c r="G732" s="416"/>
      <c r="H732" s="416"/>
      <c r="I732" s="416"/>
      <c r="J732" s="416"/>
      <c r="K732" s="416"/>
      <c r="L732" s="416"/>
      <c r="M732" s="416"/>
      <c r="N732" s="416"/>
    </row>
    <row r="733">
      <c r="A733" s="416"/>
      <c r="B733" s="416"/>
      <c r="C733" s="416"/>
      <c r="D733" s="416"/>
      <c r="E733" s="416"/>
      <c r="F733" s="416"/>
      <c r="G733" s="416"/>
      <c r="H733" s="416"/>
      <c r="I733" s="416"/>
      <c r="J733" s="416"/>
      <c r="K733" s="416"/>
      <c r="L733" s="416"/>
      <c r="M733" s="416"/>
      <c r="N733" s="416"/>
    </row>
    <row r="734">
      <c r="A734" s="416"/>
      <c r="B734" s="416"/>
      <c r="C734" s="416"/>
      <c r="D734" s="416"/>
      <c r="E734" s="416"/>
      <c r="F734" s="416"/>
      <c r="G734" s="416"/>
      <c r="H734" s="416"/>
      <c r="I734" s="416"/>
      <c r="J734" s="416"/>
      <c r="K734" s="416"/>
      <c r="L734" s="416"/>
      <c r="M734" s="416"/>
      <c r="N734" s="416"/>
    </row>
    <row r="735">
      <c r="A735" s="416"/>
      <c r="B735" s="416"/>
      <c r="C735" s="416"/>
      <c r="D735" s="416"/>
      <c r="E735" s="416"/>
      <c r="F735" s="416"/>
      <c r="G735" s="416"/>
      <c r="H735" s="416"/>
      <c r="I735" s="416"/>
      <c r="J735" s="416"/>
      <c r="K735" s="416"/>
      <c r="L735" s="416"/>
      <c r="M735" s="416"/>
      <c r="N735" s="416"/>
    </row>
    <row r="736">
      <c r="A736" s="416"/>
      <c r="B736" s="416"/>
      <c r="C736" s="416"/>
      <c r="D736" s="416"/>
      <c r="E736" s="416"/>
      <c r="F736" s="416"/>
      <c r="G736" s="416"/>
      <c r="H736" s="416"/>
      <c r="I736" s="416"/>
      <c r="J736" s="416"/>
      <c r="K736" s="416"/>
      <c r="L736" s="416"/>
      <c r="M736" s="416"/>
      <c r="N736" s="416"/>
    </row>
    <row r="737">
      <c r="A737" s="416"/>
      <c r="B737" s="416"/>
      <c r="C737" s="416"/>
      <c r="D737" s="416"/>
      <c r="E737" s="416"/>
      <c r="F737" s="416"/>
      <c r="G737" s="416"/>
      <c r="H737" s="416"/>
      <c r="I737" s="416"/>
      <c r="J737" s="416"/>
      <c r="K737" s="416"/>
      <c r="L737" s="416"/>
      <c r="M737" s="416"/>
      <c r="N737" s="416"/>
    </row>
    <row r="738">
      <c r="A738" s="416"/>
      <c r="B738" s="416"/>
      <c r="C738" s="416"/>
      <c r="D738" s="416"/>
      <c r="E738" s="416"/>
      <c r="F738" s="416"/>
      <c r="G738" s="416"/>
      <c r="H738" s="416"/>
      <c r="I738" s="416"/>
      <c r="J738" s="416"/>
      <c r="K738" s="416"/>
      <c r="L738" s="416"/>
      <c r="M738" s="416"/>
      <c r="N738" s="416"/>
    </row>
    <row r="739">
      <c r="A739" s="416"/>
      <c r="B739" s="416"/>
      <c r="C739" s="416"/>
      <c r="D739" s="416"/>
      <c r="E739" s="416"/>
      <c r="F739" s="416"/>
      <c r="G739" s="416"/>
      <c r="H739" s="416"/>
      <c r="I739" s="416"/>
      <c r="J739" s="416"/>
      <c r="K739" s="416"/>
      <c r="L739" s="416"/>
      <c r="M739" s="416"/>
      <c r="N739" s="416"/>
    </row>
    <row r="740">
      <c r="A740" s="416"/>
      <c r="B740" s="416"/>
      <c r="C740" s="416"/>
      <c r="D740" s="416"/>
      <c r="E740" s="416"/>
      <c r="F740" s="416"/>
      <c r="G740" s="416"/>
      <c r="H740" s="416"/>
      <c r="I740" s="416"/>
      <c r="J740" s="416"/>
      <c r="K740" s="416"/>
      <c r="L740" s="416"/>
      <c r="M740" s="416"/>
      <c r="N740" s="416"/>
    </row>
    <row r="741">
      <c r="A741" s="416"/>
      <c r="B741" s="416"/>
      <c r="C741" s="416"/>
      <c r="D741" s="416"/>
      <c r="E741" s="416"/>
      <c r="F741" s="416"/>
      <c r="G741" s="416"/>
      <c r="H741" s="416"/>
      <c r="I741" s="416"/>
      <c r="J741" s="416"/>
      <c r="K741" s="416"/>
      <c r="L741" s="416"/>
      <c r="M741" s="416"/>
      <c r="N741" s="416"/>
    </row>
    <row r="742">
      <c r="A742" s="416"/>
      <c r="B742" s="416"/>
      <c r="C742" s="416"/>
      <c r="D742" s="416"/>
      <c r="E742" s="416"/>
      <c r="F742" s="416"/>
      <c r="G742" s="416"/>
      <c r="H742" s="416"/>
      <c r="I742" s="416"/>
      <c r="J742" s="416"/>
      <c r="K742" s="416"/>
      <c r="L742" s="416"/>
      <c r="M742" s="416"/>
      <c r="N742" s="416"/>
    </row>
    <row r="743">
      <c r="A743" s="416"/>
      <c r="B743" s="416"/>
      <c r="C743" s="416"/>
      <c r="D743" s="416"/>
      <c r="E743" s="416"/>
      <c r="F743" s="416"/>
      <c r="G743" s="416"/>
      <c r="H743" s="416"/>
      <c r="I743" s="416"/>
      <c r="J743" s="416"/>
      <c r="K743" s="416"/>
      <c r="L743" s="416"/>
      <c r="M743" s="416"/>
      <c r="N743" s="416"/>
    </row>
    <row r="744">
      <c r="A744" s="416"/>
      <c r="B744" s="416"/>
      <c r="C744" s="416"/>
      <c r="D744" s="416"/>
      <c r="E744" s="416"/>
      <c r="F744" s="416"/>
      <c r="G744" s="416"/>
      <c r="H744" s="416"/>
      <c r="I744" s="416"/>
      <c r="J744" s="416"/>
      <c r="K744" s="416"/>
      <c r="L744" s="416"/>
      <c r="M744" s="416"/>
      <c r="N744" s="416"/>
    </row>
    <row r="745">
      <c r="A745" s="416"/>
      <c r="B745" s="416"/>
      <c r="C745" s="416"/>
      <c r="D745" s="416"/>
      <c r="E745" s="416"/>
      <c r="F745" s="416"/>
      <c r="G745" s="416"/>
      <c r="H745" s="416"/>
      <c r="I745" s="416"/>
      <c r="J745" s="416"/>
      <c r="K745" s="416"/>
      <c r="L745" s="416"/>
      <c r="M745" s="416"/>
      <c r="N745" s="416"/>
    </row>
    <row r="746">
      <c r="A746" s="416"/>
      <c r="B746" s="416"/>
      <c r="C746" s="416"/>
      <c r="D746" s="416"/>
      <c r="E746" s="416"/>
      <c r="F746" s="416"/>
      <c r="G746" s="416"/>
      <c r="H746" s="416"/>
      <c r="I746" s="416"/>
      <c r="J746" s="416"/>
      <c r="K746" s="416"/>
      <c r="L746" s="416"/>
      <c r="M746" s="416"/>
      <c r="N746" s="416"/>
    </row>
    <row r="747">
      <c r="A747" s="416"/>
      <c r="B747" s="416"/>
      <c r="C747" s="416"/>
      <c r="D747" s="416"/>
      <c r="E747" s="416"/>
      <c r="F747" s="416"/>
      <c r="G747" s="416"/>
      <c r="H747" s="416"/>
      <c r="I747" s="416"/>
      <c r="J747" s="416"/>
      <c r="K747" s="416"/>
      <c r="L747" s="416"/>
      <c r="M747" s="416"/>
      <c r="N747" s="416"/>
    </row>
    <row r="748">
      <c r="A748" s="416"/>
      <c r="B748" s="416"/>
      <c r="C748" s="416"/>
      <c r="D748" s="416"/>
      <c r="E748" s="416"/>
      <c r="F748" s="416"/>
      <c r="G748" s="416"/>
      <c r="H748" s="416"/>
      <c r="I748" s="416"/>
      <c r="J748" s="416"/>
      <c r="K748" s="416"/>
      <c r="L748" s="416"/>
      <c r="M748" s="416"/>
      <c r="N748" s="416"/>
    </row>
    <row r="749">
      <c r="A749" s="416"/>
      <c r="B749" s="416"/>
      <c r="C749" s="416"/>
      <c r="D749" s="416"/>
      <c r="E749" s="416"/>
      <c r="F749" s="416"/>
      <c r="G749" s="416"/>
      <c r="H749" s="416"/>
      <c r="I749" s="416"/>
      <c r="J749" s="416"/>
      <c r="K749" s="416"/>
      <c r="L749" s="416"/>
      <c r="M749" s="416"/>
      <c r="N749" s="416"/>
    </row>
    <row r="750">
      <c r="A750" s="416"/>
      <c r="B750" s="416"/>
      <c r="C750" s="416"/>
      <c r="D750" s="416"/>
      <c r="E750" s="416"/>
      <c r="F750" s="416"/>
      <c r="G750" s="416"/>
      <c r="H750" s="416"/>
      <c r="I750" s="416"/>
      <c r="J750" s="416"/>
      <c r="K750" s="416"/>
      <c r="L750" s="416"/>
      <c r="M750" s="416"/>
      <c r="N750" s="416"/>
    </row>
    <row r="751">
      <c r="A751" s="416"/>
      <c r="B751" s="416"/>
      <c r="C751" s="416"/>
      <c r="D751" s="416"/>
      <c r="E751" s="416"/>
      <c r="F751" s="416"/>
      <c r="G751" s="416"/>
      <c r="H751" s="416"/>
      <c r="I751" s="416"/>
      <c r="J751" s="416"/>
      <c r="K751" s="416"/>
      <c r="L751" s="416"/>
      <c r="M751" s="416"/>
      <c r="N751" s="416"/>
    </row>
    <row r="752">
      <c r="A752" s="416"/>
      <c r="B752" s="416"/>
      <c r="C752" s="416"/>
      <c r="D752" s="416"/>
      <c r="E752" s="416"/>
      <c r="F752" s="416"/>
      <c r="G752" s="416"/>
      <c r="H752" s="416"/>
      <c r="I752" s="416"/>
      <c r="J752" s="416"/>
      <c r="K752" s="416"/>
      <c r="L752" s="416"/>
      <c r="M752" s="416"/>
      <c r="N752" s="416"/>
    </row>
    <row r="753">
      <c r="A753" s="416"/>
      <c r="B753" s="416"/>
      <c r="C753" s="416"/>
      <c r="D753" s="416"/>
      <c r="E753" s="416"/>
      <c r="F753" s="416"/>
      <c r="G753" s="416"/>
      <c r="H753" s="416"/>
      <c r="I753" s="416"/>
      <c r="J753" s="416"/>
      <c r="K753" s="416"/>
      <c r="L753" s="416"/>
      <c r="M753" s="416"/>
      <c r="N753" s="416"/>
    </row>
    <row r="754">
      <c r="A754" s="416"/>
      <c r="B754" s="416"/>
      <c r="C754" s="416"/>
      <c r="D754" s="416"/>
      <c r="E754" s="416"/>
      <c r="F754" s="416"/>
      <c r="G754" s="416"/>
      <c r="H754" s="416"/>
      <c r="I754" s="416"/>
      <c r="J754" s="416"/>
      <c r="K754" s="416"/>
      <c r="L754" s="416"/>
      <c r="M754" s="416"/>
      <c r="N754" s="416"/>
    </row>
    <row r="755">
      <c r="A755" s="416"/>
      <c r="B755" s="416"/>
      <c r="C755" s="416"/>
      <c r="D755" s="416"/>
      <c r="E755" s="416"/>
      <c r="F755" s="416"/>
      <c r="G755" s="416"/>
      <c r="H755" s="416"/>
      <c r="I755" s="416"/>
      <c r="J755" s="416"/>
      <c r="K755" s="416"/>
      <c r="L755" s="416"/>
      <c r="M755" s="416"/>
      <c r="N755" s="416"/>
    </row>
    <row r="756">
      <c r="A756" s="416"/>
      <c r="B756" s="416"/>
      <c r="C756" s="416"/>
      <c r="D756" s="416"/>
      <c r="E756" s="416"/>
      <c r="F756" s="416"/>
      <c r="G756" s="416"/>
      <c r="H756" s="416"/>
      <c r="I756" s="416"/>
      <c r="J756" s="416"/>
      <c r="K756" s="416"/>
      <c r="L756" s="416"/>
      <c r="M756" s="416"/>
      <c r="N756" s="416"/>
    </row>
    <row r="757">
      <c r="A757" s="416"/>
      <c r="B757" s="416"/>
      <c r="C757" s="416"/>
      <c r="D757" s="416"/>
      <c r="E757" s="416"/>
      <c r="F757" s="416"/>
      <c r="G757" s="416"/>
      <c r="H757" s="416"/>
      <c r="I757" s="416"/>
      <c r="J757" s="416"/>
      <c r="K757" s="416"/>
      <c r="L757" s="416"/>
      <c r="M757" s="416"/>
      <c r="N757" s="416"/>
    </row>
    <row r="758">
      <c r="A758" s="416"/>
      <c r="B758" s="416"/>
      <c r="C758" s="416"/>
      <c r="D758" s="416"/>
      <c r="E758" s="416"/>
      <c r="F758" s="416"/>
      <c r="G758" s="416"/>
      <c r="H758" s="416"/>
      <c r="I758" s="416"/>
      <c r="J758" s="416"/>
      <c r="K758" s="416"/>
      <c r="L758" s="416"/>
      <c r="M758" s="416"/>
      <c r="N758" s="416"/>
    </row>
    <row r="759">
      <c r="A759" s="416"/>
      <c r="B759" s="416"/>
      <c r="C759" s="416"/>
      <c r="D759" s="416"/>
      <c r="E759" s="416"/>
      <c r="F759" s="416"/>
      <c r="G759" s="416"/>
      <c r="H759" s="416"/>
      <c r="I759" s="416"/>
      <c r="J759" s="416"/>
      <c r="K759" s="416"/>
      <c r="L759" s="416"/>
      <c r="M759" s="416"/>
      <c r="N759" s="416"/>
    </row>
    <row r="760">
      <c r="A760" s="416"/>
      <c r="B760" s="416"/>
      <c r="C760" s="416"/>
      <c r="D760" s="416"/>
      <c r="E760" s="416"/>
      <c r="F760" s="416"/>
      <c r="G760" s="416"/>
      <c r="H760" s="416"/>
      <c r="I760" s="416"/>
      <c r="J760" s="416"/>
      <c r="K760" s="416"/>
      <c r="L760" s="416"/>
      <c r="M760" s="416"/>
      <c r="N760" s="416"/>
    </row>
    <row r="761">
      <c r="A761" s="416"/>
      <c r="B761" s="416"/>
      <c r="C761" s="416"/>
      <c r="D761" s="416"/>
      <c r="E761" s="416"/>
      <c r="F761" s="416"/>
      <c r="G761" s="416"/>
      <c r="H761" s="416"/>
      <c r="I761" s="416"/>
      <c r="J761" s="416"/>
      <c r="K761" s="416"/>
      <c r="L761" s="416"/>
      <c r="M761" s="416"/>
      <c r="N761" s="416"/>
    </row>
    <row r="762">
      <c r="A762" s="416"/>
      <c r="B762" s="416"/>
      <c r="C762" s="416"/>
      <c r="D762" s="416"/>
      <c r="E762" s="416"/>
      <c r="F762" s="416"/>
      <c r="G762" s="416"/>
      <c r="H762" s="416"/>
      <c r="I762" s="416"/>
      <c r="J762" s="416"/>
      <c r="K762" s="416"/>
      <c r="L762" s="416"/>
      <c r="M762" s="416"/>
      <c r="N762" s="416"/>
    </row>
    <row r="763">
      <c r="A763" s="416"/>
      <c r="B763" s="416"/>
      <c r="C763" s="416"/>
      <c r="D763" s="416"/>
      <c r="E763" s="416"/>
      <c r="F763" s="416"/>
      <c r="G763" s="416"/>
      <c r="H763" s="416"/>
      <c r="I763" s="416"/>
      <c r="J763" s="416"/>
      <c r="K763" s="416"/>
      <c r="L763" s="416"/>
      <c r="M763" s="416"/>
      <c r="N763" s="416"/>
    </row>
    <row r="764">
      <c r="A764" s="416"/>
      <c r="B764" s="416"/>
      <c r="C764" s="416"/>
      <c r="D764" s="416"/>
      <c r="E764" s="416"/>
      <c r="F764" s="416"/>
      <c r="G764" s="416"/>
      <c r="H764" s="416"/>
      <c r="I764" s="416"/>
      <c r="J764" s="416"/>
      <c r="K764" s="416"/>
      <c r="L764" s="416"/>
      <c r="M764" s="416"/>
      <c r="N764" s="416"/>
    </row>
    <row r="765">
      <c r="A765" s="416"/>
      <c r="B765" s="416"/>
      <c r="C765" s="416"/>
      <c r="D765" s="416"/>
      <c r="E765" s="416"/>
      <c r="F765" s="416"/>
      <c r="G765" s="416"/>
      <c r="H765" s="416"/>
      <c r="I765" s="416"/>
      <c r="J765" s="416"/>
      <c r="K765" s="416"/>
      <c r="L765" s="416"/>
      <c r="M765" s="416"/>
      <c r="N765" s="416"/>
    </row>
    <row r="766">
      <c r="A766" s="416"/>
      <c r="B766" s="416"/>
      <c r="C766" s="416"/>
      <c r="D766" s="416"/>
      <c r="E766" s="416"/>
      <c r="F766" s="416"/>
      <c r="G766" s="416"/>
      <c r="H766" s="416"/>
      <c r="I766" s="416"/>
      <c r="J766" s="416"/>
      <c r="K766" s="416"/>
      <c r="L766" s="416"/>
      <c r="M766" s="416"/>
      <c r="N766" s="416"/>
    </row>
    <row r="767">
      <c r="A767" s="416"/>
      <c r="B767" s="416"/>
      <c r="C767" s="416"/>
      <c r="D767" s="416"/>
      <c r="E767" s="416"/>
      <c r="F767" s="416"/>
      <c r="G767" s="416"/>
      <c r="H767" s="416"/>
      <c r="I767" s="416"/>
      <c r="J767" s="416"/>
      <c r="K767" s="416"/>
      <c r="L767" s="416"/>
      <c r="M767" s="416"/>
      <c r="N767" s="416"/>
    </row>
    <row r="768">
      <c r="A768" s="416"/>
      <c r="B768" s="416"/>
      <c r="C768" s="416"/>
      <c r="D768" s="416"/>
      <c r="E768" s="416"/>
      <c r="F768" s="416"/>
      <c r="G768" s="416"/>
      <c r="H768" s="416"/>
      <c r="I768" s="416"/>
      <c r="J768" s="416"/>
      <c r="K768" s="416"/>
      <c r="L768" s="416"/>
      <c r="M768" s="416"/>
      <c r="N768" s="416"/>
    </row>
    <row r="769">
      <c r="A769" s="416"/>
      <c r="B769" s="416"/>
      <c r="C769" s="416"/>
      <c r="D769" s="416"/>
      <c r="E769" s="416"/>
      <c r="F769" s="416"/>
      <c r="G769" s="416"/>
      <c r="H769" s="416"/>
      <c r="I769" s="416"/>
      <c r="J769" s="416"/>
      <c r="K769" s="416"/>
      <c r="L769" s="416"/>
      <c r="M769" s="416"/>
      <c r="N769" s="416"/>
    </row>
    <row r="770">
      <c r="A770" s="416"/>
      <c r="B770" s="416"/>
      <c r="C770" s="416"/>
      <c r="D770" s="416"/>
      <c r="E770" s="416"/>
      <c r="F770" s="416"/>
      <c r="G770" s="416"/>
      <c r="H770" s="416"/>
      <c r="I770" s="416"/>
      <c r="J770" s="416"/>
      <c r="K770" s="416"/>
      <c r="L770" s="416"/>
      <c r="M770" s="416"/>
      <c r="N770" s="416"/>
    </row>
    <row r="771">
      <c r="A771" s="416"/>
      <c r="B771" s="416"/>
      <c r="C771" s="416"/>
      <c r="D771" s="416"/>
      <c r="E771" s="416"/>
      <c r="F771" s="416"/>
      <c r="G771" s="416"/>
      <c r="H771" s="416"/>
      <c r="I771" s="416"/>
      <c r="J771" s="416"/>
      <c r="K771" s="416"/>
      <c r="L771" s="416"/>
      <c r="M771" s="416"/>
      <c r="N771" s="416"/>
    </row>
    <row r="772">
      <c r="A772" s="416"/>
      <c r="B772" s="416"/>
      <c r="C772" s="416"/>
      <c r="D772" s="416"/>
      <c r="E772" s="416"/>
      <c r="F772" s="416"/>
      <c r="G772" s="416"/>
      <c r="H772" s="416"/>
      <c r="I772" s="416"/>
      <c r="J772" s="416"/>
      <c r="K772" s="416"/>
      <c r="L772" s="416"/>
      <c r="M772" s="416"/>
      <c r="N772" s="416"/>
    </row>
    <row r="773">
      <c r="A773" s="416"/>
      <c r="B773" s="416"/>
      <c r="C773" s="416"/>
      <c r="D773" s="416"/>
      <c r="E773" s="416"/>
      <c r="F773" s="416"/>
      <c r="G773" s="416"/>
      <c r="H773" s="416"/>
      <c r="I773" s="416"/>
      <c r="J773" s="416"/>
      <c r="K773" s="416"/>
      <c r="L773" s="416"/>
      <c r="M773" s="416"/>
      <c r="N773" s="416"/>
    </row>
    <row r="774">
      <c r="A774" s="416"/>
      <c r="B774" s="416"/>
      <c r="C774" s="416"/>
      <c r="D774" s="416"/>
      <c r="E774" s="416"/>
      <c r="F774" s="416"/>
      <c r="G774" s="416"/>
      <c r="H774" s="416"/>
      <c r="I774" s="416"/>
      <c r="J774" s="416"/>
      <c r="K774" s="416"/>
      <c r="L774" s="416"/>
      <c r="M774" s="416"/>
      <c r="N774" s="416"/>
    </row>
    <row r="775">
      <c r="A775" s="416"/>
      <c r="B775" s="416"/>
      <c r="C775" s="416"/>
      <c r="D775" s="416"/>
      <c r="E775" s="416"/>
      <c r="F775" s="416"/>
      <c r="G775" s="416"/>
      <c r="H775" s="416"/>
      <c r="I775" s="416"/>
      <c r="J775" s="416"/>
      <c r="K775" s="416"/>
      <c r="L775" s="416"/>
      <c r="M775" s="416"/>
      <c r="N775" s="416"/>
    </row>
    <row r="776">
      <c r="A776" s="416"/>
      <c r="B776" s="416"/>
      <c r="C776" s="416"/>
      <c r="D776" s="416"/>
      <c r="E776" s="416"/>
      <c r="F776" s="416"/>
      <c r="G776" s="416"/>
      <c r="H776" s="416"/>
      <c r="I776" s="416"/>
      <c r="J776" s="416"/>
      <c r="K776" s="416"/>
      <c r="L776" s="416"/>
      <c r="M776" s="416"/>
      <c r="N776" s="416"/>
    </row>
    <row r="777">
      <c r="A777" s="416"/>
      <c r="B777" s="416"/>
      <c r="C777" s="416"/>
      <c r="D777" s="416"/>
      <c r="E777" s="416"/>
      <c r="F777" s="416"/>
      <c r="G777" s="416"/>
      <c r="H777" s="416"/>
      <c r="I777" s="416"/>
      <c r="J777" s="416"/>
      <c r="K777" s="416"/>
      <c r="L777" s="416"/>
      <c r="M777" s="416"/>
      <c r="N777" s="416"/>
    </row>
    <row r="778">
      <c r="A778" s="416"/>
      <c r="B778" s="416"/>
      <c r="C778" s="416"/>
      <c r="D778" s="416"/>
      <c r="E778" s="416"/>
      <c r="F778" s="416"/>
      <c r="G778" s="416"/>
      <c r="H778" s="416"/>
      <c r="I778" s="416"/>
      <c r="J778" s="416"/>
      <c r="K778" s="416"/>
      <c r="L778" s="416"/>
      <c r="M778" s="416"/>
      <c r="N778" s="416"/>
    </row>
    <row r="779">
      <c r="A779" s="416"/>
      <c r="B779" s="416"/>
      <c r="C779" s="416"/>
      <c r="D779" s="416"/>
      <c r="E779" s="416"/>
      <c r="F779" s="416"/>
      <c r="G779" s="416"/>
      <c r="H779" s="416"/>
      <c r="I779" s="416"/>
      <c r="J779" s="416"/>
      <c r="K779" s="416"/>
      <c r="L779" s="416"/>
      <c r="M779" s="416"/>
      <c r="N779" s="416"/>
    </row>
    <row r="780">
      <c r="A780" s="416"/>
      <c r="B780" s="416"/>
      <c r="C780" s="416"/>
      <c r="D780" s="416"/>
      <c r="E780" s="416"/>
      <c r="F780" s="416"/>
      <c r="G780" s="416"/>
      <c r="H780" s="416"/>
      <c r="I780" s="416"/>
      <c r="J780" s="416"/>
      <c r="K780" s="416"/>
      <c r="L780" s="416"/>
      <c r="M780" s="416"/>
      <c r="N780" s="416"/>
    </row>
    <row r="781">
      <c r="A781" s="416"/>
      <c r="B781" s="416"/>
      <c r="C781" s="416"/>
      <c r="D781" s="416"/>
      <c r="E781" s="416"/>
      <c r="F781" s="416"/>
      <c r="G781" s="416"/>
      <c r="H781" s="416"/>
      <c r="I781" s="416"/>
      <c r="J781" s="416"/>
      <c r="K781" s="416"/>
      <c r="L781" s="416"/>
      <c r="M781" s="416"/>
      <c r="N781" s="416"/>
    </row>
    <row r="782">
      <c r="A782" s="416"/>
      <c r="B782" s="416"/>
      <c r="C782" s="416"/>
      <c r="D782" s="416"/>
      <c r="E782" s="416"/>
      <c r="F782" s="416"/>
      <c r="G782" s="416"/>
      <c r="H782" s="416"/>
      <c r="I782" s="416"/>
      <c r="J782" s="416"/>
      <c r="K782" s="416"/>
      <c r="L782" s="416"/>
      <c r="M782" s="416"/>
      <c r="N782" s="416"/>
    </row>
    <row r="783">
      <c r="A783" s="416"/>
      <c r="B783" s="416"/>
      <c r="C783" s="416"/>
      <c r="D783" s="416"/>
      <c r="E783" s="416"/>
      <c r="F783" s="416"/>
      <c r="G783" s="416"/>
      <c r="H783" s="416"/>
      <c r="I783" s="416"/>
      <c r="J783" s="416"/>
      <c r="K783" s="416"/>
      <c r="L783" s="416"/>
      <c r="M783" s="416"/>
      <c r="N783" s="416"/>
    </row>
    <row r="784">
      <c r="A784" s="416"/>
      <c r="B784" s="416"/>
      <c r="C784" s="416"/>
      <c r="D784" s="416"/>
      <c r="E784" s="416"/>
      <c r="F784" s="416"/>
      <c r="G784" s="416"/>
      <c r="H784" s="416"/>
      <c r="I784" s="416"/>
      <c r="J784" s="416"/>
      <c r="K784" s="416"/>
      <c r="L784" s="416"/>
      <c r="M784" s="416"/>
      <c r="N784" s="416"/>
    </row>
    <row r="785">
      <c r="A785" s="416"/>
      <c r="B785" s="416"/>
      <c r="C785" s="416"/>
      <c r="D785" s="416"/>
      <c r="E785" s="416"/>
      <c r="F785" s="416"/>
      <c r="G785" s="416"/>
      <c r="H785" s="416"/>
      <c r="I785" s="416"/>
      <c r="J785" s="416"/>
      <c r="K785" s="416"/>
      <c r="L785" s="416"/>
      <c r="M785" s="416"/>
      <c r="N785" s="416"/>
    </row>
    <row r="786">
      <c r="A786" s="416"/>
      <c r="B786" s="416"/>
      <c r="C786" s="416"/>
      <c r="D786" s="416"/>
      <c r="E786" s="416"/>
      <c r="F786" s="416"/>
      <c r="G786" s="416"/>
      <c r="H786" s="416"/>
      <c r="I786" s="416"/>
      <c r="J786" s="416"/>
      <c r="K786" s="416"/>
      <c r="L786" s="416"/>
      <c r="M786" s="416"/>
      <c r="N786" s="416"/>
    </row>
    <row r="787">
      <c r="A787" s="416"/>
      <c r="B787" s="416"/>
      <c r="C787" s="416"/>
      <c r="D787" s="416"/>
      <c r="E787" s="416"/>
      <c r="F787" s="416"/>
      <c r="G787" s="416"/>
      <c r="H787" s="416"/>
      <c r="I787" s="416"/>
      <c r="J787" s="416"/>
      <c r="K787" s="416"/>
      <c r="L787" s="416"/>
      <c r="M787" s="416"/>
      <c r="N787" s="416"/>
    </row>
    <row r="788">
      <c r="A788" s="416"/>
      <c r="B788" s="416"/>
      <c r="C788" s="416"/>
      <c r="D788" s="416"/>
      <c r="E788" s="416"/>
      <c r="F788" s="416"/>
      <c r="G788" s="416"/>
      <c r="H788" s="416"/>
      <c r="I788" s="416"/>
      <c r="J788" s="416"/>
      <c r="K788" s="416"/>
      <c r="L788" s="416"/>
      <c r="M788" s="416"/>
      <c r="N788" s="416"/>
    </row>
    <row r="789">
      <c r="A789" s="416"/>
      <c r="B789" s="416"/>
      <c r="C789" s="416"/>
      <c r="D789" s="416"/>
      <c r="E789" s="416"/>
      <c r="F789" s="416"/>
      <c r="G789" s="416"/>
      <c r="H789" s="416"/>
      <c r="I789" s="416"/>
      <c r="J789" s="416"/>
      <c r="K789" s="416"/>
      <c r="L789" s="416"/>
      <c r="M789" s="416"/>
      <c r="N789" s="416"/>
    </row>
    <row r="790">
      <c r="A790" s="416"/>
      <c r="B790" s="416"/>
      <c r="C790" s="416"/>
      <c r="D790" s="416"/>
      <c r="E790" s="416"/>
      <c r="F790" s="416"/>
      <c r="G790" s="416"/>
      <c r="H790" s="416"/>
      <c r="I790" s="416"/>
      <c r="J790" s="416"/>
      <c r="K790" s="416"/>
      <c r="L790" s="416"/>
      <c r="M790" s="416"/>
      <c r="N790" s="416"/>
    </row>
    <row r="791">
      <c r="A791" s="416"/>
      <c r="B791" s="416"/>
      <c r="C791" s="416"/>
      <c r="D791" s="416"/>
      <c r="E791" s="416"/>
      <c r="F791" s="416"/>
      <c r="G791" s="416"/>
      <c r="H791" s="416"/>
      <c r="I791" s="416"/>
      <c r="J791" s="416"/>
      <c r="K791" s="416"/>
      <c r="L791" s="416"/>
      <c r="M791" s="416"/>
      <c r="N791" s="416"/>
    </row>
    <row r="792">
      <c r="A792" s="416"/>
      <c r="B792" s="416"/>
      <c r="C792" s="416"/>
      <c r="D792" s="416"/>
      <c r="E792" s="416"/>
      <c r="F792" s="416"/>
      <c r="G792" s="416"/>
      <c r="H792" s="416"/>
      <c r="I792" s="416"/>
      <c r="J792" s="416"/>
      <c r="K792" s="416"/>
      <c r="L792" s="416"/>
      <c r="M792" s="416"/>
      <c r="N792" s="416"/>
    </row>
    <row r="793">
      <c r="A793" s="416"/>
      <c r="B793" s="416"/>
      <c r="C793" s="416"/>
      <c r="D793" s="416"/>
      <c r="E793" s="416"/>
      <c r="F793" s="416"/>
      <c r="G793" s="416"/>
      <c r="H793" s="416"/>
      <c r="I793" s="416"/>
      <c r="J793" s="416"/>
      <c r="K793" s="416"/>
      <c r="L793" s="416"/>
      <c r="M793" s="416"/>
      <c r="N793" s="416"/>
    </row>
    <row r="794">
      <c r="A794" s="416"/>
      <c r="B794" s="416"/>
      <c r="C794" s="416"/>
      <c r="D794" s="416"/>
      <c r="E794" s="416"/>
      <c r="F794" s="416"/>
      <c r="G794" s="416"/>
      <c r="H794" s="416"/>
      <c r="I794" s="416"/>
      <c r="J794" s="416"/>
      <c r="K794" s="416"/>
      <c r="L794" s="416"/>
      <c r="M794" s="416"/>
      <c r="N794" s="416"/>
    </row>
    <row r="795">
      <c r="A795" s="416"/>
      <c r="B795" s="416"/>
      <c r="C795" s="416"/>
      <c r="D795" s="416"/>
      <c r="E795" s="416"/>
      <c r="F795" s="416"/>
      <c r="G795" s="416"/>
      <c r="H795" s="416"/>
      <c r="I795" s="416"/>
      <c r="J795" s="416"/>
      <c r="K795" s="416"/>
      <c r="L795" s="416"/>
      <c r="M795" s="416"/>
      <c r="N795" s="416"/>
    </row>
    <row r="796">
      <c r="A796" s="416"/>
      <c r="B796" s="416"/>
      <c r="C796" s="416"/>
      <c r="D796" s="416"/>
      <c r="E796" s="416"/>
      <c r="F796" s="416"/>
      <c r="G796" s="416"/>
      <c r="H796" s="416"/>
      <c r="I796" s="416"/>
      <c r="J796" s="416"/>
      <c r="K796" s="416"/>
      <c r="L796" s="416"/>
      <c r="M796" s="416"/>
      <c r="N796" s="416"/>
    </row>
    <row r="797">
      <c r="A797" s="416"/>
      <c r="B797" s="416"/>
      <c r="C797" s="416"/>
      <c r="D797" s="416"/>
      <c r="E797" s="416"/>
      <c r="F797" s="416"/>
      <c r="G797" s="416"/>
      <c r="H797" s="416"/>
      <c r="I797" s="416"/>
      <c r="J797" s="416"/>
      <c r="K797" s="416"/>
      <c r="L797" s="416"/>
      <c r="M797" s="416"/>
      <c r="N797" s="416"/>
    </row>
    <row r="798">
      <c r="A798" s="416"/>
      <c r="B798" s="416"/>
      <c r="C798" s="416"/>
      <c r="D798" s="416"/>
      <c r="E798" s="416"/>
      <c r="F798" s="416"/>
      <c r="G798" s="416"/>
      <c r="H798" s="416"/>
      <c r="I798" s="416"/>
      <c r="J798" s="416"/>
      <c r="K798" s="416"/>
      <c r="L798" s="416"/>
      <c r="M798" s="416"/>
      <c r="N798" s="416"/>
    </row>
    <row r="799">
      <c r="A799" s="416"/>
      <c r="B799" s="416"/>
      <c r="C799" s="416"/>
      <c r="D799" s="416"/>
      <c r="E799" s="416"/>
      <c r="F799" s="416"/>
      <c r="G799" s="416"/>
      <c r="H799" s="416"/>
      <c r="I799" s="416"/>
      <c r="J799" s="416"/>
      <c r="K799" s="416"/>
      <c r="L799" s="416"/>
      <c r="M799" s="416"/>
      <c r="N799" s="416"/>
    </row>
    <row r="800">
      <c r="A800" s="416"/>
      <c r="B800" s="416"/>
      <c r="C800" s="416"/>
      <c r="D800" s="416"/>
      <c r="E800" s="416"/>
      <c r="F800" s="416"/>
      <c r="G800" s="416"/>
      <c r="H800" s="416"/>
      <c r="I800" s="416"/>
      <c r="J800" s="416"/>
      <c r="K800" s="416"/>
      <c r="L800" s="416"/>
      <c r="M800" s="416"/>
      <c r="N800" s="416"/>
    </row>
    <row r="801">
      <c r="A801" s="416"/>
      <c r="B801" s="416"/>
      <c r="C801" s="416"/>
      <c r="D801" s="416"/>
      <c r="E801" s="416"/>
      <c r="F801" s="416"/>
      <c r="G801" s="416"/>
      <c r="H801" s="416"/>
      <c r="I801" s="416"/>
      <c r="J801" s="416"/>
      <c r="K801" s="416"/>
      <c r="L801" s="416"/>
      <c r="M801" s="416"/>
      <c r="N801" s="416"/>
    </row>
    <row r="802">
      <c r="A802" s="416"/>
      <c r="B802" s="416"/>
      <c r="C802" s="416"/>
      <c r="D802" s="416"/>
      <c r="E802" s="416"/>
      <c r="F802" s="416"/>
      <c r="G802" s="416"/>
      <c r="H802" s="416"/>
      <c r="I802" s="416"/>
      <c r="J802" s="416"/>
      <c r="K802" s="416"/>
      <c r="L802" s="416"/>
      <c r="M802" s="416"/>
      <c r="N802" s="416"/>
    </row>
    <row r="803">
      <c r="A803" s="416"/>
      <c r="B803" s="416"/>
      <c r="C803" s="416"/>
      <c r="D803" s="416"/>
      <c r="E803" s="416"/>
      <c r="F803" s="416"/>
      <c r="G803" s="416"/>
      <c r="H803" s="416"/>
      <c r="I803" s="416"/>
      <c r="J803" s="416"/>
      <c r="K803" s="416"/>
      <c r="L803" s="416"/>
      <c r="M803" s="416"/>
      <c r="N803" s="416"/>
    </row>
    <row r="804">
      <c r="A804" s="416"/>
      <c r="B804" s="416"/>
      <c r="C804" s="416"/>
      <c r="D804" s="416"/>
      <c r="E804" s="416"/>
      <c r="F804" s="416"/>
      <c r="G804" s="416"/>
      <c r="H804" s="416"/>
      <c r="I804" s="416"/>
      <c r="J804" s="416"/>
      <c r="K804" s="416"/>
      <c r="L804" s="416"/>
      <c r="M804" s="416"/>
      <c r="N804" s="416"/>
    </row>
    <row r="805">
      <c r="A805" s="416"/>
      <c r="B805" s="416"/>
      <c r="C805" s="416"/>
      <c r="D805" s="416"/>
      <c r="E805" s="416"/>
      <c r="F805" s="416"/>
      <c r="G805" s="416"/>
      <c r="H805" s="416"/>
      <c r="I805" s="416"/>
      <c r="J805" s="416"/>
      <c r="K805" s="416"/>
      <c r="L805" s="416"/>
      <c r="M805" s="416"/>
      <c r="N805" s="416"/>
    </row>
    <row r="806">
      <c r="A806" s="416"/>
      <c r="B806" s="416"/>
      <c r="C806" s="416"/>
      <c r="D806" s="416"/>
      <c r="E806" s="416"/>
      <c r="F806" s="416"/>
      <c r="G806" s="416"/>
      <c r="H806" s="416"/>
      <c r="I806" s="416"/>
      <c r="J806" s="416"/>
      <c r="K806" s="416"/>
      <c r="L806" s="416"/>
      <c r="M806" s="416"/>
      <c r="N806" s="416"/>
    </row>
    <row r="807">
      <c r="A807" s="416"/>
      <c r="B807" s="416"/>
      <c r="C807" s="416"/>
      <c r="D807" s="416"/>
      <c r="E807" s="416"/>
      <c r="F807" s="416"/>
      <c r="G807" s="416"/>
      <c r="H807" s="416"/>
      <c r="I807" s="416"/>
      <c r="J807" s="416"/>
      <c r="K807" s="416"/>
      <c r="L807" s="416"/>
      <c r="M807" s="416"/>
      <c r="N807" s="416"/>
    </row>
    <row r="808">
      <c r="A808" s="416"/>
      <c r="B808" s="416"/>
      <c r="C808" s="416"/>
      <c r="D808" s="416"/>
      <c r="E808" s="416"/>
      <c r="F808" s="416"/>
      <c r="G808" s="416"/>
      <c r="H808" s="416"/>
      <c r="I808" s="416"/>
      <c r="J808" s="416"/>
      <c r="K808" s="416"/>
      <c r="L808" s="416"/>
      <c r="M808" s="416"/>
      <c r="N808" s="416"/>
    </row>
    <row r="809">
      <c r="A809" s="416"/>
      <c r="B809" s="416"/>
      <c r="C809" s="416"/>
      <c r="D809" s="416"/>
      <c r="E809" s="416"/>
      <c r="F809" s="416"/>
      <c r="G809" s="416"/>
      <c r="H809" s="416"/>
      <c r="I809" s="416"/>
      <c r="J809" s="416"/>
      <c r="K809" s="416"/>
      <c r="L809" s="416"/>
      <c r="M809" s="416"/>
      <c r="N809" s="416"/>
    </row>
    <row r="810">
      <c r="A810" s="416"/>
      <c r="B810" s="416"/>
      <c r="C810" s="416"/>
      <c r="D810" s="416"/>
      <c r="E810" s="416"/>
      <c r="F810" s="416"/>
      <c r="G810" s="416"/>
      <c r="H810" s="416"/>
      <c r="I810" s="416"/>
      <c r="J810" s="416"/>
      <c r="K810" s="416"/>
      <c r="L810" s="416"/>
      <c r="M810" s="416"/>
      <c r="N810" s="416"/>
    </row>
    <row r="811">
      <c r="A811" s="416"/>
      <c r="B811" s="416"/>
      <c r="C811" s="416"/>
      <c r="D811" s="416"/>
      <c r="E811" s="416"/>
      <c r="F811" s="416"/>
      <c r="G811" s="416"/>
      <c r="H811" s="416"/>
      <c r="I811" s="416"/>
      <c r="J811" s="416"/>
      <c r="K811" s="416"/>
      <c r="L811" s="416"/>
      <c r="M811" s="416"/>
      <c r="N811" s="416"/>
    </row>
    <row r="812">
      <c r="A812" s="416"/>
      <c r="B812" s="416"/>
      <c r="C812" s="416"/>
      <c r="D812" s="416"/>
      <c r="E812" s="416"/>
      <c r="F812" s="416"/>
      <c r="G812" s="416"/>
      <c r="H812" s="416"/>
      <c r="I812" s="416"/>
      <c r="J812" s="416"/>
      <c r="K812" s="416"/>
      <c r="L812" s="416"/>
      <c r="M812" s="416"/>
      <c r="N812" s="416"/>
    </row>
    <row r="813">
      <c r="A813" s="416"/>
      <c r="B813" s="416"/>
      <c r="C813" s="416"/>
      <c r="D813" s="416"/>
      <c r="E813" s="416"/>
      <c r="F813" s="416"/>
      <c r="G813" s="416"/>
      <c r="H813" s="416"/>
      <c r="I813" s="416"/>
      <c r="J813" s="416"/>
      <c r="K813" s="416"/>
      <c r="L813" s="416"/>
      <c r="M813" s="416"/>
      <c r="N813" s="416"/>
    </row>
    <row r="814">
      <c r="A814" s="416"/>
      <c r="B814" s="416"/>
      <c r="C814" s="416"/>
      <c r="D814" s="416"/>
      <c r="E814" s="416"/>
      <c r="F814" s="416"/>
      <c r="G814" s="416"/>
      <c r="H814" s="416"/>
      <c r="I814" s="416"/>
      <c r="J814" s="416"/>
      <c r="K814" s="416"/>
      <c r="L814" s="416"/>
      <c r="M814" s="416"/>
      <c r="N814" s="416"/>
    </row>
    <row r="815">
      <c r="A815" s="416"/>
      <c r="B815" s="416"/>
      <c r="C815" s="416"/>
      <c r="D815" s="416"/>
      <c r="E815" s="416"/>
      <c r="F815" s="416"/>
      <c r="G815" s="416"/>
      <c r="H815" s="416"/>
      <c r="I815" s="416"/>
      <c r="J815" s="416"/>
      <c r="K815" s="416"/>
      <c r="L815" s="416"/>
      <c r="M815" s="416"/>
      <c r="N815" s="416"/>
    </row>
    <row r="816">
      <c r="A816" s="416"/>
      <c r="B816" s="416"/>
      <c r="C816" s="416"/>
      <c r="D816" s="416"/>
      <c r="E816" s="416"/>
      <c r="F816" s="416"/>
      <c r="G816" s="416"/>
      <c r="H816" s="416"/>
      <c r="I816" s="416"/>
      <c r="J816" s="416"/>
      <c r="K816" s="416"/>
      <c r="L816" s="416"/>
      <c r="M816" s="416"/>
      <c r="N816" s="416"/>
    </row>
    <row r="817">
      <c r="A817" s="416"/>
      <c r="B817" s="416"/>
      <c r="C817" s="416"/>
      <c r="D817" s="416"/>
      <c r="E817" s="416"/>
      <c r="F817" s="416"/>
      <c r="G817" s="416"/>
      <c r="H817" s="416"/>
      <c r="I817" s="416"/>
      <c r="J817" s="416"/>
      <c r="K817" s="416"/>
      <c r="L817" s="416"/>
      <c r="M817" s="416"/>
      <c r="N817" s="416"/>
    </row>
    <row r="818">
      <c r="A818" s="416"/>
      <c r="B818" s="416"/>
      <c r="C818" s="416"/>
      <c r="D818" s="416"/>
      <c r="E818" s="416"/>
      <c r="F818" s="416"/>
      <c r="G818" s="416"/>
      <c r="H818" s="416"/>
      <c r="I818" s="416"/>
      <c r="J818" s="416"/>
      <c r="K818" s="416"/>
      <c r="L818" s="416"/>
      <c r="M818" s="416"/>
      <c r="N818" s="416"/>
    </row>
    <row r="819">
      <c r="A819" s="416"/>
      <c r="B819" s="416"/>
      <c r="C819" s="416"/>
      <c r="D819" s="416"/>
      <c r="E819" s="416"/>
      <c r="F819" s="416"/>
      <c r="G819" s="416"/>
      <c r="H819" s="416"/>
      <c r="I819" s="416"/>
      <c r="J819" s="416"/>
      <c r="K819" s="416"/>
      <c r="L819" s="416"/>
      <c r="M819" s="416"/>
      <c r="N819" s="416"/>
    </row>
    <row r="820">
      <c r="A820" s="416"/>
      <c r="B820" s="416"/>
      <c r="C820" s="416"/>
      <c r="D820" s="416"/>
      <c r="E820" s="416"/>
      <c r="F820" s="416"/>
      <c r="G820" s="416"/>
      <c r="H820" s="416"/>
      <c r="I820" s="416"/>
      <c r="J820" s="416"/>
      <c r="K820" s="416"/>
      <c r="L820" s="416"/>
      <c r="M820" s="416"/>
      <c r="N820" s="416"/>
    </row>
    <row r="821">
      <c r="A821" s="416"/>
      <c r="B821" s="416"/>
      <c r="C821" s="416"/>
      <c r="D821" s="416"/>
      <c r="E821" s="416"/>
      <c r="F821" s="416"/>
      <c r="G821" s="416"/>
      <c r="H821" s="416"/>
      <c r="I821" s="416"/>
      <c r="J821" s="416"/>
      <c r="K821" s="416"/>
      <c r="L821" s="416"/>
      <c r="M821" s="416"/>
      <c r="N821" s="416"/>
    </row>
    <row r="822">
      <c r="A822" s="416"/>
      <c r="B822" s="416"/>
      <c r="C822" s="416"/>
      <c r="D822" s="416"/>
      <c r="E822" s="416"/>
      <c r="F822" s="416"/>
      <c r="G822" s="416"/>
      <c r="H822" s="416"/>
      <c r="I822" s="416"/>
      <c r="J822" s="416"/>
      <c r="K822" s="416"/>
      <c r="L822" s="416"/>
      <c r="M822" s="416"/>
      <c r="N822" s="416"/>
    </row>
    <row r="823">
      <c r="A823" s="416"/>
      <c r="B823" s="416"/>
      <c r="C823" s="416"/>
      <c r="D823" s="416"/>
      <c r="E823" s="416"/>
      <c r="F823" s="416"/>
      <c r="G823" s="416"/>
      <c r="H823" s="416"/>
      <c r="I823" s="416"/>
      <c r="J823" s="416"/>
      <c r="K823" s="416"/>
      <c r="L823" s="416"/>
      <c r="M823" s="416"/>
      <c r="N823" s="416"/>
    </row>
    <row r="824">
      <c r="A824" s="416"/>
      <c r="B824" s="416"/>
      <c r="C824" s="416"/>
      <c r="D824" s="416"/>
      <c r="E824" s="416"/>
      <c r="F824" s="416"/>
      <c r="G824" s="416"/>
      <c r="H824" s="416"/>
      <c r="I824" s="416"/>
      <c r="J824" s="416"/>
      <c r="K824" s="416"/>
      <c r="L824" s="416"/>
      <c r="M824" s="416"/>
      <c r="N824" s="416"/>
    </row>
    <row r="825">
      <c r="A825" s="416"/>
      <c r="B825" s="416"/>
      <c r="C825" s="416"/>
      <c r="D825" s="416"/>
      <c r="E825" s="416"/>
      <c r="F825" s="416"/>
      <c r="G825" s="416"/>
      <c r="H825" s="416"/>
      <c r="I825" s="416"/>
      <c r="J825" s="416"/>
      <c r="K825" s="416"/>
      <c r="L825" s="416"/>
      <c r="M825" s="416"/>
      <c r="N825" s="416"/>
    </row>
    <row r="826">
      <c r="A826" s="416"/>
      <c r="B826" s="416"/>
      <c r="C826" s="416"/>
      <c r="D826" s="416"/>
      <c r="E826" s="416"/>
      <c r="F826" s="416"/>
      <c r="G826" s="416"/>
      <c r="H826" s="416"/>
      <c r="I826" s="416"/>
      <c r="J826" s="416"/>
      <c r="K826" s="416"/>
      <c r="L826" s="416"/>
      <c r="M826" s="416"/>
      <c r="N826" s="416"/>
    </row>
    <row r="827">
      <c r="A827" s="416"/>
      <c r="B827" s="416"/>
      <c r="C827" s="416"/>
      <c r="D827" s="416"/>
      <c r="E827" s="416"/>
      <c r="F827" s="416"/>
      <c r="G827" s="416"/>
      <c r="H827" s="416"/>
      <c r="I827" s="416"/>
      <c r="J827" s="416"/>
      <c r="K827" s="416"/>
      <c r="L827" s="416"/>
      <c r="M827" s="416"/>
      <c r="N827" s="416"/>
    </row>
    <row r="828">
      <c r="A828" s="416"/>
      <c r="B828" s="416"/>
      <c r="C828" s="416"/>
      <c r="D828" s="416"/>
      <c r="E828" s="416"/>
      <c r="F828" s="416"/>
      <c r="G828" s="416"/>
      <c r="H828" s="416"/>
      <c r="I828" s="416"/>
      <c r="J828" s="416"/>
      <c r="K828" s="416"/>
      <c r="L828" s="416"/>
      <c r="M828" s="416"/>
      <c r="N828" s="416"/>
    </row>
    <row r="829">
      <c r="A829" s="416"/>
      <c r="B829" s="416"/>
      <c r="C829" s="416"/>
      <c r="D829" s="416"/>
      <c r="E829" s="416"/>
      <c r="F829" s="416"/>
      <c r="G829" s="416"/>
      <c r="H829" s="416"/>
      <c r="I829" s="416"/>
      <c r="J829" s="416"/>
      <c r="K829" s="416"/>
      <c r="L829" s="416"/>
      <c r="M829" s="416"/>
      <c r="N829" s="416"/>
    </row>
    <row r="830">
      <c r="A830" s="416"/>
      <c r="B830" s="416"/>
      <c r="C830" s="416"/>
      <c r="D830" s="416"/>
      <c r="E830" s="416"/>
      <c r="F830" s="416"/>
      <c r="G830" s="416"/>
      <c r="H830" s="416"/>
      <c r="I830" s="416"/>
      <c r="J830" s="416"/>
      <c r="K830" s="416"/>
      <c r="L830" s="416"/>
      <c r="M830" s="416"/>
      <c r="N830" s="416"/>
    </row>
    <row r="831">
      <c r="A831" s="416"/>
      <c r="B831" s="416"/>
      <c r="C831" s="416"/>
      <c r="D831" s="416"/>
      <c r="E831" s="416"/>
      <c r="F831" s="416"/>
      <c r="G831" s="416"/>
      <c r="H831" s="416"/>
      <c r="I831" s="416"/>
      <c r="J831" s="416"/>
      <c r="K831" s="416"/>
      <c r="L831" s="416"/>
      <c r="M831" s="416"/>
      <c r="N831" s="416"/>
    </row>
    <row r="832">
      <c r="A832" s="416"/>
      <c r="B832" s="416"/>
      <c r="C832" s="416"/>
      <c r="D832" s="416"/>
      <c r="E832" s="416"/>
      <c r="F832" s="416"/>
      <c r="G832" s="416"/>
      <c r="H832" s="416"/>
      <c r="I832" s="416"/>
      <c r="J832" s="416"/>
      <c r="K832" s="416"/>
      <c r="L832" s="416"/>
      <c r="M832" s="416"/>
      <c r="N832" s="416"/>
    </row>
    <row r="833">
      <c r="A833" s="416"/>
      <c r="B833" s="416"/>
      <c r="C833" s="416"/>
      <c r="D833" s="416"/>
      <c r="E833" s="416"/>
      <c r="F833" s="416"/>
      <c r="G833" s="416"/>
      <c r="H833" s="416"/>
      <c r="I833" s="416"/>
      <c r="J833" s="416"/>
      <c r="K833" s="416"/>
      <c r="L833" s="416"/>
      <c r="M833" s="416"/>
      <c r="N833" s="416"/>
    </row>
    <row r="834">
      <c r="A834" s="416"/>
      <c r="B834" s="416"/>
      <c r="C834" s="416"/>
      <c r="D834" s="416"/>
      <c r="E834" s="416"/>
      <c r="F834" s="416"/>
      <c r="G834" s="416"/>
      <c r="H834" s="416"/>
      <c r="I834" s="416"/>
      <c r="J834" s="416"/>
      <c r="K834" s="416"/>
      <c r="L834" s="416"/>
      <c r="M834" s="416"/>
      <c r="N834" s="416"/>
    </row>
    <row r="835">
      <c r="A835" s="416"/>
      <c r="B835" s="416"/>
      <c r="C835" s="416"/>
      <c r="D835" s="416"/>
      <c r="E835" s="416"/>
      <c r="F835" s="416"/>
      <c r="G835" s="416"/>
      <c r="H835" s="416"/>
      <c r="I835" s="416"/>
      <c r="J835" s="416"/>
      <c r="K835" s="416"/>
      <c r="L835" s="416"/>
      <c r="M835" s="416"/>
      <c r="N835" s="416"/>
    </row>
    <row r="836">
      <c r="A836" s="416"/>
      <c r="B836" s="416"/>
      <c r="C836" s="416"/>
      <c r="D836" s="416"/>
      <c r="E836" s="416"/>
      <c r="F836" s="416"/>
      <c r="G836" s="416"/>
      <c r="H836" s="416"/>
      <c r="I836" s="416"/>
      <c r="J836" s="416"/>
      <c r="K836" s="416"/>
      <c r="L836" s="416"/>
      <c r="M836" s="416"/>
      <c r="N836" s="416"/>
    </row>
    <row r="837">
      <c r="A837" s="416"/>
      <c r="B837" s="416"/>
      <c r="C837" s="416"/>
      <c r="D837" s="416"/>
      <c r="E837" s="416"/>
      <c r="F837" s="416"/>
      <c r="G837" s="416"/>
      <c r="H837" s="416"/>
      <c r="I837" s="416"/>
      <c r="J837" s="416"/>
      <c r="K837" s="416"/>
      <c r="L837" s="416"/>
      <c r="M837" s="416"/>
      <c r="N837" s="416"/>
    </row>
    <row r="838">
      <c r="A838" s="416"/>
      <c r="B838" s="416"/>
      <c r="C838" s="416"/>
      <c r="D838" s="416"/>
      <c r="E838" s="416"/>
      <c r="F838" s="416"/>
      <c r="G838" s="416"/>
      <c r="H838" s="416"/>
      <c r="I838" s="416"/>
      <c r="J838" s="416"/>
      <c r="K838" s="416"/>
      <c r="L838" s="416"/>
      <c r="M838" s="416"/>
      <c r="N838" s="416"/>
    </row>
    <row r="839">
      <c r="A839" s="416"/>
      <c r="B839" s="416"/>
      <c r="C839" s="416"/>
      <c r="D839" s="416"/>
      <c r="E839" s="416"/>
      <c r="F839" s="416"/>
      <c r="G839" s="416"/>
      <c r="H839" s="416"/>
      <c r="I839" s="416"/>
      <c r="J839" s="416"/>
      <c r="K839" s="416"/>
      <c r="L839" s="416"/>
      <c r="M839" s="416"/>
      <c r="N839" s="416"/>
    </row>
    <row r="840">
      <c r="A840" s="416"/>
      <c r="B840" s="416"/>
      <c r="C840" s="416"/>
      <c r="D840" s="416"/>
      <c r="E840" s="416"/>
      <c r="F840" s="416"/>
      <c r="G840" s="416"/>
      <c r="H840" s="416"/>
      <c r="I840" s="416"/>
      <c r="J840" s="416"/>
      <c r="K840" s="416"/>
      <c r="L840" s="416"/>
      <c r="M840" s="416"/>
      <c r="N840" s="416"/>
    </row>
    <row r="841">
      <c r="A841" s="416"/>
      <c r="B841" s="416"/>
      <c r="C841" s="416"/>
      <c r="D841" s="416"/>
      <c r="E841" s="416"/>
      <c r="F841" s="416"/>
      <c r="G841" s="416"/>
      <c r="H841" s="416"/>
      <c r="I841" s="416"/>
      <c r="J841" s="416"/>
      <c r="K841" s="416"/>
      <c r="L841" s="416"/>
      <c r="M841" s="416"/>
      <c r="N841" s="416"/>
    </row>
    <row r="842">
      <c r="A842" s="416"/>
      <c r="B842" s="416"/>
      <c r="C842" s="416"/>
      <c r="D842" s="416"/>
      <c r="E842" s="416"/>
      <c r="F842" s="416"/>
      <c r="G842" s="416"/>
      <c r="H842" s="416"/>
      <c r="I842" s="416"/>
      <c r="J842" s="416"/>
      <c r="K842" s="416"/>
      <c r="L842" s="416"/>
      <c r="M842" s="416"/>
      <c r="N842" s="416"/>
    </row>
    <row r="843">
      <c r="A843" s="416"/>
      <c r="B843" s="416"/>
      <c r="C843" s="416"/>
      <c r="D843" s="416"/>
      <c r="E843" s="416"/>
      <c r="F843" s="416"/>
      <c r="G843" s="416"/>
      <c r="H843" s="416"/>
      <c r="I843" s="416"/>
      <c r="J843" s="416"/>
      <c r="K843" s="416"/>
      <c r="L843" s="416"/>
      <c r="M843" s="416"/>
      <c r="N843" s="416"/>
    </row>
    <row r="844">
      <c r="A844" s="416"/>
      <c r="B844" s="416"/>
      <c r="C844" s="416"/>
      <c r="D844" s="416"/>
      <c r="E844" s="416"/>
      <c r="F844" s="416"/>
      <c r="G844" s="416"/>
      <c r="H844" s="416"/>
      <c r="I844" s="416"/>
      <c r="J844" s="416"/>
      <c r="K844" s="416"/>
      <c r="L844" s="416"/>
      <c r="M844" s="416"/>
      <c r="N844" s="416"/>
    </row>
    <row r="845">
      <c r="A845" s="416"/>
      <c r="B845" s="416"/>
      <c r="C845" s="416"/>
      <c r="D845" s="416"/>
      <c r="E845" s="416"/>
      <c r="F845" s="416"/>
      <c r="G845" s="416"/>
      <c r="H845" s="416"/>
      <c r="I845" s="416"/>
      <c r="J845" s="416"/>
      <c r="K845" s="416"/>
      <c r="L845" s="416"/>
      <c r="M845" s="416"/>
      <c r="N845" s="416"/>
    </row>
    <row r="846">
      <c r="A846" s="416"/>
      <c r="B846" s="416"/>
      <c r="C846" s="416"/>
      <c r="D846" s="416"/>
      <c r="E846" s="416"/>
      <c r="F846" s="416"/>
      <c r="G846" s="416"/>
      <c r="H846" s="416"/>
      <c r="I846" s="416"/>
      <c r="J846" s="416"/>
      <c r="K846" s="416"/>
      <c r="L846" s="416"/>
      <c r="M846" s="416"/>
      <c r="N846" s="416"/>
    </row>
    <row r="847">
      <c r="A847" s="416"/>
      <c r="B847" s="416"/>
      <c r="C847" s="416"/>
      <c r="D847" s="416"/>
      <c r="E847" s="416"/>
      <c r="F847" s="416"/>
      <c r="G847" s="416"/>
      <c r="H847" s="416"/>
      <c r="I847" s="416"/>
      <c r="J847" s="416"/>
      <c r="K847" s="416"/>
      <c r="L847" s="416"/>
      <c r="M847" s="416"/>
      <c r="N847" s="416"/>
    </row>
    <row r="848">
      <c r="A848" s="416"/>
      <c r="B848" s="416"/>
      <c r="C848" s="416"/>
      <c r="D848" s="416"/>
      <c r="E848" s="416"/>
      <c r="F848" s="416"/>
      <c r="G848" s="416"/>
      <c r="H848" s="416"/>
      <c r="I848" s="416"/>
      <c r="J848" s="416"/>
      <c r="K848" s="416"/>
      <c r="L848" s="416"/>
      <c r="M848" s="416"/>
      <c r="N848" s="416"/>
    </row>
    <row r="849">
      <c r="A849" s="416"/>
      <c r="B849" s="416"/>
      <c r="C849" s="416"/>
      <c r="D849" s="416"/>
      <c r="E849" s="416"/>
      <c r="F849" s="416"/>
      <c r="G849" s="416"/>
      <c r="H849" s="416"/>
      <c r="I849" s="416"/>
      <c r="J849" s="416"/>
      <c r="K849" s="416"/>
      <c r="L849" s="416"/>
      <c r="M849" s="416"/>
      <c r="N849" s="416"/>
    </row>
    <row r="850">
      <c r="A850" s="416"/>
      <c r="B850" s="416"/>
      <c r="C850" s="416"/>
      <c r="D850" s="416"/>
      <c r="E850" s="416"/>
      <c r="F850" s="416"/>
      <c r="G850" s="416"/>
      <c r="H850" s="416"/>
      <c r="I850" s="416"/>
      <c r="J850" s="416"/>
      <c r="K850" s="416"/>
      <c r="L850" s="416"/>
      <c r="M850" s="416"/>
      <c r="N850" s="416"/>
    </row>
    <row r="851">
      <c r="A851" s="416"/>
      <c r="B851" s="416"/>
      <c r="C851" s="416"/>
      <c r="D851" s="416"/>
      <c r="E851" s="416"/>
      <c r="F851" s="416"/>
      <c r="G851" s="416"/>
      <c r="H851" s="416"/>
      <c r="I851" s="416"/>
      <c r="J851" s="416"/>
      <c r="K851" s="416"/>
      <c r="L851" s="416"/>
      <c r="M851" s="416"/>
      <c r="N851" s="416"/>
    </row>
    <row r="852">
      <c r="A852" s="416"/>
      <c r="B852" s="416"/>
      <c r="C852" s="416"/>
      <c r="D852" s="416"/>
      <c r="E852" s="416"/>
      <c r="F852" s="416"/>
      <c r="G852" s="416"/>
      <c r="H852" s="416"/>
      <c r="I852" s="416"/>
      <c r="J852" s="416"/>
      <c r="K852" s="416"/>
      <c r="L852" s="416"/>
      <c r="M852" s="416"/>
      <c r="N852" s="416"/>
    </row>
    <row r="853">
      <c r="A853" s="416"/>
      <c r="B853" s="416"/>
      <c r="C853" s="416"/>
      <c r="D853" s="416"/>
      <c r="E853" s="416"/>
      <c r="F853" s="416"/>
      <c r="G853" s="416"/>
      <c r="H853" s="416"/>
      <c r="I853" s="416"/>
      <c r="J853" s="416"/>
      <c r="K853" s="416"/>
      <c r="L853" s="416"/>
      <c r="M853" s="416"/>
      <c r="N853" s="416"/>
    </row>
    <row r="854">
      <c r="A854" s="416"/>
      <c r="B854" s="416"/>
      <c r="C854" s="416"/>
      <c r="D854" s="416"/>
      <c r="E854" s="416"/>
      <c r="F854" s="416"/>
      <c r="G854" s="416"/>
      <c r="H854" s="416"/>
      <c r="I854" s="416"/>
      <c r="J854" s="416"/>
      <c r="K854" s="416"/>
      <c r="L854" s="416"/>
      <c r="M854" s="416"/>
      <c r="N854" s="416"/>
    </row>
    <row r="855">
      <c r="A855" s="416"/>
      <c r="B855" s="416"/>
      <c r="C855" s="416"/>
      <c r="D855" s="416"/>
      <c r="E855" s="416"/>
      <c r="F855" s="416"/>
      <c r="G855" s="416"/>
      <c r="H855" s="416"/>
      <c r="I855" s="416"/>
      <c r="J855" s="416"/>
      <c r="K855" s="416"/>
      <c r="L855" s="416"/>
      <c r="M855" s="416"/>
      <c r="N855" s="416"/>
    </row>
    <row r="856">
      <c r="A856" s="416"/>
      <c r="B856" s="416"/>
      <c r="C856" s="416"/>
      <c r="D856" s="416"/>
      <c r="E856" s="416"/>
      <c r="F856" s="416"/>
      <c r="G856" s="416"/>
      <c r="H856" s="416"/>
      <c r="I856" s="416"/>
      <c r="J856" s="416"/>
      <c r="K856" s="416"/>
      <c r="L856" s="416"/>
      <c r="M856" s="416"/>
      <c r="N856" s="416"/>
    </row>
    <row r="857">
      <c r="A857" s="416"/>
      <c r="B857" s="416"/>
      <c r="C857" s="416"/>
      <c r="D857" s="416"/>
      <c r="E857" s="416"/>
      <c r="F857" s="416"/>
      <c r="G857" s="416"/>
      <c r="H857" s="416"/>
      <c r="I857" s="416"/>
      <c r="J857" s="416"/>
      <c r="K857" s="416"/>
      <c r="L857" s="416"/>
      <c r="M857" s="416"/>
      <c r="N857" s="416"/>
    </row>
    <row r="858">
      <c r="A858" s="416"/>
      <c r="B858" s="416"/>
      <c r="C858" s="416"/>
      <c r="D858" s="416"/>
      <c r="E858" s="416"/>
      <c r="F858" s="416"/>
      <c r="G858" s="416"/>
      <c r="H858" s="416"/>
      <c r="I858" s="416"/>
      <c r="J858" s="416"/>
      <c r="K858" s="416"/>
      <c r="L858" s="416"/>
      <c r="M858" s="416"/>
      <c r="N858" s="416"/>
    </row>
    <row r="859">
      <c r="A859" s="416"/>
      <c r="B859" s="416"/>
      <c r="C859" s="416"/>
      <c r="D859" s="416"/>
      <c r="E859" s="416"/>
      <c r="F859" s="416"/>
      <c r="G859" s="416"/>
      <c r="H859" s="416"/>
      <c r="I859" s="416"/>
      <c r="J859" s="416"/>
      <c r="K859" s="416"/>
      <c r="L859" s="416"/>
      <c r="M859" s="416"/>
      <c r="N859" s="416"/>
    </row>
    <row r="860">
      <c r="A860" s="416"/>
      <c r="B860" s="416"/>
      <c r="C860" s="416"/>
      <c r="D860" s="416"/>
      <c r="E860" s="416"/>
      <c r="F860" s="416"/>
      <c r="G860" s="416"/>
      <c r="H860" s="416"/>
      <c r="I860" s="416"/>
      <c r="J860" s="416"/>
      <c r="K860" s="416"/>
      <c r="L860" s="416"/>
      <c r="M860" s="416"/>
      <c r="N860" s="416"/>
    </row>
    <row r="861">
      <c r="A861" s="416"/>
      <c r="B861" s="416"/>
      <c r="C861" s="416"/>
      <c r="D861" s="416"/>
      <c r="E861" s="416"/>
      <c r="F861" s="416"/>
      <c r="G861" s="416"/>
      <c r="H861" s="416"/>
      <c r="I861" s="416"/>
      <c r="J861" s="416"/>
      <c r="K861" s="416"/>
      <c r="L861" s="416"/>
      <c r="M861" s="416"/>
      <c r="N861" s="416"/>
    </row>
    <row r="862">
      <c r="A862" s="416"/>
      <c r="B862" s="416"/>
      <c r="C862" s="416"/>
      <c r="D862" s="416"/>
      <c r="E862" s="416"/>
      <c r="F862" s="416"/>
      <c r="G862" s="416"/>
      <c r="H862" s="416"/>
      <c r="I862" s="416"/>
      <c r="J862" s="416"/>
      <c r="K862" s="416"/>
      <c r="L862" s="416"/>
      <c r="M862" s="416"/>
      <c r="N862" s="416"/>
    </row>
    <row r="863">
      <c r="A863" s="416"/>
      <c r="B863" s="416"/>
      <c r="C863" s="416"/>
      <c r="D863" s="416"/>
      <c r="E863" s="416"/>
      <c r="F863" s="416"/>
      <c r="G863" s="416"/>
      <c r="H863" s="416"/>
      <c r="I863" s="416"/>
      <c r="J863" s="416"/>
      <c r="K863" s="416"/>
      <c r="L863" s="416"/>
      <c r="M863" s="416"/>
      <c r="N863" s="416"/>
    </row>
    <row r="864">
      <c r="A864" s="416"/>
      <c r="B864" s="416"/>
      <c r="C864" s="416"/>
      <c r="D864" s="416"/>
      <c r="E864" s="416"/>
      <c r="F864" s="416"/>
      <c r="G864" s="416"/>
      <c r="H864" s="416"/>
      <c r="I864" s="416"/>
      <c r="J864" s="416"/>
      <c r="K864" s="416"/>
      <c r="L864" s="416"/>
      <c r="M864" s="416"/>
      <c r="N864" s="416"/>
    </row>
    <row r="865">
      <c r="A865" s="416"/>
      <c r="B865" s="416"/>
      <c r="C865" s="416"/>
      <c r="D865" s="416"/>
      <c r="E865" s="416"/>
      <c r="F865" s="416"/>
      <c r="G865" s="416"/>
      <c r="H865" s="416"/>
      <c r="I865" s="416"/>
      <c r="J865" s="416"/>
      <c r="K865" s="416"/>
      <c r="L865" s="416"/>
      <c r="M865" s="416"/>
      <c r="N865" s="416"/>
    </row>
    <row r="866">
      <c r="A866" s="416"/>
      <c r="B866" s="416"/>
      <c r="C866" s="416"/>
      <c r="D866" s="416"/>
      <c r="E866" s="416"/>
      <c r="F866" s="416"/>
      <c r="G866" s="416"/>
      <c r="H866" s="416"/>
      <c r="I866" s="416"/>
      <c r="J866" s="416"/>
      <c r="K866" s="416"/>
      <c r="L866" s="416"/>
      <c r="M866" s="416"/>
      <c r="N866" s="416"/>
    </row>
    <row r="867">
      <c r="A867" s="416"/>
      <c r="B867" s="416"/>
      <c r="C867" s="416"/>
      <c r="D867" s="416"/>
      <c r="E867" s="416"/>
      <c r="F867" s="416"/>
      <c r="G867" s="416"/>
      <c r="H867" s="416"/>
      <c r="I867" s="416"/>
      <c r="J867" s="416"/>
      <c r="K867" s="416"/>
      <c r="L867" s="416"/>
      <c r="M867" s="416"/>
      <c r="N867" s="416"/>
    </row>
    <row r="868">
      <c r="A868" s="416"/>
      <c r="B868" s="416"/>
      <c r="C868" s="416"/>
      <c r="D868" s="416"/>
      <c r="E868" s="416"/>
      <c r="F868" s="416"/>
      <c r="G868" s="416"/>
      <c r="H868" s="416"/>
      <c r="I868" s="416"/>
      <c r="J868" s="416"/>
      <c r="K868" s="416"/>
      <c r="L868" s="416"/>
      <c r="M868" s="416"/>
      <c r="N868" s="416"/>
    </row>
    <row r="869">
      <c r="A869" s="416"/>
      <c r="B869" s="416"/>
      <c r="C869" s="416"/>
      <c r="D869" s="416"/>
      <c r="E869" s="416"/>
      <c r="F869" s="416"/>
      <c r="G869" s="416"/>
      <c r="H869" s="416"/>
      <c r="I869" s="416"/>
      <c r="J869" s="416"/>
      <c r="K869" s="416"/>
      <c r="L869" s="416"/>
      <c r="M869" s="416"/>
      <c r="N869" s="416"/>
    </row>
    <row r="870">
      <c r="A870" s="416"/>
      <c r="B870" s="416"/>
      <c r="C870" s="416"/>
      <c r="D870" s="416"/>
      <c r="E870" s="416"/>
      <c r="F870" s="416"/>
      <c r="G870" s="416"/>
      <c r="H870" s="416"/>
      <c r="I870" s="416"/>
      <c r="J870" s="416"/>
      <c r="K870" s="416"/>
      <c r="L870" s="416"/>
      <c r="M870" s="416"/>
      <c r="N870" s="416"/>
    </row>
    <row r="871">
      <c r="A871" s="416"/>
      <c r="B871" s="416"/>
      <c r="C871" s="416"/>
      <c r="D871" s="416"/>
      <c r="E871" s="416"/>
      <c r="F871" s="416"/>
      <c r="G871" s="416"/>
      <c r="H871" s="416"/>
      <c r="I871" s="416"/>
      <c r="J871" s="416"/>
      <c r="K871" s="416"/>
      <c r="L871" s="416"/>
      <c r="M871" s="416"/>
      <c r="N871" s="416"/>
    </row>
    <row r="872">
      <c r="A872" s="416"/>
      <c r="B872" s="416"/>
      <c r="C872" s="416"/>
      <c r="D872" s="416"/>
      <c r="E872" s="416"/>
      <c r="F872" s="416"/>
      <c r="G872" s="416"/>
      <c r="H872" s="416"/>
      <c r="I872" s="416"/>
      <c r="J872" s="416"/>
      <c r="K872" s="416"/>
      <c r="L872" s="416"/>
      <c r="M872" s="416"/>
      <c r="N872" s="416"/>
    </row>
    <row r="873">
      <c r="A873" s="416"/>
      <c r="B873" s="416"/>
      <c r="C873" s="416"/>
      <c r="D873" s="416"/>
      <c r="E873" s="416"/>
      <c r="F873" s="416"/>
      <c r="G873" s="416"/>
      <c r="H873" s="416"/>
      <c r="I873" s="416"/>
      <c r="J873" s="416"/>
      <c r="K873" s="416"/>
      <c r="L873" s="416"/>
      <c r="M873" s="416"/>
      <c r="N873" s="416"/>
    </row>
    <row r="874">
      <c r="A874" s="416"/>
      <c r="B874" s="416"/>
      <c r="C874" s="416"/>
      <c r="D874" s="416"/>
      <c r="E874" s="416"/>
      <c r="F874" s="416"/>
      <c r="G874" s="416"/>
      <c r="H874" s="416"/>
      <c r="I874" s="416"/>
      <c r="J874" s="416"/>
      <c r="K874" s="416"/>
      <c r="L874" s="416"/>
      <c r="M874" s="416"/>
      <c r="N874" s="416"/>
    </row>
    <row r="875">
      <c r="A875" s="416"/>
      <c r="B875" s="416"/>
      <c r="C875" s="416"/>
      <c r="D875" s="416"/>
      <c r="E875" s="416"/>
      <c r="F875" s="416"/>
      <c r="G875" s="416"/>
      <c r="H875" s="416"/>
      <c r="I875" s="416"/>
      <c r="J875" s="416"/>
      <c r="K875" s="416"/>
      <c r="L875" s="416"/>
      <c r="M875" s="416"/>
      <c r="N875" s="416"/>
    </row>
    <row r="876">
      <c r="A876" s="416"/>
      <c r="B876" s="416"/>
      <c r="C876" s="416"/>
      <c r="D876" s="416"/>
      <c r="E876" s="416"/>
      <c r="F876" s="416"/>
      <c r="G876" s="416"/>
      <c r="H876" s="416"/>
      <c r="I876" s="416"/>
      <c r="J876" s="416"/>
      <c r="K876" s="416"/>
      <c r="L876" s="416"/>
      <c r="M876" s="416"/>
      <c r="N876" s="416"/>
    </row>
    <row r="877">
      <c r="A877" s="416"/>
      <c r="B877" s="416"/>
      <c r="C877" s="416"/>
      <c r="D877" s="416"/>
      <c r="E877" s="416"/>
      <c r="F877" s="416"/>
      <c r="G877" s="416"/>
      <c r="H877" s="416"/>
      <c r="I877" s="416"/>
      <c r="J877" s="416"/>
      <c r="K877" s="416"/>
      <c r="L877" s="416"/>
      <c r="M877" s="416"/>
      <c r="N877" s="416"/>
    </row>
    <row r="878">
      <c r="A878" s="416"/>
      <c r="B878" s="416"/>
      <c r="C878" s="416"/>
      <c r="D878" s="416"/>
      <c r="E878" s="416"/>
      <c r="F878" s="416"/>
      <c r="G878" s="416"/>
      <c r="H878" s="416"/>
      <c r="I878" s="416"/>
      <c r="J878" s="416"/>
      <c r="K878" s="416"/>
      <c r="L878" s="416"/>
      <c r="M878" s="416"/>
      <c r="N878" s="416"/>
    </row>
    <row r="879">
      <c r="A879" s="416"/>
      <c r="B879" s="416"/>
      <c r="C879" s="416"/>
      <c r="D879" s="416"/>
      <c r="E879" s="416"/>
      <c r="F879" s="416"/>
      <c r="G879" s="416"/>
      <c r="H879" s="416"/>
      <c r="I879" s="416"/>
      <c r="J879" s="416"/>
      <c r="K879" s="416"/>
      <c r="L879" s="416"/>
      <c r="M879" s="416"/>
      <c r="N879" s="416"/>
    </row>
    <row r="880">
      <c r="A880" s="416"/>
      <c r="B880" s="416"/>
      <c r="C880" s="416"/>
      <c r="D880" s="416"/>
      <c r="E880" s="416"/>
      <c r="F880" s="416"/>
      <c r="G880" s="416"/>
      <c r="H880" s="416"/>
      <c r="I880" s="416"/>
      <c r="J880" s="416"/>
      <c r="K880" s="416"/>
      <c r="L880" s="416"/>
      <c r="M880" s="416"/>
      <c r="N880" s="416"/>
    </row>
    <row r="881">
      <c r="A881" s="416"/>
      <c r="B881" s="416"/>
      <c r="C881" s="416"/>
      <c r="D881" s="416"/>
      <c r="E881" s="416"/>
      <c r="F881" s="416"/>
      <c r="G881" s="416"/>
      <c r="H881" s="416"/>
      <c r="I881" s="416"/>
      <c r="J881" s="416"/>
      <c r="K881" s="416"/>
      <c r="L881" s="416"/>
      <c r="M881" s="416"/>
      <c r="N881" s="416"/>
    </row>
    <row r="882">
      <c r="A882" s="416"/>
      <c r="B882" s="416"/>
      <c r="C882" s="416"/>
      <c r="D882" s="416"/>
      <c r="E882" s="416"/>
      <c r="F882" s="416"/>
      <c r="G882" s="416"/>
      <c r="H882" s="416"/>
      <c r="I882" s="416"/>
      <c r="J882" s="416"/>
      <c r="K882" s="416"/>
      <c r="L882" s="416"/>
      <c r="M882" s="416"/>
      <c r="N882" s="416"/>
    </row>
    <row r="883">
      <c r="A883" s="416"/>
      <c r="B883" s="416"/>
      <c r="C883" s="416"/>
      <c r="D883" s="416"/>
      <c r="E883" s="416"/>
      <c r="F883" s="416"/>
      <c r="G883" s="416"/>
      <c r="H883" s="416"/>
      <c r="I883" s="416"/>
      <c r="J883" s="416"/>
      <c r="K883" s="416"/>
      <c r="L883" s="416"/>
      <c r="M883" s="416"/>
      <c r="N883" s="416"/>
    </row>
    <row r="884">
      <c r="A884" s="416"/>
      <c r="B884" s="416"/>
      <c r="C884" s="416"/>
      <c r="D884" s="416"/>
      <c r="E884" s="416"/>
      <c r="F884" s="416"/>
      <c r="G884" s="416"/>
      <c r="H884" s="416"/>
      <c r="I884" s="416"/>
      <c r="J884" s="416"/>
      <c r="K884" s="416"/>
      <c r="L884" s="416"/>
      <c r="M884" s="416"/>
      <c r="N884" s="416"/>
    </row>
    <row r="885">
      <c r="A885" s="416"/>
      <c r="B885" s="416"/>
      <c r="C885" s="416"/>
      <c r="D885" s="416"/>
      <c r="E885" s="416"/>
      <c r="F885" s="416"/>
      <c r="G885" s="416"/>
      <c r="H885" s="416"/>
      <c r="I885" s="416"/>
      <c r="J885" s="416"/>
      <c r="K885" s="416"/>
      <c r="L885" s="416"/>
      <c r="M885" s="416"/>
      <c r="N885" s="416"/>
    </row>
    <row r="886">
      <c r="A886" s="416"/>
      <c r="B886" s="416"/>
      <c r="C886" s="416"/>
      <c r="D886" s="416"/>
      <c r="E886" s="416"/>
      <c r="F886" s="416"/>
      <c r="G886" s="416"/>
      <c r="H886" s="416"/>
      <c r="I886" s="416"/>
      <c r="J886" s="416"/>
      <c r="K886" s="416"/>
      <c r="L886" s="416"/>
      <c r="M886" s="416"/>
      <c r="N886" s="416"/>
    </row>
    <row r="887">
      <c r="A887" s="416"/>
      <c r="B887" s="416"/>
      <c r="C887" s="416"/>
      <c r="D887" s="416"/>
      <c r="E887" s="416"/>
      <c r="F887" s="416"/>
      <c r="G887" s="416"/>
      <c r="H887" s="416"/>
      <c r="I887" s="416"/>
      <c r="J887" s="416"/>
      <c r="K887" s="416"/>
      <c r="L887" s="416"/>
      <c r="M887" s="416"/>
      <c r="N887" s="416"/>
    </row>
    <row r="888">
      <c r="A888" s="416"/>
      <c r="B888" s="416"/>
      <c r="C888" s="416"/>
      <c r="D888" s="416"/>
      <c r="E888" s="416"/>
      <c r="F888" s="416"/>
      <c r="G888" s="416"/>
      <c r="H888" s="416"/>
      <c r="I888" s="416"/>
      <c r="J888" s="416"/>
      <c r="K888" s="416"/>
      <c r="L888" s="416"/>
      <c r="M888" s="416"/>
      <c r="N888" s="416"/>
    </row>
    <row r="889">
      <c r="A889" s="416"/>
      <c r="B889" s="416"/>
      <c r="C889" s="416"/>
      <c r="D889" s="416"/>
      <c r="E889" s="416"/>
      <c r="F889" s="416"/>
      <c r="G889" s="416"/>
      <c r="H889" s="416"/>
      <c r="I889" s="416"/>
      <c r="J889" s="416"/>
      <c r="K889" s="416"/>
      <c r="L889" s="416"/>
      <c r="M889" s="416"/>
      <c r="N889" s="416"/>
    </row>
    <row r="890">
      <c r="A890" s="416"/>
      <c r="B890" s="416"/>
      <c r="C890" s="416"/>
      <c r="D890" s="416"/>
      <c r="E890" s="416"/>
      <c r="F890" s="416"/>
      <c r="G890" s="416"/>
      <c r="H890" s="416"/>
      <c r="I890" s="416"/>
      <c r="J890" s="416"/>
      <c r="K890" s="416"/>
      <c r="L890" s="416"/>
      <c r="M890" s="416"/>
      <c r="N890" s="416"/>
    </row>
    <row r="891">
      <c r="A891" s="416"/>
      <c r="B891" s="416"/>
      <c r="C891" s="416"/>
      <c r="D891" s="416"/>
      <c r="E891" s="416"/>
      <c r="F891" s="416"/>
      <c r="G891" s="416"/>
      <c r="H891" s="416"/>
      <c r="I891" s="416"/>
      <c r="J891" s="416"/>
      <c r="K891" s="416"/>
      <c r="L891" s="416"/>
      <c r="M891" s="416"/>
      <c r="N891" s="416"/>
    </row>
    <row r="892">
      <c r="A892" s="416"/>
      <c r="B892" s="416"/>
      <c r="C892" s="416"/>
      <c r="D892" s="416"/>
      <c r="E892" s="416"/>
      <c r="F892" s="416"/>
      <c r="G892" s="416"/>
      <c r="H892" s="416"/>
      <c r="I892" s="416"/>
      <c r="J892" s="416"/>
      <c r="K892" s="416"/>
      <c r="L892" s="416"/>
      <c r="M892" s="416"/>
      <c r="N892" s="416"/>
    </row>
    <row r="893">
      <c r="A893" s="416"/>
      <c r="B893" s="416"/>
      <c r="C893" s="416"/>
      <c r="D893" s="416"/>
      <c r="E893" s="416"/>
      <c r="F893" s="416"/>
      <c r="G893" s="416"/>
      <c r="H893" s="416"/>
      <c r="I893" s="416"/>
      <c r="J893" s="416"/>
      <c r="K893" s="416"/>
      <c r="L893" s="416"/>
      <c r="M893" s="416"/>
      <c r="N893" s="416"/>
    </row>
    <row r="894">
      <c r="A894" s="416"/>
      <c r="B894" s="416"/>
      <c r="C894" s="416"/>
      <c r="D894" s="416"/>
      <c r="E894" s="416"/>
      <c r="F894" s="416"/>
      <c r="G894" s="416"/>
      <c r="H894" s="416"/>
      <c r="I894" s="416"/>
      <c r="J894" s="416"/>
      <c r="K894" s="416"/>
      <c r="L894" s="416"/>
      <c r="M894" s="416"/>
      <c r="N894" s="416"/>
    </row>
    <row r="895">
      <c r="A895" s="416"/>
      <c r="B895" s="416"/>
      <c r="C895" s="416"/>
      <c r="D895" s="416"/>
      <c r="E895" s="416"/>
      <c r="F895" s="416"/>
      <c r="G895" s="416"/>
      <c r="H895" s="416"/>
      <c r="I895" s="416"/>
      <c r="J895" s="416"/>
      <c r="K895" s="416"/>
      <c r="L895" s="416"/>
      <c r="M895" s="416"/>
      <c r="N895" s="416"/>
    </row>
    <row r="896">
      <c r="A896" s="416"/>
      <c r="B896" s="416"/>
      <c r="C896" s="416"/>
      <c r="D896" s="416"/>
      <c r="E896" s="416"/>
      <c r="F896" s="416"/>
      <c r="G896" s="416"/>
      <c r="H896" s="416"/>
      <c r="I896" s="416"/>
      <c r="J896" s="416"/>
      <c r="K896" s="416"/>
      <c r="L896" s="416"/>
      <c r="M896" s="416"/>
      <c r="N896" s="416"/>
    </row>
    <row r="897">
      <c r="A897" s="416"/>
      <c r="B897" s="416"/>
      <c r="C897" s="416"/>
      <c r="D897" s="416"/>
      <c r="E897" s="416"/>
      <c r="F897" s="416"/>
      <c r="G897" s="416"/>
      <c r="H897" s="416"/>
      <c r="I897" s="416"/>
      <c r="J897" s="416"/>
      <c r="K897" s="416"/>
      <c r="L897" s="416"/>
      <c r="M897" s="416"/>
      <c r="N897" s="416"/>
    </row>
    <row r="898">
      <c r="A898" s="416"/>
      <c r="B898" s="416"/>
      <c r="C898" s="416"/>
      <c r="D898" s="416"/>
      <c r="E898" s="416"/>
      <c r="F898" s="416"/>
      <c r="G898" s="416"/>
      <c r="H898" s="416"/>
      <c r="I898" s="416"/>
      <c r="J898" s="416"/>
      <c r="K898" s="416"/>
      <c r="L898" s="416"/>
      <c r="M898" s="416"/>
      <c r="N898" s="416"/>
    </row>
    <row r="899">
      <c r="A899" s="416"/>
      <c r="B899" s="416"/>
      <c r="C899" s="416"/>
      <c r="D899" s="416"/>
      <c r="E899" s="416"/>
      <c r="F899" s="416"/>
      <c r="G899" s="416"/>
      <c r="H899" s="416"/>
      <c r="I899" s="416"/>
      <c r="J899" s="416"/>
      <c r="K899" s="416"/>
      <c r="L899" s="416"/>
      <c r="M899" s="416"/>
      <c r="N899" s="416"/>
    </row>
    <row r="900">
      <c r="A900" s="416"/>
      <c r="B900" s="416"/>
      <c r="C900" s="416"/>
      <c r="D900" s="416"/>
      <c r="E900" s="416"/>
      <c r="F900" s="416"/>
      <c r="G900" s="416"/>
      <c r="H900" s="416"/>
      <c r="I900" s="416"/>
      <c r="J900" s="416"/>
      <c r="K900" s="416"/>
      <c r="L900" s="416"/>
      <c r="M900" s="416"/>
      <c r="N900" s="416"/>
    </row>
    <row r="901">
      <c r="A901" s="416"/>
      <c r="B901" s="416"/>
      <c r="C901" s="416"/>
      <c r="D901" s="416"/>
      <c r="E901" s="416"/>
      <c r="F901" s="416"/>
      <c r="G901" s="416"/>
      <c r="H901" s="416"/>
      <c r="I901" s="416"/>
      <c r="J901" s="416"/>
      <c r="K901" s="416"/>
      <c r="L901" s="416"/>
      <c r="M901" s="416"/>
      <c r="N901" s="416"/>
    </row>
    <row r="902">
      <c r="A902" s="416"/>
      <c r="B902" s="416"/>
      <c r="C902" s="416"/>
      <c r="D902" s="416"/>
      <c r="E902" s="416"/>
      <c r="F902" s="416"/>
      <c r="G902" s="416"/>
      <c r="H902" s="416"/>
      <c r="I902" s="416"/>
      <c r="J902" s="416"/>
      <c r="K902" s="416"/>
      <c r="L902" s="416"/>
      <c r="M902" s="416"/>
      <c r="N902" s="416"/>
    </row>
    <row r="903">
      <c r="A903" s="416"/>
      <c r="B903" s="416"/>
      <c r="C903" s="416"/>
      <c r="D903" s="416"/>
      <c r="E903" s="416"/>
      <c r="F903" s="416"/>
      <c r="G903" s="416"/>
      <c r="H903" s="416"/>
      <c r="I903" s="416"/>
      <c r="J903" s="416"/>
      <c r="K903" s="416"/>
      <c r="L903" s="416"/>
      <c r="M903" s="416"/>
      <c r="N903" s="416"/>
    </row>
    <row r="904">
      <c r="A904" s="416"/>
      <c r="B904" s="416"/>
      <c r="C904" s="416"/>
      <c r="D904" s="416"/>
      <c r="E904" s="416"/>
      <c r="F904" s="416"/>
      <c r="G904" s="416"/>
      <c r="H904" s="416"/>
      <c r="I904" s="416"/>
      <c r="J904" s="416"/>
      <c r="K904" s="416"/>
      <c r="L904" s="416"/>
      <c r="M904" s="416"/>
      <c r="N904" s="416"/>
    </row>
    <row r="905">
      <c r="A905" s="416"/>
      <c r="B905" s="416"/>
      <c r="C905" s="416"/>
      <c r="D905" s="416"/>
      <c r="E905" s="416"/>
      <c r="F905" s="416"/>
      <c r="G905" s="416"/>
      <c r="H905" s="416"/>
      <c r="I905" s="416"/>
      <c r="J905" s="416"/>
      <c r="K905" s="416"/>
      <c r="L905" s="416"/>
      <c r="M905" s="416"/>
      <c r="N905" s="416"/>
    </row>
    <row r="906">
      <c r="A906" s="416"/>
      <c r="B906" s="416"/>
      <c r="C906" s="416"/>
      <c r="D906" s="416"/>
      <c r="E906" s="416"/>
      <c r="F906" s="416"/>
      <c r="G906" s="416"/>
      <c r="H906" s="416"/>
      <c r="I906" s="416"/>
      <c r="J906" s="416"/>
      <c r="K906" s="416"/>
      <c r="L906" s="416"/>
      <c r="M906" s="416"/>
      <c r="N906" s="416"/>
    </row>
    <row r="907">
      <c r="A907" s="416"/>
      <c r="B907" s="416"/>
      <c r="C907" s="416"/>
      <c r="D907" s="416"/>
      <c r="E907" s="416"/>
      <c r="F907" s="416"/>
      <c r="G907" s="416"/>
      <c r="H907" s="416"/>
      <c r="I907" s="416"/>
      <c r="J907" s="416"/>
      <c r="K907" s="416"/>
      <c r="L907" s="416"/>
      <c r="M907" s="416"/>
      <c r="N907" s="416"/>
    </row>
    <row r="908">
      <c r="A908" s="416"/>
      <c r="B908" s="416"/>
      <c r="C908" s="416"/>
      <c r="D908" s="416"/>
      <c r="E908" s="416"/>
      <c r="F908" s="416"/>
      <c r="G908" s="416"/>
      <c r="H908" s="416"/>
      <c r="I908" s="416"/>
      <c r="J908" s="416"/>
      <c r="K908" s="416"/>
      <c r="L908" s="416"/>
      <c r="M908" s="416"/>
      <c r="N908" s="416"/>
    </row>
    <row r="909">
      <c r="A909" s="416"/>
      <c r="B909" s="416"/>
      <c r="C909" s="416"/>
      <c r="D909" s="416"/>
      <c r="E909" s="416"/>
      <c r="F909" s="416"/>
      <c r="G909" s="416"/>
      <c r="H909" s="416"/>
      <c r="I909" s="416"/>
      <c r="J909" s="416"/>
      <c r="K909" s="416"/>
      <c r="L909" s="416"/>
      <c r="M909" s="416"/>
      <c r="N909" s="416"/>
    </row>
    <row r="910">
      <c r="A910" s="416"/>
      <c r="B910" s="416"/>
      <c r="C910" s="416"/>
      <c r="D910" s="416"/>
      <c r="E910" s="416"/>
      <c r="F910" s="416"/>
      <c r="G910" s="416"/>
      <c r="H910" s="416"/>
      <c r="I910" s="416"/>
      <c r="J910" s="416"/>
      <c r="K910" s="416"/>
      <c r="L910" s="416"/>
      <c r="M910" s="416"/>
      <c r="N910" s="416"/>
    </row>
    <row r="911">
      <c r="A911" s="416"/>
      <c r="B911" s="416"/>
      <c r="C911" s="416"/>
      <c r="D911" s="416"/>
      <c r="E911" s="416"/>
      <c r="F911" s="416"/>
      <c r="G911" s="416"/>
      <c r="H911" s="416"/>
      <c r="I911" s="416"/>
      <c r="J911" s="416"/>
      <c r="K911" s="416"/>
      <c r="L911" s="416"/>
      <c r="M911" s="416"/>
      <c r="N911" s="416"/>
    </row>
    <row r="912">
      <c r="A912" s="416"/>
      <c r="B912" s="416"/>
      <c r="C912" s="416"/>
      <c r="D912" s="416"/>
      <c r="E912" s="416"/>
      <c r="F912" s="416"/>
      <c r="G912" s="416"/>
      <c r="H912" s="416"/>
      <c r="I912" s="416"/>
      <c r="J912" s="416"/>
      <c r="K912" s="416"/>
      <c r="L912" s="416"/>
      <c r="M912" s="416"/>
      <c r="N912" s="416"/>
    </row>
    <row r="913">
      <c r="A913" s="416"/>
      <c r="B913" s="416"/>
      <c r="C913" s="416"/>
      <c r="D913" s="416"/>
      <c r="E913" s="416"/>
      <c r="F913" s="416"/>
      <c r="G913" s="416"/>
      <c r="H913" s="416"/>
      <c r="I913" s="416"/>
      <c r="J913" s="416"/>
      <c r="K913" s="416"/>
      <c r="L913" s="416"/>
      <c r="M913" s="416"/>
      <c r="N913" s="416"/>
    </row>
    <row r="914">
      <c r="A914" s="416"/>
      <c r="B914" s="416"/>
      <c r="C914" s="416"/>
      <c r="D914" s="416"/>
      <c r="E914" s="416"/>
      <c r="F914" s="416"/>
      <c r="G914" s="416"/>
      <c r="H914" s="416"/>
      <c r="I914" s="416"/>
      <c r="J914" s="416"/>
      <c r="K914" s="416"/>
      <c r="L914" s="416"/>
      <c r="M914" s="416"/>
      <c r="N914" s="416"/>
    </row>
    <row r="915">
      <c r="A915" s="416"/>
      <c r="B915" s="416"/>
      <c r="C915" s="416"/>
      <c r="D915" s="416"/>
      <c r="E915" s="416"/>
      <c r="F915" s="416"/>
      <c r="G915" s="416"/>
      <c r="H915" s="416"/>
      <c r="I915" s="416"/>
      <c r="J915" s="416"/>
      <c r="K915" s="416"/>
      <c r="L915" s="416"/>
      <c r="M915" s="416"/>
      <c r="N915" s="416"/>
    </row>
    <row r="916">
      <c r="A916" s="416"/>
      <c r="B916" s="416"/>
      <c r="C916" s="416"/>
      <c r="D916" s="416"/>
      <c r="E916" s="416"/>
      <c r="F916" s="416"/>
      <c r="G916" s="416"/>
      <c r="H916" s="416"/>
      <c r="I916" s="416"/>
      <c r="J916" s="416"/>
      <c r="K916" s="416"/>
      <c r="L916" s="416"/>
      <c r="M916" s="416"/>
      <c r="N916" s="416"/>
    </row>
    <row r="917">
      <c r="A917" s="416"/>
      <c r="B917" s="416"/>
      <c r="C917" s="416"/>
      <c r="D917" s="416"/>
      <c r="E917" s="416"/>
      <c r="F917" s="416"/>
      <c r="G917" s="416"/>
      <c r="H917" s="416"/>
      <c r="I917" s="416"/>
      <c r="J917" s="416"/>
      <c r="K917" s="416"/>
      <c r="L917" s="416"/>
      <c r="M917" s="416"/>
      <c r="N917" s="416"/>
    </row>
    <row r="918">
      <c r="A918" s="416"/>
      <c r="B918" s="416"/>
      <c r="C918" s="416"/>
      <c r="D918" s="416"/>
      <c r="E918" s="416"/>
      <c r="F918" s="416"/>
      <c r="G918" s="416"/>
      <c r="H918" s="416"/>
      <c r="I918" s="416"/>
      <c r="J918" s="416"/>
      <c r="K918" s="416"/>
      <c r="L918" s="416"/>
      <c r="M918" s="416"/>
      <c r="N918" s="416"/>
    </row>
    <row r="919">
      <c r="A919" s="416"/>
      <c r="B919" s="416"/>
      <c r="C919" s="416"/>
      <c r="D919" s="416"/>
      <c r="E919" s="416"/>
      <c r="F919" s="416"/>
      <c r="G919" s="416"/>
      <c r="H919" s="416"/>
      <c r="I919" s="416"/>
      <c r="J919" s="416"/>
      <c r="K919" s="416"/>
      <c r="L919" s="416"/>
      <c r="M919" s="416"/>
      <c r="N919" s="416"/>
    </row>
    <row r="920">
      <c r="A920" s="416"/>
      <c r="B920" s="416"/>
      <c r="C920" s="416"/>
      <c r="D920" s="416"/>
      <c r="E920" s="416"/>
      <c r="F920" s="416"/>
      <c r="G920" s="416"/>
      <c r="H920" s="416"/>
      <c r="I920" s="416"/>
      <c r="J920" s="416"/>
      <c r="K920" s="416"/>
      <c r="L920" s="416"/>
      <c r="M920" s="416"/>
      <c r="N920" s="416"/>
    </row>
    <row r="921">
      <c r="A921" s="416"/>
      <c r="B921" s="416"/>
      <c r="C921" s="416"/>
      <c r="D921" s="416"/>
      <c r="E921" s="416"/>
      <c r="F921" s="416"/>
      <c r="G921" s="416"/>
      <c r="H921" s="416"/>
      <c r="I921" s="416"/>
      <c r="J921" s="416"/>
      <c r="K921" s="416"/>
      <c r="L921" s="416"/>
      <c r="M921" s="416"/>
      <c r="N921" s="416"/>
    </row>
    <row r="922">
      <c r="A922" s="416"/>
      <c r="B922" s="416"/>
      <c r="C922" s="416"/>
      <c r="D922" s="416"/>
      <c r="E922" s="416"/>
      <c r="F922" s="416"/>
      <c r="G922" s="416"/>
      <c r="H922" s="416"/>
      <c r="I922" s="416"/>
      <c r="J922" s="416"/>
      <c r="K922" s="416"/>
      <c r="L922" s="416"/>
      <c r="M922" s="416"/>
      <c r="N922" s="416"/>
    </row>
    <row r="923">
      <c r="A923" s="416"/>
      <c r="B923" s="416"/>
      <c r="C923" s="416"/>
      <c r="D923" s="416"/>
      <c r="E923" s="416"/>
      <c r="F923" s="416"/>
      <c r="G923" s="416"/>
      <c r="H923" s="416"/>
      <c r="I923" s="416"/>
      <c r="J923" s="416"/>
      <c r="K923" s="416"/>
      <c r="L923" s="416"/>
      <c r="M923" s="416"/>
      <c r="N923" s="416"/>
    </row>
    <row r="924">
      <c r="A924" s="416"/>
      <c r="B924" s="416"/>
      <c r="C924" s="416"/>
      <c r="D924" s="416"/>
      <c r="E924" s="416"/>
      <c r="F924" s="416"/>
      <c r="G924" s="416"/>
      <c r="H924" s="416"/>
      <c r="I924" s="416"/>
      <c r="J924" s="416"/>
      <c r="K924" s="416"/>
      <c r="L924" s="416"/>
      <c r="M924" s="416"/>
      <c r="N924" s="416"/>
    </row>
    <row r="925">
      <c r="A925" s="416"/>
      <c r="B925" s="416"/>
      <c r="C925" s="416"/>
      <c r="D925" s="416"/>
      <c r="E925" s="416"/>
      <c r="F925" s="416"/>
      <c r="G925" s="416"/>
      <c r="H925" s="416"/>
      <c r="I925" s="416"/>
      <c r="J925" s="416"/>
      <c r="K925" s="416"/>
      <c r="L925" s="416"/>
      <c r="M925" s="416"/>
      <c r="N925" s="416"/>
    </row>
    <row r="926">
      <c r="A926" s="416"/>
      <c r="B926" s="416"/>
      <c r="C926" s="416"/>
      <c r="D926" s="416"/>
      <c r="E926" s="416"/>
      <c r="F926" s="416"/>
      <c r="G926" s="416"/>
      <c r="H926" s="416"/>
      <c r="I926" s="416"/>
      <c r="J926" s="416"/>
      <c r="K926" s="416"/>
      <c r="L926" s="416"/>
      <c r="M926" s="416"/>
      <c r="N926" s="416"/>
    </row>
    <row r="927">
      <c r="A927" s="416"/>
      <c r="B927" s="416"/>
      <c r="C927" s="416"/>
      <c r="D927" s="416"/>
      <c r="E927" s="416"/>
      <c r="F927" s="416"/>
      <c r="G927" s="416"/>
      <c r="H927" s="416"/>
      <c r="I927" s="416"/>
      <c r="J927" s="416"/>
      <c r="K927" s="416"/>
      <c r="L927" s="416"/>
      <c r="M927" s="416"/>
      <c r="N927" s="416"/>
    </row>
    <row r="928">
      <c r="A928" s="416"/>
      <c r="B928" s="416"/>
      <c r="C928" s="416"/>
      <c r="D928" s="416"/>
      <c r="E928" s="416"/>
      <c r="F928" s="416"/>
      <c r="G928" s="416"/>
      <c r="H928" s="416"/>
      <c r="I928" s="416"/>
      <c r="J928" s="416"/>
      <c r="K928" s="416"/>
      <c r="L928" s="416"/>
      <c r="M928" s="416"/>
      <c r="N928" s="416"/>
    </row>
    <row r="929">
      <c r="A929" s="416"/>
      <c r="B929" s="416"/>
      <c r="C929" s="416"/>
      <c r="D929" s="416"/>
      <c r="E929" s="416"/>
      <c r="F929" s="416"/>
      <c r="G929" s="416"/>
      <c r="H929" s="416"/>
      <c r="I929" s="416"/>
      <c r="J929" s="416"/>
      <c r="K929" s="416"/>
      <c r="L929" s="416"/>
      <c r="M929" s="416"/>
      <c r="N929" s="416"/>
    </row>
    <row r="930">
      <c r="A930" s="416"/>
      <c r="B930" s="416"/>
      <c r="C930" s="416"/>
      <c r="D930" s="416"/>
      <c r="E930" s="416"/>
      <c r="F930" s="416"/>
      <c r="G930" s="416"/>
      <c r="H930" s="416"/>
      <c r="I930" s="416"/>
      <c r="J930" s="416"/>
      <c r="K930" s="416"/>
      <c r="L930" s="416"/>
      <c r="M930" s="416"/>
      <c r="N930" s="416"/>
    </row>
    <row r="931">
      <c r="A931" s="416"/>
      <c r="B931" s="416"/>
      <c r="C931" s="416"/>
      <c r="D931" s="416"/>
      <c r="E931" s="416"/>
      <c r="F931" s="416"/>
      <c r="G931" s="416"/>
      <c r="H931" s="416"/>
      <c r="I931" s="416"/>
      <c r="J931" s="416"/>
      <c r="K931" s="416"/>
      <c r="L931" s="416"/>
      <c r="M931" s="416"/>
      <c r="N931" s="416"/>
    </row>
    <row r="932">
      <c r="A932" s="416"/>
      <c r="B932" s="416"/>
      <c r="C932" s="416"/>
      <c r="D932" s="416"/>
      <c r="E932" s="416"/>
      <c r="F932" s="416"/>
      <c r="G932" s="416"/>
      <c r="H932" s="416"/>
      <c r="I932" s="416"/>
      <c r="J932" s="416"/>
      <c r="K932" s="416"/>
      <c r="L932" s="416"/>
      <c r="M932" s="416"/>
      <c r="N932" s="416"/>
    </row>
    <row r="933">
      <c r="A933" s="416"/>
      <c r="B933" s="416"/>
      <c r="C933" s="416"/>
      <c r="D933" s="416"/>
      <c r="E933" s="416"/>
      <c r="F933" s="416"/>
      <c r="G933" s="416"/>
      <c r="H933" s="416"/>
      <c r="I933" s="416"/>
      <c r="J933" s="416"/>
      <c r="K933" s="416"/>
      <c r="L933" s="416"/>
      <c r="M933" s="416"/>
      <c r="N933" s="416"/>
    </row>
    <row r="934">
      <c r="A934" s="416"/>
      <c r="B934" s="416"/>
      <c r="C934" s="416"/>
      <c r="D934" s="416"/>
      <c r="E934" s="416"/>
      <c r="F934" s="416"/>
      <c r="G934" s="416"/>
      <c r="H934" s="416"/>
      <c r="I934" s="416"/>
      <c r="J934" s="416"/>
      <c r="K934" s="416"/>
      <c r="L934" s="416"/>
      <c r="M934" s="416"/>
      <c r="N934" s="416"/>
    </row>
    <row r="935">
      <c r="A935" s="416"/>
      <c r="B935" s="416"/>
      <c r="C935" s="416"/>
      <c r="D935" s="416"/>
      <c r="E935" s="416"/>
      <c r="F935" s="416"/>
      <c r="G935" s="416"/>
      <c r="H935" s="416"/>
      <c r="I935" s="416"/>
      <c r="J935" s="416"/>
      <c r="K935" s="416"/>
      <c r="L935" s="416"/>
      <c r="M935" s="416"/>
      <c r="N935" s="416"/>
    </row>
    <row r="936">
      <c r="A936" s="416"/>
      <c r="B936" s="416"/>
      <c r="C936" s="416"/>
      <c r="D936" s="416"/>
      <c r="E936" s="416"/>
      <c r="F936" s="416"/>
      <c r="G936" s="416"/>
      <c r="H936" s="416"/>
      <c r="I936" s="416"/>
      <c r="J936" s="416"/>
      <c r="K936" s="416"/>
      <c r="L936" s="416"/>
      <c r="M936" s="416"/>
      <c r="N936" s="416"/>
    </row>
    <row r="937">
      <c r="A937" s="416"/>
      <c r="B937" s="416"/>
      <c r="C937" s="416"/>
      <c r="D937" s="416"/>
      <c r="E937" s="416"/>
      <c r="F937" s="416"/>
      <c r="G937" s="416"/>
      <c r="H937" s="416"/>
      <c r="I937" s="416"/>
      <c r="J937" s="416"/>
      <c r="K937" s="416"/>
      <c r="L937" s="416"/>
      <c r="M937" s="416"/>
      <c r="N937" s="416"/>
    </row>
    <row r="938">
      <c r="A938" s="416"/>
      <c r="B938" s="416"/>
      <c r="C938" s="416"/>
      <c r="D938" s="416"/>
      <c r="E938" s="416"/>
      <c r="F938" s="416"/>
      <c r="G938" s="416"/>
      <c r="H938" s="416"/>
      <c r="I938" s="416"/>
      <c r="J938" s="416"/>
      <c r="K938" s="416"/>
      <c r="L938" s="416"/>
      <c r="M938" s="416"/>
      <c r="N938" s="416"/>
    </row>
    <row r="939">
      <c r="A939" s="416"/>
      <c r="B939" s="416"/>
      <c r="C939" s="416"/>
      <c r="D939" s="416"/>
      <c r="E939" s="416"/>
      <c r="F939" s="416"/>
      <c r="G939" s="416"/>
      <c r="H939" s="416"/>
      <c r="I939" s="416"/>
      <c r="J939" s="416"/>
      <c r="K939" s="416"/>
      <c r="L939" s="416"/>
      <c r="M939" s="416"/>
      <c r="N939" s="416"/>
    </row>
    <row r="940">
      <c r="A940" s="416"/>
      <c r="B940" s="416"/>
      <c r="C940" s="416"/>
      <c r="D940" s="416"/>
      <c r="E940" s="416"/>
      <c r="F940" s="416"/>
      <c r="G940" s="416"/>
      <c r="H940" s="416"/>
      <c r="I940" s="416"/>
      <c r="J940" s="416"/>
      <c r="K940" s="416"/>
      <c r="L940" s="416"/>
      <c r="M940" s="416"/>
      <c r="N940" s="416"/>
    </row>
    <row r="941">
      <c r="A941" s="416"/>
      <c r="B941" s="416"/>
      <c r="C941" s="416"/>
      <c r="D941" s="416"/>
      <c r="E941" s="416"/>
      <c r="F941" s="416"/>
      <c r="G941" s="416"/>
      <c r="H941" s="416"/>
      <c r="I941" s="416"/>
      <c r="J941" s="416"/>
      <c r="K941" s="416"/>
      <c r="L941" s="416"/>
      <c r="M941" s="416"/>
      <c r="N941" s="416"/>
    </row>
    <row r="942">
      <c r="A942" s="416"/>
      <c r="B942" s="416"/>
      <c r="C942" s="416"/>
      <c r="D942" s="416"/>
      <c r="E942" s="416"/>
      <c r="F942" s="416"/>
      <c r="G942" s="416"/>
      <c r="H942" s="416"/>
      <c r="I942" s="416"/>
      <c r="J942" s="416"/>
      <c r="K942" s="416"/>
      <c r="L942" s="416"/>
      <c r="M942" s="416"/>
      <c r="N942" s="416"/>
    </row>
    <row r="943">
      <c r="A943" s="416"/>
      <c r="B943" s="416"/>
      <c r="C943" s="416"/>
      <c r="D943" s="416"/>
      <c r="E943" s="416"/>
      <c r="F943" s="416"/>
      <c r="G943" s="416"/>
      <c r="H943" s="416"/>
      <c r="I943" s="416"/>
      <c r="J943" s="416"/>
      <c r="K943" s="416"/>
      <c r="L943" s="416"/>
      <c r="M943" s="416"/>
      <c r="N943" s="416"/>
    </row>
    <row r="944">
      <c r="A944" s="416"/>
      <c r="B944" s="416"/>
      <c r="C944" s="416"/>
      <c r="D944" s="416"/>
      <c r="E944" s="416"/>
      <c r="F944" s="416"/>
      <c r="G944" s="416"/>
      <c r="H944" s="416"/>
      <c r="I944" s="416"/>
      <c r="J944" s="416"/>
      <c r="K944" s="416"/>
      <c r="L944" s="416"/>
      <c r="M944" s="416"/>
      <c r="N944" s="416"/>
    </row>
    <row r="945">
      <c r="A945" s="416"/>
      <c r="B945" s="416"/>
      <c r="C945" s="416"/>
      <c r="D945" s="416"/>
      <c r="E945" s="416"/>
      <c r="F945" s="416"/>
      <c r="G945" s="416"/>
      <c r="H945" s="416"/>
      <c r="I945" s="416"/>
      <c r="J945" s="416"/>
      <c r="K945" s="416"/>
      <c r="L945" s="416"/>
      <c r="M945" s="416"/>
      <c r="N945" s="416"/>
    </row>
    <row r="946">
      <c r="A946" s="416"/>
      <c r="B946" s="416"/>
      <c r="C946" s="416"/>
      <c r="D946" s="416"/>
      <c r="E946" s="416"/>
      <c r="F946" s="416"/>
      <c r="G946" s="416"/>
      <c r="H946" s="416"/>
      <c r="I946" s="416"/>
      <c r="J946" s="416"/>
      <c r="K946" s="416"/>
      <c r="L946" s="416"/>
      <c r="M946" s="416"/>
      <c r="N946" s="416"/>
    </row>
    <row r="947">
      <c r="A947" s="416"/>
      <c r="B947" s="416"/>
      <c r="C947" s="416"/>
      <c r="D947" s="416"/>
      <c r="E947" s="416"/>
      <c r="F947" s="416"/>
      <c r="G947" s="416"/>
      <c r="H947" s="416"/>
      <c r="I947" s="416"/>
      <c r="J947" s="416"/>
      <c r="K947" s="416"/>
      <c r="L947" s="416"/>
      <c r="M947" s="416"/>
      <c r="N947" s="416"/>
    </row>
    <row r="948">
      <c r="A948" s="416"/>
      <c r="B948" s="416"/>
      <c r="C948" s="416"/>
      <c r="D948" s="416"/>
      <c r="E948" s="416"/>
      <c r="F948" s="416"/>
      <c r="G948" s="416"/>
      <c r="H948" s="416"/>
      <c r="I948" s="416"/>
      <c r="J948" s="416"/>
      <c r="K948" s="416"/>
      <c r="L948" s="416"/>
      <c r="M948" s="416"/>
      <c r="N948" s="416"/>
    </row>
    <row r="949">
      <c r="A949" s="416"/>
      <c r="B949" s="416"/>
      <c r="C949" s="416"/>
      <c r="D949" s="416"/>
      <c r="E949" s="416"/>
      <c r="F949" s="416"/>
      <c r="G949" s="416"/>
      <c r="H949" s="416"/>
      <c r="I949" s="416"/>
      <c r="J949" s="416"/>
      <c r="K949" s="416"/>
      <c r="L949" s="416"/>
      <c r="M949" s="416"/>
      <c r="N949" s="416"/>
    </row>
    <row r="950">
      <c r="A950" s="416"/>
      <c r="B950" s="416"/>
      <c r="C950" s="416"/>
      <c r="D950" s="416"/>
      <c r="E950" s="416"/>
      <c r="F950" s="416"/>
      <c r="G950" s="416"/>
      <c r="H950" s="416"/>
      <c r="I950" s="416"/>
      <c r="J950" s="416"/>
      <c r="K950" s="416"/>
      <c r="L950" s="416"/>
      <c r="M950" s="416"/>
      <c r="N950" s="416"/>
    </row>
    <row r="951">
      <c r="A951" s="416"/>
      <c r="B951" s="416"/>
      <c r="C951" s="416"/>
      <c r="D951" s="416"/>
      <c r="E951" s="416"/>
      <c r="F951" s="416"/>
      <c r="G951" s="416"/>
      <c r="H951" s="416"/>
      <c r="I951" s="416"/>
      <c r="J951" s="416"/>
      <c r="K951" s="416"/>
      <c r="L951" s="416"/>
      <c r="M951" s="416"/>
      <c r="N951" s="416"/>
    </row>
    <row r="952">
      <c r="A952" s="416"/>
      <c r="B952" s="416"/>
      <c r="C952" s="416"/>
      <c r="D952" s="416"/>
      <c r="E952" s="416"/>
      <c r="F952" s="416"/>
      <c r="G952" s="416"/>
      <c r="H952" s="416"/>
      <c r="I952" s="416"/>
      <c r="J952" s="416"/>
      <c r="K952" s="416"/>
      <c r="L952" s="416"/>
      <c r="M952" s="416"/>
      <c r="N952" s="416"/>
    </row>
    <row r="953">
      <c r="A953" s="416"/>
      <c r="B953" s="416"/>
      <c r="C953" s="416"/>
      <c r="D953" s="416"/>
      <c r="E953" s="416"/>
      <c r="F953" s="416"/>
      <c r="G953" s="416"/>
      <c r="H953" s="416"/>
      <c r="I953" s="416"/>
      <c r="J953" s="416"/>
      <c r="K953" s="416"/>
      <c r="L953" s="416"/>
      <c r="M953" s="416"/>
      <c r="N953" s="416"/>
    </row>
    <row r="954">
      <c r="A954" s="416"/>
      <c r="B954" s="416"/>
      <c r="C954" s="416"/>
      <c r="D954" s="416"/>
      <c r="E954" s="416"/>
      <c r="F954" s="416"/>
      <c r="G954" s="416"/>
      <c r="H954" s="416"/>
      <c r="I954" s="416"/>
      <c r="J954" s="416"/>
      <c r="K954" s="416"/>
      <c r="L954" s="416"/>
      <c r="M954" s="416"/>
      <c r="N954" s="416"/>
    </row>
    <row r="955">
      <c r="A955" s="416"/>
      <c r="B955" s="416"/>
      <c r="C955" s="416"/>
      <c r="D955" s="416"/>
      <c r="E955" s="416"/>
      <c r="F955" s="416"/>
      <c r="G955" s="416"/>
      <c r="H955" s="416"/>
      <c r="I955" s="416"/>
      <c r="J955" s="416"/>
      <c r="K955" s="416"/>
      <c r="L955" s="416"/>
      <c r="M955" s="416"/>
      <c r="N955" s="416"/>
    </row>
    <row r="956">
      <c r="A956" s="416"/>
      <c r="B956" s="416"/>
      <c r="C956" s="416"/>
      <c r="D956" s="416"/>
      <c r="E956" s="416"/>
      <c r="F956" s="416"/>
      <c r="G956" s="416"/>
      <c r="H956" s="416"/>
      <c r="I956" s="416"/>
      <c r="J956" s="416"/>
      <c r="K956" s="416"/>
      <c r="L956" s="416"/>
      <c r="M956" s="416"/>
      <c r="N956" s="416"/>
    </row>
    <row r="957">
      <c r="A957" s="416"/>
      <c r="B957" s="416"/>
      <c r="C957" s="416"/>
      <c r="D957" s="416"/>
      <c r="E957" s="416"/>
      <c r="F957" s="416"/>
      <c r="G957" s="416"/>
      <c r="H957" s="416"/>
      <c r="I957" s="416"/>
      <c r="J957" s="416"/>
      <c r="K957" s="416"/>
      <c r="L957" s="416"/>
      <c r="M957" s="416"/>
      <c r="N957" s="416"/>
    </row>
    <row r="958">
      <c r="A958" s="416"/>
      <c r="B958" s="416"/>
      <c r="C958" s="416"/>
      <c r="D958" s="416"/>
      <c r="E958" s="416"/>
      <c r="F958" s="416"/>
      <c r="G958" s="416"/>
      <c r="H958" s="416"/>
      <c r="I958" s="416"/>
      <c r="J958" s="416"/>
      <c r="K958" s="416"/>
      <c r="L958" s="416"/>
      <c r="M958" s="416"/>
      <c r="N958" s="416"/>
    </row>
    <row r="959">
      <c r="A959" s="416"/>
      <c r="B959" s="416"/>
      <c r="C959" s="416"/>
      <c r="D959" s="416"/>
      <c r="E959" s="416"/>
      <c r="F959" s="416"/>
      <c r="G959" s="416"/>
      <c r="H959" s="416"/>
      <c r="I959" s="416"/>
      <c r="J959" s="416"/>
      <c r="K959" s="416"/>
      <c r="L959" s="416"/>
      <c r="M959" s="416"/>
      <c r="N959" s="416"/>
    </row>
    <row r="960">
      <c r="A960" s="416"/>
      <c r="B960" s="416"/>
      <c r="C960" s="416"/>
      <c r="D960" s="416"/>
      <c r="E960" s="416"/>
      <c r="F960" s="416"/>
      <c r="G960" s="416"/>
      <c r="H960" s="416"/>
      <c r="I960" s="416"/>
      <c r="J960" s="416"/>
      <c r="K960" s="416"/>
      <c r="L960" s="416"/>
      <c r="M960" s="416"/>
      <c r="N960" s="416"/>
    </row>
    <row r="961">
      <c r="A961" s="416"/>
      <c r="B961" s="416"/>
      <c r="C961" s="416"/>
      <c r="D961" s="416"/>
      <c r="E961" s="416"/>
      <c r="F961" s="416"/>
      <c r="G961" s="416"/>
      <c r="H961" s="416"/>
      <c r="I961" s="416"/>
      <c r="J961" s="416"/>
      <c r="K961" s="416"/>
      <c r="L961" s="416"/>
      <c r="M961" s="416"/>
      <c r="N961" s="416"/>
    </row>
    <row r="962">
      <c r="A962" s="416"/>
      <c r="B962" s="416"/>
      <c r="C962" s="416"/>
      <c r="D962" s="416"/>
      <c r="E962" s="416"/>
      <c r="F962" s="416"/>
      <c r="G962" s="416"/>
      <c r="H962" s="416"/>
      <c r="I962" s="416"/>
      <c r="J962" s="416"/>
      <c r="K962" s="416"/>
      <c r="L962" s="416"/>
      <c r="M962" s="416"/>
      <c r="N962" s="416"/>
    </row>
    <row r="963">
      <c r="A963" s="416"/>
      <c r="B963" s="416"/>
      <c r="C963" s="416"/>
      <c r="D963" s="416"/>
      <c r="E963" s="416"/>
      <c r="F963" s="416"/>
      <c r="G963" s="416"/>
      <c r="H963" s="416"/>
      <c r="I963" s="416"/>
      <c r="J963" s="416"/>
      <c r="K963" s="416"/>
      <c r="L963" s="416"/>
      <c r="M963" s="416"/>
      <c r="N963" s="416"/>
    </row>
    <row r="964">
      <c r="A964" s="416"/>
      <c r="B964" s="416"/>
      <c r="C964" s="416"/>
      <c r="D964" s="416"/>
      <c r="E964" s="416"/>
      <c r="F964" s="416"/>
      <c r="G964" s="416"/>
      <c r="H964" s="416"/>
      <c r="I964" s="416"/>
      <c r="J964" s="416"/>
      <c r="K964" s="416"/>
      <c r="L964" s="416"/>
      <c r="M964" s="416"/>
      <c r="N964" s="416"/>
    </row>
    <row r="965">
      <c r="A965" s="416"/>
      <c r="B965" s="416"/>
      <c r="C965" s="416"/>
      <c r="D965" s="416"/>
      <c r="E965" s="416"/>
      <c r="F965" s="416"/>
      <c r="G965" s="416"/>
      <c r="H965" s="416"/>
      <c r="I965" s="416"/>
      <c r="J965" s="416"/>
      <c r="K965" s="416"/>
      <c r="L965" s="416"/>
      <c r="M965" s="416"/>
      <c r="N965" s="416"/>
    </row>
    <row r="966">
      <c r="A966" s="416"/>
      <c r="B966" s="416"/>
      <c r="C966" s="416"/>
      <c r="D966" s="416"/>
      <c r="E966" s="416"/>
      <c r="F966" s="416"/>
      <c r="G966" s="416"/>
      <c r="H966" s="416"/>
      <c r="I966" s="416"/>
      <c r="J966" s="416"/>
      <c r="K966" s="416"/>
      <c r="L966" s="416"/>
      <c r="M966" s="416"/>
      <c r="N966" s="416"/>
    </row>
    <row r="967">
      <c r="A967" s="416"/>
      <c r="B967" s="416"/>
      <c r="C967" s="416"/>
      <c r="D967" s="416"/>
      <c r="E967" s="416"/>
      <c r="F967" s="416"/>
      <c r="G967" s="416"/>
      <c r="H967" s="416"/>
      <c r="I967" s="416"/>
      <c r="J967" s="416"/>
      <c r="K967" s="416"/>
      <c r="L967" s="416"/>
      <c r="M967" s="416"/>
      <c r="N967" s="416"/>
    </row>
    <row r="968">
      <c r="A968" s="416"/>
      <c r="B968" s="416"/>
      <c r="C968" s="416"/>
      <c r="D968" s="416"/>
      <c r="E968" s="416"/>
      <c r="F968" s="416"/>
      <c r="G968" s="416"/>
      <c r="H968" s="416"/>
      <c r="I968" s="416"/>
      <c r="J968" s="416"/>
      <c r="K968" s="416"/>
      <c r="L968" s="416"/>
      <c r="M968" s="416"/>
      <c r="N968" s="416"/>
    </row>
    <row r="969">
      <c r="A969" s="416"/>
      <c r="B969" s="416"/>
      <c r="C969" s="416"/>
      <c r="D969" s="416"/>
      <c r="E969" s="416"/>
      <c r="F969" s="416"/>
      <c r="G969" s="416"/>
      <c r="H969" s="416"/>
      <c r="I969" s="416"/>
      <c r="J969" s="416"/>
      <c r="K969" s="416"/>
      <c r="L969" s="416"/>
      <c r="M969" s="416"/>
      <c r="N969" s="416"/>
    </row>
    <row r="970">
      <c r="A970" s="416"/>
      <c r="B970" s="416"/>
      <c r="C970" s="416"/>
      <c r="D970" s="416"/>
      <c r="E970" s="416"/>
      <c r="F970" s="416"/>
      <c r="G970" s="416"/>
      <c r="H970" s="416"/>
      <c r="I970" s="416"/>
      <c r="J970" s="416"/>
      <c r="K970" s="416"/>
      <c r="L970" s="416"/>
      <c r="M970" s="416"/>
      <c r="N970" s="416"/>
    </row>
    <row r="971">
      <c r="A971" s="416"/>
      <c r="B971" s="416"/>
      <c r="C971" s="416"/>
      <c r="D971" s="416"/>
      <c r="E971" s="416"/>
      <c r="F971" s="416"/>
      <c r="G971" s="416"/>
      <c r="H971" s="416"/>
      <c r="I971" s="416"/>
      <c r="J971" s="416"/>
      <c r="K971" s="416"/>
      <c r="L971" s="416"/>
      <c r="M971" s="416"/>
      <c r="N971" s="416"/>
    </row>
    <row r="972">
      <c r="A972" s="416"/>
      <c r="B972" s="416"/>
      <c r="C972" s="416"/>
      <c r="D972" s="416"/>
      <c r="E972" s="416"/>
      <c r="F972" s="416"/>
      <c r="G972" s="416"/>
      <c r="H972" s="416"/>
      <c r="I972" s="416"/>
      <c r="J972" s="416"/>
      <c r="K972" s="416"/>
      <c r="L972" s="416"/>
      <c r="M972" s="416"/>
      <c r="N972" s="416"/>
    </row>
    <row r="973">
      <c r="A973" s="416"/>
      <c r="B973" s="416"/>
      <c r="C973" s="416"/>
      <c r="D973" s="416"/>
      <c r="E973" s="416"/>
      <c r="F973" s="416"/>
      <c r="G973" s="416"/>
      <c r="H973" s="416"/>
      <c r="I973" s="416"/>
      <c r="J973" s="416"/>
      <c r="K973" s="416"/>
      <c r="L973" s="416"/>
      <c r="M973" s="416"/>
      <c r="N973" s="416"/>
    </row>
    <row r="974">
      <c r="A974" s="416"/>
      <c r="B974" s="416"/>
      <c r="C974" s="416"/>
      <c r="D974" s="416"/>
      <c r="E974" s="416"/>
      <c r="F974" s="416"/>
      <c r="G974" s="416"/>
      <c r="H974" s="416"/>
      <c r="I974" s="416"/>
      <c r="J974" s="416"/>
      <c r="K974" s="416"/>
      <c r="L974" s="416"/>
      <c r="M974" s="416"/>
      <c r="N974" s="416"/>
    </row>
    <row r="975">
      <c r="A975" s="416"/>
      <c r="B975" s="416"/>
      <c r="C975" s="416"/>
      <c r="D975" s="416"/>
      <c r="E975" s="416"/>
      <c r="F975" s="416"/>
      <c r="G975" s="416"/>
      <c r="H975" s="416"/>
      <c r="I975" s="416"/>
      <c r="J975" s="416"/>
      <c r="K975" s="416"/>
      <c r="L975" s="416"/>
      <c r="M975" s="416"/>
      <c r="N975" s="416"/>
    </row>
    <row r="976">
      <c r="A976" s="416"/>
      <c r="B976" s="416"/>
      <c r="C976" s="416"/>
      <c r="D976" s="416"/>
      <c r="E976" s="416"/>
      <c r="F976" s="416"/>
      <c r="G976" s="416"/>
      <c r="H976" s="416"/>
      <c r="I976" s="416"/>
      <c r="J976" s="416"/>
      <c r="K976" s="416"/>
      <c r="L976" s="416"/>
      <c r="M976" s="416"/>
      <c r="N976" s="416"/>
    </row>
    <row r="977">
      <c r="A977" s="416"/>
      <c r="B977" s="416"/>
      <c r="C977" s="416"/>
      <c r="D977" s="416"/>
      <c r="E977" s="416"/>
      <c r="F977" s="416"/>
      <c r="G977" s="416"/>
      <c r="H977" s="416"/>
      <c r="I977" s="416"/>
      <c r="J977" s="416"/>
      <c r="K977" s="416"/>
      <c r="L977" s="416"/>
      <c r="M977" s="416"/>
      <c r="N977" s="416"/>
    </row>
    <row r="978">
      <c r="A978" s="416"/>
      <c r="B978" s="416"/>
      <c r="C978" s="416"/>
      <c r="D978" s="416"/>
      <c r="E978" s="416"/>
      <c r="F978" s="416"/>
      <c r="G978" s="416"/>
      <c r="H978" s="416"/>
      <c r="I978" s="416"/>
      <c r="J978" s="416"/>
      <c r="K978" s="416"/>
      <c r="L978" s="416"/>
      <c r="M978" s="416"/>
      <c r="N978" s="416"/>
    </row>
    <row r="979">
      <c r="A979" s="416"/>
      <c r="B979" s="416"/>
      <c r="C979" s="416"/>
      <c r="D979" s="416"/>
      <c r="E979" s="416"/>
      <c r="F979" s="416"/>
      <c r="G979" s="416"/>
      <c r="H979" s="416"/>
      <c r="I979" s="416"/>
      <c r="J979" s="416"/>
      <c r="K979" s="416"/>
      <c r="L979" s="416"/>
      <c r="M979" s="416"/>
      <c r="N979" s="416"/>
    </row>
    <row r="980">
      <c r="A980" s="416"/>
      <c r="B980" s="416"/>
      <c r="C980" s="416"/>
      <c r="D980" s="416"/>
      <c r="E980" s="416"/>
      <c r="F980" s="416"/>
      <c r="G980" s="416"/>
      <c r="H980" s="416"/>
      <c r="I980" s="416"/>
      <c r="J980" s="416"/>
      <c r="K980" s="416"/>
      <c r="L980" s="416"/>
      <c r="M980" s="416"/>
      <c r="N980" s="416"/>
    </row>
    <row r="981">
      <c r="A981" s="416"/>
      <c r="B981" s="416"/>
      <c r="C981" s="416"/>
      <c r="D981" s="416"/>
      <c r="E981" s="416"/>
      <c r="F981" s="416"/>
      <c r="G981" s="416"/>
      <c r="H981" s="416"/>
      <c r="I981" s="416"/>
      <c r="J981" s="416"/>
      <c r="K981" s="416"/>
      <c r="L981" s="416"/>
      <c r="M981" s="416"/>
      <c r="N981" s="416"/>
    </row>
    <row r="982">
      <c r="A982" s="416"/>
      <c r="B982" s="416"/>
      <c r="C982" s="416"/>
      <c r="D982" s="416"/>
      <c r="E982" s="416"/>
      <c r="F982" s="416"/>
      <c r="G982" s="416"/>
      <c r="H982" s="416"/>
      <c r="I982" s="416"/>
      <c r="J982" s="416"/>
      <c r="K982" s="416"/>
      <c r="L982" s="416"/>
      <c r="M982" s="416"/>
      <c r="N982" s="416"/>
    </row>
    <row r="983">
      <c r="A983" s="416"/>
      <c r="B983" s="416"/>
      <c r="C983" s="416"/>
      <c r="D983" s="416"/>
      <c r="E983" s="416"/>
      <c r="F983" s="416"/>
      <c r="G983" s="416"/>
      <c r="H983" s="416"/>
      <c r="I983" s="416"/>
      <c r="J983" s="416"/>
      <c r="K983" s="416"/>
      <c r="L983" s="416"/>
      <c r="M983" s="416"/>
      <c r="N983" s="416"/>
    </row>
    <row r="984">
      <c r="A984" s="416"/>
      <c r="B984" s="416"/>
      <c r="C984" s="416"/>
      <c r="D984" s="416"/>
      <c r="E984" s="416"/>
      <c r="F984" s="416"/>
      <c r="G984" s="416"/>
      <c r="H984" s="416"/>
      <c r="I984" s="416"/>
      <c r="J984" s="416"/>
      <c r="K984" s="416"/>
      <c r="L984" s="416"/>
      <c r="M984" s="416"/>
      <c r="N984" s="416"/>
    </row>
    <row r="985">
      <c r="A985" s="416"/>
      <c r="B985" s="416"/>
      <c r="C985" s="416"/>
      <c r="D985" s="416"/>
      <c r="E985" s="416"/>
      <c r="F985" s="416"/>
      <c r="G985" s="416"/>
      <c r="H985" s="416"/>
      <c r="I985" s="416"/>
      <c r="J985" s="416"/>
      <c r="K985" s="416"/>
      <c r="L985" s="416"/>
      <c r="M985" s="416"/>
      <c r="N985" s="416"/>
    </row>
    <row r="986">
      <c r="A986" s="416"/>
      <c r="B986" s="416"/>
      <c r="C986" s="416"/>
      <c r="D986" s="416"/>
      <c r="E986" s="416"/>
      <c r="F986" s="416"/>
      <c r="G986" s="416"/>
      <c r="H986" s="416"/>
      <c r="I986" s="416"/>
      <c r="J986" s="416"/>
      <c r="K986" s="416"/>
      <c r="L986" s="416"/>
      <c r="M986" s="416"/>
      <c r="N986" s="416"/>
    </row>
    <row r="987">
      <c r="A987" s="416"/>
      <c r="B987" s="416"/>
      <c r="C987" s="416"/>
      <c r="D987" s="416"/>
      <c r="E987" s="416"/>
      <c r="F987" s="416"/>
      <c r="G987" s="416"/>
      <c r="H987" s="416"/>
      <c r="I987" s="416"/>
      <c r="J987" s="416"/>
      <c r="K987" s="416"/>
      <c r="L987" s="416"/>
      <c r="M987" s="416"/>
      <c r="N987" s="416"/>
    </row>
    <row r="988">
      <c r="A988" s="416"/>
      <c r="B988" s="416"/>
      <c r="C988" s="416"/>
      <c r="D988" s="416"/>
      <c r="E988" s="416"/>
      <c r="F988" s="416"/>
      <c r="G988" s="416"/>
      <c r="H988" s="416"/>
      <c r="I988" s="416"/>
      <c r="J988" s="416"/>
      <c r="K988" s="416"/>
      <c r="L988" s="416"/>
      <c r="M988" s="416"/>
      <c r="N988" s="416"/>
    </row>
    <row r="989">
      <c r="A989" s="416"/>
      <c r="B989" s="416"/>
      <c r="C989" s="416"/>
      <c r="D989" s="416"/>
      <c r="E989" s="416"/>
      <c r="F989" s="416"/>
      <c r="G989" s="416"/>
      <c r="H989" s="416"/>
      <c r="I989" s="416"/>
      <c r="J989" s="416"/>
      <c r="K989" s="416"/>
      <c r="L989" s="416"/>
      <c r="M989" s="416"/>
      <c r="N989" s="416"/>
    </row>
    <row r="990">
      <c r="A990" s="416"/>
      <c r="B990" s="416"/>
      <c r="C990" s="416"/>
      <c r="D990" s="416"/>
      <c r="E990" s="416"/>
      <c r="F990" s="416"/>
      <c r="G990" s="416"/>
      <c r="H990" s="416"/>
      <c r="I990" s="416"/>
      <c r="J990" s="416"/>
      <c r="K990" s="416"/>
      <c r="L990" s="416"/>
      <c r="M990" s="416"/>
      <c r="N990" s="416"/>
    </row>
    <row r="991">
      <c r="A991" s="416"/>
      <c r="B991" s="416"/>
      <c r="C991" s="416"/>
      <c r="D991" s="416"/>
      <c r="E991" s="416"/>
      <c r="F991" s="416"/>
      <c r="G991" s="416"/>
      <c r="H991" s="416"/>
      <c r="I991" s="416"/>
      <c r="J991" s="416"/>
      <c r="K991" s="416"/>
      <c r="L991" s="416"/>
      <c r="M991" s="416"/>
      <c r="N991" s="416"/>
    </row>
    <row r="992">
      <c r="A992" s="416"/>
      <c r="B992" s="416"/>
      <c r="C992" s="416"/>
      <c r="D992" s="416"/>
      <c r="E992" s="416"/>
      <c r="F992" s="416"/>
      <c r="G992" s="416"/>
      <c r="H992" s="416"/>
      <c r="I992" s="416"/>
      <c r="J992" s="416"/>
      <c r="K992" s="416"/>
      <c r="L992" s="416"/>
      <c r="M992" s="416"/>
      <c r="N992" s="416"/>
    </row>
    <row r="993">
      <c r="A993" s="416"/>
      <c r="B993" s="416"/>
      <c r="C993" s="416"/>
      <c r="D993" s="416"/>
      <c r="E993" s="416"/>
      <c r="F993" s="416"/>
      <c r="G993" s="416"/>
      <c r="H993" s="416"/>
      <c r="I993" s="464"/>
      <c r="J993" s="464"/>
      <c r="K993" s="464"/>
      <c r="L993" s="416"/>
      <c r="M993" s="416"/>
      <c r="N993" s="416"/>
    </row>
    <row r="994">
      <c r="A994" s="416"/>
      <c r="B994" s="416"/>
      <c r="C994" s="416"/>
      <c r="D994" s="416"/>
      <c r="E994" s="416"/>
      <c r="F994" s="416"/>
      <c r="G994" s="416"/>
      <c r="H994" s="416"/>
      <c r="I994" s="464"/>
      <c r="J994" s="464"/>
      <c r="K994" s="464"/>
      <c r="L994" s="416"/>
      <c r="M994" s="416"/>
      <c r="N994" s="416"/>
    </row>
    <row r="995">
      <c r="A995" s="416"/>
      <c r="B995" s="416"/>
      <c r="C995" s="416"/>
      <c r="D995" s="416"/>
      <c r="E995" s="416"/>
      <c r="F995" s="416"/>
      <c r="G995" s="416"/>
      <c r="H995" s="416"/>
      <c r="I995" s="464"/>
      <c r="J995" s="464"/>
      <c r="K995" s="464"/>
      <c r="L995" s="416"/>
      <c r="M995" s="416"/>
      <c r="N995" s="416"/>
    </row>
  </sheetData>
  <autoFilter ref="$E$5:$G$29">
    <sortState ref="E5:G29">
      <sortCondition descending="1" ref="F5:F29"/>
      <sortCondition ref="E5:E29"/>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rightToLeft="1"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hidden="1" min="1" max="3" width="12.63"/>
    <col hidden="1" min="28" max="29" width="12.63"/>
  </cols>
  <sheetData>
    <row r="1" ht="78.0" customHeight="1">
      <c r="A1" s="402" t="s">
        <v>0</v>
      </c>
      <c r="B1" s="403" t="s">
        <v>1</v>
      </c>
      <c r="C1" s="403" t="s">
        <v>2</v>
      </c>
      <c r="D1" s="403" t="s">
        <v>3</v>
      </c>
      <c r="E1" s="403" t="s">
        <v>4</v>
      </c>
      <c r="F1" s="403" t="s">
        <v>5</v>
      </c>
      <c r="G1" s="403" t="s">
        <v>6</v>
      </c>
      <c r="H1" s="403" t="s">
        <v>7</v>
      </c>
      <c r="I1" s="403" t="s">
        <v>8</v>
      </c>
      <c r="J1" s="403" t="s">
        <v>9</v>
      </c>
      <c r="K1" s="403" t="s">
        <v>10</v>
      </c>
      <c r="L1" s="403" t="s">
        <v>11</v>
      </c>
      <c r="M1" s="403" t="s">
        <v>12</v>
      </c>
      <c r="N1" s="403" t="s">
        <v>13</v>
      </c>
      <c r="O1" s="403" t="s">
        <v>14</v>
      </c>
      <c r="P1" s="403" t="s">
        <v>15</v>
      </c>
      <c r="Q1" s="403" t="s">
        <v>16</v>
      </c>
      <c r="R1" s="403" t="s">
        <v>17</v>
      </c>
      <c r="S1" s="403" t="s">
        <v>18</v>
      </c>
      <c r="T1" s="403" t="s">
        <v>19</v>
      </c>
      <c r="U1" s="403" t="s">
        <v>20</v>
      </c>
      <c r="V1" s="403" t="s">
        <v>21</v>
      </c>
      <c r="W1" s="403" t="s">
        <v>22</v>
      </c>
      <c r="X1" s="403" t="s">
        <v>23</v>
      </c>
      <c r="Y1" s="403" t="s">
        <v>24</v>
      </c>
      <c r="Z1" s="403" t="s">
        <v>25</v>
      </c>
      <c r="AA1" s="403" t="s">
        <v>791</v>
      </c>
      <c r="AB1" s="3" t="s">
        <v>27</v>
      </c>
      <c r="AC1" s="2" t="s">
        <v>28</v>
      </c>
      <c r="AD1" s="2" t="s">
        <v>29</v>
      </c>
    </row>
    <row r="2">
      <c r="A2" s="404" t="s">
        <v>828</v>
      </c>
      <c r="B2" s="261" t="s">
        <v>829</v>
      </c>
      <c r="C2" s="405">
        <v>45521.325949074075</v>
      </c>
      <c r="D2" s="248" t="s">
        <v>359</v>
      </c>
      <c r="E2" s="261" t="s">
        <v>134</v>
      </c>
      <c r="F2" s="406">
        <v>10.0</v>
      </c>
      <c r="G2" s="406">
        <v>10.0</v>
      </c>
      <c r="H2" s="406">
        <v>10.0</v>
      </c>
      <c r="I2" s="406">
        <v>10.0</v>
      </c>
      <c r="J2" s="406" t="s">
        <v>1114</v>
      </c>
      <c r="K2" s="406">
        <v>10.0</v>
      </c>
      <c r="L2" s="406">
        <v>10.0</v>
      </c>
      <c r="M2" s="406">
        <v>10.0</v>
      </c>
      <c r="N2" s="406">
        <v>10.0</v>
      </c>
      <c r="O2" s="406" t="s">
        <v>1115</v>
      </c>
      <c r="P2" s="406">
        <v>10.0</v>
      </c>
      <c r="Q2" s="406">
        <v>10.0</v>
      </c>
      <c r="R2" s="406">
        <v>10.0</v>
      </c>
      <c r="S2" s="406">
        <v>10.0</v>
      </c>
      <c r="T2" s="406" t="s">
        <v>1116</v>
      </c>
      <c r="U2" s="406">
        <v>8.0</v>
      </c>
      <c r="V2" s="406">
        <v>10.0</v>
      </c>
      <c r="W2" s="406">
        <v>10.0</v>
      </c>
      <c r="X2" s="406">
        <v>10.0</v>
      </c>
      <c r="Y2" s="406" t="s">
        <v>1117</v>
      </c>
      <c r="Z2" s="406" t="s">
        <v>1118</v>
      </c>
      <c r="AA2" s="406" t="s">
        <v>1119</v>
      </c>
      <c r="AB2" s="9" t="s">
        <v>39</v>
      </c>
      <c r="AC2" s="10" t="b">
        <v>1</v>
      </c>
      <c r="AD2" s="408">
        <f t="shared" ref="AD2:AD80" si="1">AVERAGE(U2:X2,P2:S2,K2:N2,F2:I2)</f>
        <v>9.875</v>
      </c>
    </row>
    <row r="3">
      <c r="A3" s="404" t="s">
        <v>836</v>
      </c>
      <c r="B3" s="261" t="s">
        <v>240</v>
      </c>
      <c r="C3" s="405">
        <v>45521.813043981485</v>
      </c>
      <c r="D3" s="248" t="s">
        <v>1017</v>
      </c>
      <c r="E3" s="261" t="s">
        <v>134</v>
      </c>
      <c r="F3" s="406">
        <v>9.0</v>
      </c>
      <c r="G3" s="406">
        <v>10.0</v>
      </c>
      <c r="H3" s="406">
        <v>10.0</v>
      </c>
      <c r="I3" s="406">
        <v>10.0</v>
      </c>
      <c r="J3" s="406" t="s">
        <v>1122</v>
      </c>
      <c r="K3" s="406">
        <v>10.0</v>
      </c>
      <c r="L3" s="406">
        <v>10.0</v>
      </c>
      <c r="M3" s="406">
        <v>10.0</v>
      </c>
      <c r="N3" s="406">
        <v>10.0</v>
      </c>
      <c r="O3" s="406" t="s">
        <v>1123</v>
      </c>
      <c r="P3" s="406">
        <v>10.0</v>
      </c>
      <c r="Q3" s="406">
        <v>10.0</v>
      </c>
      <c r="R3" s="406">
        <v>10.0</v>
      </c>
      <c r="S3" s="406">
        <v>10.0</v>
      </c>
      <c r="T3" s="406" t="s">
        <v>1124</v>
      </c>
      <c r="U3" s="406">
        <v>9.0</v>
      </c>
      <c r="V3" s="406">
        <v>10.0</v>
      </c>
      <c r="W3" s="406">
        <v>10.0</v>
      </c>
      <c r="X3" s="406">
        <v>10.0</v>
      </c>
      <c r="Y3" s="406" t="s">
        <v>1125</v>
      </c>
      <c r="Z3" s="406" t="s">
        <v>1126</v>
      </c>
      <c r="AA3" s="406" t="s">
        <v>1127</v>
      </c>
      <c r="AB3" s="9" t="s">
        <v>39</v>
      </c>
      <c r="AC3" s="10" t="b">
        <v>1</v>
      </c>
      <c r="AD3" s="408">
        <f t="shared" si="1"/>
        <v>9.875</v>
      </c>
    </row>
    <row r="4">
      <c r="A4" s="404" t="s">
        <v>842</v>
      </c>
      <c r="B4" s="261" t="s">
        <v>843</v>
      </c>
      <c r="C4" s="405">
        <v>45522.416354166664</v>
      </c>
      <c r="D4" s="248" t="s">
        <v>1129</v>
      </c>
      <c r="E4" s="261" t="s">
        <v>134</v>
      </c>
      <c r="F4" s="406">
        <v>9.0</v>
      </c>
      <c r="G4" s="406">
        <v>10.0</v>
      </c>
      <c r="H4" s="406">
        <v>10.0</v>
      </c>
      <c r="I4" s="406">
        <v>10.0</v>
      </c>
      <c r="J4" s="406" t="s">
        <v>1130</v>
      </c>
      <c r="K4" s="406">
        <v>10.0</v>
      </c>
      <c r="L4" s="406">
        <v>10.0</v>
      </c>
      <c r="M4" s="406">
        <v>10.0</v>
      </c>
      <c r="N4" s="406">
        <v>10.0</v>
      </c>
      <c r="O4" s="406" t="s">
        <v>70</v>
      </c>
      <c r="P4" s="406">
        <v>9.0</v>
      </c>
      <c r="Q4" s="406">
        <v>10.0</v>
      </c>
      <c r="R4" s="406">
        <v>10.0</v>
      </c>
      <c r="S4" s="406">
        <v>10.0</v>
      </c>
      <c r="T4" s="406" t="s">
        <v>38</v>
      </c>
      <c r="U4" s="406">
        <v>10.0</v>
      </c>
      <c r="V4" s="406">
        <v>10.0</v>
      </c>
      <c r="W4" s="406">
        <v>10.0</v>
      </c>
      <c r="X4" s="406">
        <v>10.0</v>
      </c>
      <c r="Y4" s="406" t="s">
        <v>38</v>
      </c>
      <c r="Z4" s="406" t="s">
        <v>1131</v>
      </c>
      <c r="AA4" s="406" t="s">
        <v>1132</v>
      </c>
      <c r="AB4" s="9" t="s">
        <v>39</v>
      </c>
      <c r="AC4" s="10" t="b">
        <v>1</v>
      </c>
      <c r="AD4" s="408">
        <f t="shared" si="1"/>
        <v>9.875</v>
      </c>
    </row>
    <row r="5">
      <c r="A5" s="404" t="s">
        <v>859</v>
      </c>
      <c r="B5" s="261" t="s">
        <v>860</v>
      </c>
      <c r="C5" s="405">
        <v>45522.54609953704</v>
      </c>
      <c r="D5" s="248" t="s">
        <v>867</v>
      </c>
      <c r="E5" s="261" t="s">
        <v>42</v>
      </c>
      <c r="F5" s="406">
        <v>9.0</v>
      </c>
      <c r="G5" s="406">
        <v>10.0</v>
      </c>
      <c r="H5" s="406">
        <v>10.0</v>
      </c>
      <c r="I5" s="406">
        <v>10.0</v>
      </c>
      <c r="J5" s="406" t="s">
        <v>868</v>
      </c>
      <c r="K5" s="406">
        <v>10.0</v>
      </c>
      <c r="L5" s="406">
        <v>10.0</v>
      </c>
      <c r="M5" s="406">
        <v>10.0</v>
      </c>
      <c r="N5" s="406">
        <v>10.0</v>
      </c>
      <c r="O5" s="406" t="s">
        <v>869</v>
      </c>
      <c r="P5" s="406">
        <v>10.0</v>
      </c>
      <c r="Q5" s="406">
        <v>10.0</v>
      </c>
      <c r="R5" s="406">
        <v>10.0</v>
      </c>
      <c r="S5" s="406">
        <v>10.0</v>
      </c>
      <c r="T5" s="406" t="s">
        <v>86</v>
      </c>
      <c r="U5" s="406">
        <v>10.0</v>
      </c>
      <c r="V5" s="406">
        <v>8.0</v>
      </c>
      <c r="W5" s="406">
        <v>10.0</v>
      </c>
      <c r="X5" s="406">
        <v>10.0</v>
      </c>
      <c r="Y5" s="406" t="s">
        <v>870</v>
      </c>
      <c r="Z5" s="406" t="s">
        <v>871</v>
      </c>
      <c r="AA5" s="407"/>
      <c r="AB5" s="9" t="s">
        <v>39</v>
      </c>
      <c r="AC5" s="10" t="b">
        <v>1</v>
      </c>
      <c r="AD5" s="408">
        <f t="shared" si="1"/>
        <v>9.8125</v>
      </c>
    </row>
    <row r="6">
      <c r="A6" s="404" t="s">
        <v>872</v>
      </c>
      <c r="B6" s="261" t="s">
        <v>358</v>
      </c>
      <c r="C6" s="405">
        <v>45522.55012731482</v>
      </c>
      <c r="D6" s="248" t="s">
        <v>236</v>
      </c>
      <c r="E6" s="261" t="s">
        <v>775</v>
      </c>
      <c r="F6" s="406">
        <v>10.0</v>
      </c>
      <c r="G6" s="406">
        <v>10.0</v>
      </c>
      <c r="H6" s="406">
        <v>10.0</v>
      </c>
      <c r="I6" s="406">
        <v>9.0</v>
      </c>
      <c r="J6" s="406" t="s">
        <v>38</v>
      </c>
      <c r="K6" s="406">
        <v>10.0</v>
      </c>
      <c r="L6" s="406">
        <v>8.0</v>
      </c>
      <c r="M6" s="406">
        <v>10.0</v>
      </c>
      <c r="N6" s="407"/>
      <c r="O6" s="406" t="s">
        <v>65</v>
      </c>
      <c r="P6" s="406">
        <v>8.0</v>
      </c>
      <c r="Q6" s="406">
        <v>9.0</v>
      </c>
      <c r="R6" s="406">
        <v>10.0</v>
      </c>
      <c r="S6" s="406">
        <v>10.0</v>
      </c>
      <c r="T6" s="406" t="s">
        <v>65</v>
      </c>
      <c r="U6" s="407"/>
      <c r="V6" s="406">
        <v>10.0</v>
      </c>
      <c r="W6" s="406">
        <v>10.0</v>
      </c>
      <c r="X6" s="406">
        <v>10.0</v>
      </c>
      <c r="Y6" s="406" t="s">
        <v>65</v>
      </c>
      <c r="Z6" s="407"/>
      <c r="AA6" s="407"/>
      <c r="AB6" s="9" t="s">
        <v>39</v>
      </c>
      <c r="AC6" s="10" t="b">
        <v>1</v>
      </c>
      <c r="AD6" s="408">
        <f t="shared" si="1"/>
        <v>9.571428571</v>
      </c>
    </row>
    <row r="7">
      <c r="A7" s="404" t="s">
        <v>879</v>
      </c>
      <c r="B7" s="261" t="s">
        <v>880</v>
      </c>
      <c r="C7" s="405">
        <v>45522.55229166667</v>
      </c>
      <c r="D7" s="248" t="s">
        <v>1095</v>
      </c>
      <c r="E7" s="261" t="s">
        <v>781</v>
      </c>
      <c r="F7" s="406">
        <v>9.0</v>
      </c>
      <c r="G7" s="406">
        <v>10.0</v>
      </c>
      <c r="H7" s="406">
        <v>9.0</v>
      </c>
      <c r="I7" s="406">
        <v>9.0</v>
      </c>
      <c r="J7" s="406" t="s">
        <v>1096</v>
      </c>
      <c r="K7" s="406">
        <v>10.0</v>
      </c>
      <c r="L7" s="406">
        <v>10.0</v>
      </c>
      <c r="M7" s="406">
        <v>10.0</v>
      </c>
      <c r="N7" s="406">
        <v>10.0</v>
      </c>
      <c r="O7" s="406" t="s">
        <v>1097</v>
      </c>
      <c r="P7" s="406">
        <v>10.0</v>
      </c>
      <c r="Q7" s="406">
        <v>10.0</v>
      </c>
      <c r="R7" s="406">
        <v>10.0</v>
      </c>
      <c r="S7" s="406">
        <v>10.0</v>
      </c>
      <c r="T7" s="406" t="s">
        <v>1098</v>
      </c>
      <c r="U7" s="406">
        <v>9.0</v>
      </c>
      <c r="V7" s="406">
        <v>7.0</v>
      </c>
      <c r="W7" s="406">
        <v>10.0</v>
      </c>
      <c r="X7" s="406">
        <v>10.0</v>
      </c>
      <c r="Y7" s="406" t="s">
        <v>1099</v>
      </c>
      <c r="Z7" s="406" t="s">
        <v>1100</v>
      </c>
      <c r="AA7" s="406" t="s">
        <v>1101</v>
      </c>
      <c r="AB7" s="9" t="s">
        <v>39</v>
      </c>
      <c r="AC7" s="10" t="b">
        <v>1</v>
      </c>
      <c r="AD7" s="408">
        <f t="shared" si="1"/>
        <v>9.5625</v>
      </c>
    </row>
    <row r="8">
      <c r="A8" s="404" t="s">
        <v>888</v>
      </c>
      <c r="B8" s="261" t="s">
        <v>889</v>
      </c>
      <c r="C8" s="405">
        <v>45522.55756944444</v>
      </c>
      <c r="D8" s="248" t="s">
        <v>144</v>
      </c>
      <c r="E8" s="261" t="s">
        <v>242</v>
      </c>
      <c r="F8" s="406">
        <v>10.0</v>
      </c>
      <c r="G8" s="406">
        <v>9.0</v>
      </c>
      <c r="H8" s="406">
        <v>10.0</v>
      </c>
      <c r="I8" s="406">
        <v>9.0</v>
      </c>
      <c r="J8" s="406" t="s">
        <v>1172</v>
      </c>
      <c r="K8" s="406">
        <v>9.0</v>
      </c>
      <c r="L8" s="406">
        <v>9.0</v>
      </c>
      <c r="M8" s="406">
        <v>10.0</v>
      </c>
      <c r="N8" s="406">
        <v>10.0</v>
      </c>
      <c r="O8" s="406" t="s">
        <v>1173</v>
      </c>
      <c r="P8" s="406">
        <v>9.0</v>
      </c>
      <c r="Q8" s="406">
        <v>10.0</v>
      </c>
      <c r="R8" s="406">
        <v>10.0</v>
      </c>
      <c r="S8" s="406">
        <v>10.0</v>
      </c>
      <c r="T8" s="406" t="s">
        <v>1174</v>
      </c>
      <c r="U8" s="406">
        <v>10.0</v>
      </c>
      <c r="V8" s="406">
        <v>9.0</v>
      </c>
      <c r="W8" s="406">
        <v>9.0</v>
      </c>
      <c r="X8" s="406">
        <v>10.0</v>
      </c>
      <c r="Y8" s="406" t="s">
        <v>1175</v>
      </c>
      <c r="Z8" s="406" t="s">
        <v>1176</v>
      </c>
      <c r="AA8" s="406" t="s">
        <v>1177</v>
      </c>
      <c r="AB8" s="9" t="s">
        <v>39</v>
      </c>
      <c r="AC8" s="10" t="b">
        <v>1</v>
      </c>
      <c r="AD8" s="408">
        <f t="shared" si="1"/>
        <v>9.5625</v>
      </c>
    </row>
    <row r="9">
      <c r="A9" s="404" t="s">
        <v>896</v>
      </c>
      <c r="B9" s="261" t="s">
        <v>897</v>
      </c>
      <c r="C9" s="405">
        <v>45522.55813657407</v>
      </c>
      <c r="D9" s="248" t="s">
        <v>1034</v>
      </c>
      <c r="E9" s="261" t="s">
        <v>720</v>
      </c>
      <c r="F9" s="406">
        <v>9.0</v>
      </c>
      <c r="G9" s="406">
        <v>10.0</v>
      </c>
      <c r="H9" s="406">
        <v>9.0</v>
      </c>
      <c r="I9" s="406">
        <v>10.0</v>
      </c>
      <c r="J9" s="406" t="s">
        <v>1035</v>
      </c>
      <c r="K9" s="406">
        <v>9.0</v>
      </c>
      <c r="L9" s="406">
        <v>10.0</v>
      </c>
      <c r="M9" s="406">
        <v>9.0</v>
      </c>
      <c r="N9" s="406">
        <v>10.0</v>
      </c>
      <c r="O9" s="406" t="s">
        <v>1036</v>
      </c>
      <c r="P9" s="406">
        <v>9.0</v>
      </c>
      <c r="Q9" s="406">
        <v>10.0</v>
      </c>
      <c r="R9" s="406">
        <v>9.0</v>
      </c>
      <c r="S9" s="406">
        <v>10.0</v>
      </c>
      <c r="T9" s="406" t="s">
        <v>1037</v>
      </c>
      <c r="U9" s="406">
        <v>9.0</v>
      </c>
      <c r="V9" s="406">
        <v>10.0</v>
      </c>
      <c r="W9" s="406">
        <v>9.0</v>
      </c>
      <c r="X9" s="406">
        <v>10.0</v>
      </c>
      <c r="Y9" s="406" t="s">
        <v>1038</v>
      </c>
      <c r="Z9" s="407"/>
      <c r="AA9" s="407"/>
      <c r="AB9" s="9" t="s">
        <v>39</v>
      </c>
      <c r="AC9" s="10" t="b">
        <v>1</v>
      </c>
      <c r="AD9" s="408">
        <f t="shared" si="1"/>
        <v>9.5</v>
      </c>
    </row>
    <row r="10">
      <c r="A10" s="404" t="s">
        <v>903</v>
      </c>
      <c r="B10" s="261" t="s">
        <v>904</v>
      </c>
      <c r="C10" s="405">
        <v>45522.558483796296</v>
      </c>
      <c r="D10" s="248" t="s">
        <v>1355</v>
      </c>
      <c r="E10" s="261" t="s">
        <v>724</v>
      </c>
      <c r="F10" s="406">
        <v>10.0</v>
      </c>
      <c r="G10" s="406">
        <v>10.0</v>
      </c>
      <c r="H10" s="406">
        <v>10.0</v>
      </c>
      <c r="I10" s="406">
        <v>10.0</v>
      </c>
      <c r="J10" s="406" t="s">
        <v>396</v>
      </c>
      <c r="K10" s="406">
        <v>10.0</v>
      </c>
      <c r="L10" s="406">
        <v>9.0</v>
      </c>
      <c r="M10" s="406">
        <v>9.0</v>
      </c>
      <c r="N10" s="406">
        <v>8.0</v>
      </c>
      <c r="O10" s="406" t="s">
        <v>154</v>
      </c>
      <c r="P10" s="406">
        <v>9.0</v>
      </c>
      <c r="Q10" s="406">
        <v>8.0</v>
      </c>
      <c r="R10" s="406">
        <v>10.0</v>
      </c>
      <c r="S10" s="406">
        <v>10.0</v>
      </c>
      <c r="T10" s="406" t="s">
        <v>1356</v>
      </c>
      <c r="U10" s="406">
        <v>9.0</v>
      </c>
      <c r="V10" s="406">
        <v>10.0</v>
      </c>
      <c r="W10" s="406">
        <v>10.0</v>
      </c>
      <c r="X10" s="407"/>
      <c r="Y10" s="406" t="s">
        <v>154</v>
      </c>
      <c r="Z10" s="406" t="s">
        <v>65</v>
      </c>
      <c r="AA10" s="406" t="s">
        <v>65</v>
      </c>
      <c r="AB10" s="9" t="s">
        <v>39</v>
      </c>
      <c r="AC10" s="10" t="b">
        <v>1</v>
      </c>
      <c r="AD10" s="408">
        <f t="shared" si="1"/>
        <v>9.466666667</v>
      </c>
    </row>
    <row r="11">
      <c r="A11" s="404" t="s">
        <v>912</v>
      </c>
      <c r="B11" s="261" t="s">
        <v>913</v>
      </c>
      <c r="C11" s="405">
        <v>45522.55914351852</v>
      </c>
      <c r="D11" s="248" t="s">
        <v>873</v>
      </c>
      <c r="E11" s="261" t="s">
        <v>42</v>
      </c>
      <c r="F11" s="406">
        <v>8.0</v>
      </c>
      <c r="G11" s="406">
        <v>10.0</v>
      </c>
      <c r="H11" s="406">
        <v>10.0</v>
      </c>
      <c r="I11" s="406">
        <v>10.0</v>
      </c>
      <c r="J11" s="406" t="s">
        <v>874</v>
      </c>
      <c r="K11" s="406">
        <v>10.0</v>
      </c>
      <c r="L11" s="406">
        <v>10.0</v>
      </c>
      <c r="M11" s="406">
        <v>10.0</v>
      </c>
      <c r="N11" s="406">
        <v>10.0</v>
      </c>
      <c r="O11" s="406" t="s">
        <v>875</v>
      </c>
      <c r="P11" s="406">
        <v>9.0</v>
      </c>
      <c r="Q11" s="406">
        <v>8.0</v>
      </c>
      <c r="R11" s="406">
        <v>10.0</v>
      </c>
      <c r="S11" s="406">
        <v>10.0</v>
      </c>
      <c r="T11" s="406" t="s">
        <v>876</v>
      </c>
      <c r="U11" s="406">
        <v>10.0</v>
      </c>
      <c r="V11" s="406">
        <v>6.0</v>
      </c>
      <c r="W11" s="406">
        <v>10.0</v>
      </c>
      <c r="X11" s="406">
        <v>10.0</v>
      </c>
      <c r="Y11" s="406" t="s">
        <v>877</v>
      </c>
      <c r="Z11" s="407"/>
      <c r="AA11" s="406" t="s">
        <v>878</v>
      </c>
      <c r="AB11" s="9" t="s">
        <v>39</v>
      </c>
      <c r="AC11" s="10" t="b">
        <v>1</v>
      </c>
      <c r="AD11" s="408">
        <f t="shared" si="1"/>
        <v>9.4375</v>
      </c>
    </row>
    <row r="12">
      <c r="A12" s="404" t="s">
        <v>916</v>
      </c>
      <c r="B12" s="261" t="s">
        <v>917</v>
      </c>
      <c r="C12" s="405">
        <v>45522.56177083333</v>
      </c>
      <c r="D12" s="248" t="s">
        <v>777</v>
      </c>
      <c r="E12" s="261" t="s">
        <v>717</v>
      </c>
      <c r="F12" s="406">
        <v>9.0</v>
      </c>
      <c r="G12" s="406">
        <v>10.0</v>
      </c>
      <c r="H12" s="406">
        <v>10.0</v>
      </c>
      <c r="I12" s="406">
        <v>10.0</v>
      </c>
      <c r="J12" s="406" t="s">
        <v>962</v>
      </c>
      <c r="K12" s="406">
        <v>10.0</v>
      </c>
      <c r="L12" s="406">
        <v>10.0</v>
      </c>
      <c r="M12" s="406">
        <v>10.0</v>
      </c>
      <c r="N12" s="406">
        <v>10.0</v>
      </c>
      <c r="O12" s="406" t="s">
        <v>962</v>
      </c>
      <c r="P12" s="406">
        <v>8.0</v>
      </c>
      <c r="Q12" s="406">
        <v>10.0</v>
      </c>
      <c r="R12" s="406">
        <v>10.0</v>
      </c>
      <c r="S12" s="406">
        <v>10.0</v>
      </c>
      <c r="T12" s="406" t="s">
        <v>962</v>
      </c>
      <c r="U12" s="406">
        <v>7.0</v>
      </c>
      <c r="V12" s="406">
        <v>7.0</v>
      </c>
      <c r="W12" s="406">
        <v>10.0</v>
      </c>
      <c r="X12" s="406">
        <v>10.0</v>
      </c>
      <c r="Y12" s="406" t="s">
        <v>962</v>
      </c>
      <c r="Z12" s="407"/>
      <c r="AA12" s="407"/>
      <c r="AB12" s="9" t="s">
        <v>39</v>
      </c>
      <c r="AC12" s="10" t="b">
        <v>1</v>
      </c>
      <c r="AD12" s="408">
        <f t="shared" si="1"/>
        <v>9.4375</v>
      </c>
    </row>
    <row r="13">
      <c r="A13" s="404" t="s">
        <v>924</v>
      </c>
      <c r="B13" s="261" t="s">
        <v>925</v>
      </c>
      <c r="C13" s="405">
        <v>45522.56775462963</v>
      </c>
      <c r="D13" s="248" t="s">
        <v>1040</v>
      </c>
      <c r="E13" s="261" t="s">
        <v>720</v>
      </c>
      <c r="F13" s="406">
        <v>10.0</v>
      </c>
      <c r="G13" s="406">
        <v>9.0</v>
      </c>
      <c r="H13" s="406">
        <v>10.0</v>
      </c>
      <c r="I13" s="406">
        <v>9.0</v>
      </c>
      <c r="J13" s="406" t="s">
        <v>553</v>
      </c>
      <c r="K13" s="406">
        <v>9.0</v>
      </c>
      <c r="L13" s="406">
        <v>9.0</v>
      </c>
      <c r="M13" s="406">
        <v>10.0</v>
      </c>
      <c r="N13" s="406">
        <v>10.0</v>
      </c>
      <c r="O13" s="406" t="s">
        <v>553</v>
      </c>
      <c r="P13" s="406">
        <v>10.0</v>
      </c>
      <c r="Q13" s="406">
        <v>10.0</v>
      </c>
      <c r="R13" s="406">
        <v>10.0</v>
      </c>
      <c r="S13" s="406">
        <v>9.0</v>
      </c>
      <c r="T13" s="406" t="s">
        <v>553</v>
      </c>
      <c r="U13" s="406">
        <v>8.0</v>
      </c>
      <c r="V13" s="406">
        <v>9.0</v>
      </c>
      <c r="W13" s="406">
        <v>9.0</v>
      </c>
      <c r="X13" s="406">
        <v>10.0</v>
      </c>
      <c r="Y13" s="406" t="s">
        <v>553</v>
      </c>
      <c r="Z13" s="406" t="s">
        <v>553</v>
      </c>
      <c r="AA13" s="406" t="s">
        <v>553</v>
      </c>
      <c r="AB13" s="9" t="s">
        <v>39</v>
      </c>
      <c r="AC13" s="10" t="b">
        <v>1</v>
      </c>
      <c r="AD13" s="408">
        <f t="shared" si="1"/>
        <v>9.4375</v>
      </c>
    </row>
    <row r="14">
      <c r="A14" s="404" t="s">
        <v>930</v>
      </c>
      <c r="B14" s="261" t="s">
        <v>931</v>
      </c>
      <c r="C14" s="405">
        <v>45522.568715277775</v>
      </c>
      <c r="D14" s="248" t="s">
        <v>1327</v>
      </c>
      <c r="E14" s="261" t="s">
        <v>486</v>
      </c>
      <c r="F14" s="406">
        <v>10.0</v>
      </c>
      <c r="G14" s="406">
        <v>10.0</v>
      </c>
      <c r="H14" s="406">
        <v>10.0</v>
      </c>
      <c r="I14" s="406">
        <v>8.0</v>
      </c>
      <c r="J14" s="406" t="s">
        <v>1328</v>
      </c>
      <c r="K14" s="406">
        <v>10.0</v>
      </c>
      <c r="L14" s="406">
        <v>10.0</v>
      </c>
      <c r="M14" s="406">
        <v>10.0</v>
      </c>
      <c r="N14" s="406">
        <v>10.0</v>
      </c>
      <c r="O14" s="406" t="s">
        <v>1329</v>
      </c>
      <c r="P14" s="406">
        <v>10.0</v>
      </c>
      <c r="Q14" s="406">
        <v>10.0</v>
      </c>
      <c r="R14" s="406">
        <v>10.0</v>
      </c>
      <c r="S14" s="406">
        <v>10.0</v>
      </c>
      <c r="T14" s="406" t="s">
        <v>1330</v>
      </c>
      <c r="U14" s="406">
        <v>8.0</v>
      </c>
      <c r="V14" s="406">
        <v>8.0</v>
      </c>
      <c r="W14" s="406">
        <v>7.0</v>
      </c>
      <c r="X14" s="406">
        <v>10.0</v>
      </c>
      <c r="Y14" s="406" t="s">
        <v>1331</v>
      </c>
      <c r="Z14" s="406" t="s">
        <v>1332</v>
      </c>
      <c r="AA14" s="407"/>
      <c r="AB14" s="9" t="s">
        <v>39</v>
      </c>
      <c r="AC14" s="10" t="b">
        <v>1</v>
      </c>
      <c r="AD14" s="408">
        <f t="shared" si="1"/>
        <v>9.4375</v>
      </c>
    </row>
    <row r="15">
      <c r="A15" s="404" t="s">
        <v>938</v>
      </c>
      <c r="B15" s="261" t="s">
        <v>939</v>
      </c>
      <c r="C15" s="405">
        <v>45522.58331018518</v>
      </c>
      <c r="D15" s="248" t="s">
        <v>958</v>
      </c>
      <c r="E15" s="261" t="s">
        <v>774</v>
      </c>
      <c r="F15" s="406">
        <v>10.0</v>
      </c>
      <c r="G15" s="406">
        <v>8.0</v>
      </c>
      <c r="H15" s="406">
        <v>10.0</v>
      </c>
      <c r="I15" s="406">
        <v>9.0</v>
      </c>
      <c r="J15" s="406" t="s">
        <v>38</v>
      </c>
      <c r="K15" s="406">
        <v>10.0</v>
      </c>
      <c r="L15" s="407"/>
      <c r="M15" s="406">
        <v>10.0</v>
      </c>
      <c r="N15" s="406">
        <v>10.0</v>
      </c>
      <c r="O15" s="406" t="s">
        <v>38</v>
      </c>
      <c r="P15" s="406">
        <v>10.0</v>
      </c>
      <c r="Q15" s="406">
        <v>9.0</v>
      </c>
      <c r="R15" s="406">
        <v>10.0</v>
      </c>
      <c r="S15" s="406">
        <v>10.0</v>
      </c>
      <c r="T15" s="406" t="s">
        <v>38</v>
      </c>
      <c r="U15" s="406">
        <v>8.0</v>
      </c>
      <c r="V15" s="406">
        <v>8.0</v>
      </c>
      <c r="W15" s="406">
        <v>9.0</v>
      </c>
      <c r="X15" s="406">
        <v>10.0</v>
      </c>
      <c r="Y15" s="406" t="s">
        <v>959</v>
      </c>
      <c r="Z15" s="407"/>
      <c r="AA15" s="407"/>
      <c r="AB15" s="9" t="s">
        <v>39</v>
      </c>
      <c r="AC15" s="10" t="b">
        <v>1</v>
      </c>
      <c r="AD15" s="408">
        <f t="shared" si="1"/>
        <v>9.4</v>
      </c>
    </row>
    <row r="16">
      <c r="A16" s="404" t="s">
        <v>950</v>
      </c>
      <c r="B16" s="261" t="s">
        <v>365</v>
      </c>
      <c r="C16" s="405">
        <v>45522.590520833335</v>
      </c>
      <c r="D16" s="248" t="s">
        <v>1135</v>
      </c>
      <c r="E16" s="261" t="s">
        <v>775</v>
      </c>
      <c r="F16" s="406">
        <v>9.0</v>
      </c>
      <c r="G16" s="406">
        <v>10.0</v>
      </c>
      <c r="H16" s="406">
        <v>9.0</v>
      </c>
      <c r="I16" s="406">
        <v>9.0</v>
      </c>
      <c r="J16" s="406" t="s">
        <v>1152</v>
      </c>
      <c r="K16" s="406">
        <v>10.0</v>
      </c>
      <c r="L16" s="406">
        <v>10.0</v>
      </c>
      <c r="M16" s="406">
        <v>10.0</v>
      </c>
      <c r="N16" s="406">
        <v>10.0</v>
      </c>
      <c r="O16" s="406" t="s">
        <v>1152</v>
      </c>
      <c r="P16" s="406">
        <v>10.0</v>
      </c>
      <c r="Q16" s="406">
        <v>9.0</v>
      </c>
      <c r="R16" s="406">
        <v>9.0</v>
      </c>
      <c r="S16" s="406">
        <v>10.0</v>
      </c>
      <c r="T16" s="406" t="s">
        <v>1136</v>
      </c>
      <c r="U16" s="406">
        <v>8.0</v>
      </c>
      <c r="V16" s="406">
        <v>8.0</v>
      </c>
      <c r="W16" s="406">
        <v>10.0</v>
      </c>
      <c r="X16" s="406">
        <v>9.0</v>
      </c>
      <c r="Y16" s="406" t="s">
        <v>1152</v>
      </c>
      <c r="Z16" s="407"/>
      <c r="AA16" s="407"/>
      <c r="AB16" s="9" t="s">
        <v>39</v>
      </c>
      <c r="AC16" s="10" t="b">
        <v>1</v>
      </c>
      <c r="AD16" s="408">
        <f t="shared" si="1"/>
        <v>9.375</v>
      </c>
    </row>
    <row r="17">
      <c r="A17" s="404" t="s">
        <v>956</v>
      </c>
      <c r="B17" s="261" t="s">
        <v>957</v>
      </c>
      <c r="C17" s="405">
        <v>45522.597650462965</v>
      </c>
      <c r="D17" s="248" t="s">
        <v>433</v>
      </c>
      <c r="E17" s="261" t="s">
        <v>113</v>
      </c>
      <c r="F17" s="406">
        <v>10.0</v>
      </c>
      <c r="G17" s="406">
        <v>10.0</v>
      </c>
      <c r="H17" s="406">
        <v>10.0</v>
      </c>
      <c r="I17" s="406">
        <v>10.0</v>
      </c>
      <c r="J17" s="406" t="s">
        <v>553</v>
      </c>
      <c r="K17" s="406">
        <v>7.0</v>
      </c>
      <c r="L17" s="406">
        <v>7.0</v>
      </c>
      <c r="M17" s="406">
        <v>10.0</v>
      </c>
      <c r="N17" s="406">
        <v>10.0</v>
      </c>
      <c r="O17" s="406" t="s">
        <v>553</v>
      </c>
      <c r="P17" s="406">
        <v>10.0</v>
      </c>
      <c r="Q17" s="406">
        <v>8.0</v>
      </c>
      <c r="R17" s="406">
        <v>10.0</v>
      </c>
      <c r="S17" s="406">
        <v>10.0</v>
      </c>
      <c r="T17" s="406" t="s">
        <v>553</v>
      </c>
      <c r="U17" s="406">
        <v>8.0</v>
      </c>
      <c r="V17" s="406">
        <v>10.0</v>
      </c>
      <c r="W17" s="406">
        <v>10.0</v>
      </c>
      <c r="X17" s="406">
        <v>10.0</v>
      </c>
      <c r="Y17" s="406" t="s">
        <v>1302</v>
      </c>
      <c r="Z17" s="406" t="s">
        <v>1303</v>
      </c>
      <c r="AA17" s="406" t="s">
        <v>1304</v>
      </c>
      <c r="AB17" s="9" t="s">
        <v>39</v>
      </c>
      <c r="AC17" s="10" t="b">
        <v>1</v>
      </c>
      <c r="AD17" s="408">
        <f t="shared" si="1"/>
        <v>9.375</v>
      </c>
    </row>
    <row r="18">
      <c r="A18" s="404" t="s">
        <v>960</v>
      </c>
      <c r="B18" s="261" t="s">
        <v>961</v>
      </c>
      <c r="C18" s="405">
        <v>45522.61413194444</v>
      </c>
      <c r="D18" s="248" t="s">
        <v>1275</v>
      </c>
      <c r="E18" s="261" t="s">
        <v>49</v>
      </c>
      <c r="F18" s="406">
        <v>8.0</v>
      </c>
      <c r="G18" s="406">
        <v>8.0</v>
      </c>
      <c r="H18" s="406">
        <v>10.0</v>
      </c>
      <c r="I18" s="406">
        <v>10.0</v>
      </c>
      <c r="J18" s="406" t="s">
        <v>65</v>
      </c>
      <c r="K18" s="406">
        <v>10.0</v>
      </c>
      <c r="L18" s="406">
        <v>10.0</v>
      </c>
      <c r="M18" s="406">
        <v>10.0</v>
      </c>
      <c r="N18" s="406">
        <v>10.0</v>
      </c>
      <c r="O18" s="406" t="s">
        <v>65</v>
      </c>
      <c r="P18" s="406">
        <v>10.0</v>
      </c>
      <c r="Q18" s="406">
        <v>10.0</v>
      </c>
      <c r="R18" s="406">
        <v>10.0</v>
      </c>
      <c r="S18" s="406">
        <v>10.0</v>
      </c>
      <c r="T18" s="406" t="s">
        <v>65</v>
      </c>
      <c r="U18" s="406">
        <v>7.0</v>
      </c>
      <c r="V18" s="406">
        <v>8.0</v>
      </c>
      <c r="W18" s="406">
        <v>9.0</v>
      </c>
      <c r="X18" s="406">
        <v>9.0</v>
      </c>
      <c r="Y18" s="406" t="s">
        <v>65</v>
      </c>
      <c r="Z18" s="407"/>
      <c r="AA18" s="407"/>
      <c r="AB18" s="9" t="s">
        <v>39</v>
      </c>
      <c r="AC18" s="10" t="b">
        <v>1</v>
      </c>
      <c r="AD18" s="408">
        <f t="shared" si="1"/>
        <v>9.3125</v>
      </c>
    </row>
    <row r="19">
      <c r="A19" s="404" t="s">
        <v>963</v>
      </c>
      <c r="B19" s="261" t="s">
        <v>964</v>
      </c>
      <c r="C19" s="405">
        <v>45522.62021990741</v>
      </c>
      <c r="D19" s="248" t="s">
        <v>1026</v>
      </c>
      <c r="E19" s="261" t="s">
        <v>771</v>
      </c>
      <c r="F19" s="406">
        <v>10.0</v>
      </c>
      <c r="G19" s="406">
        <v>10.0</v>
      </c>
      <c r="H19" s="406">
        <v>9.0</v>
      </c>
      <c r="I19" s="406">
        <v>9.0</v>
      </c>
      <c r="J19" s="406" t="s">
        <v>1027</v>
      </c>
      <c r="K19" s="406">
        <v>8.0</v>
      </c>
      <c r="L19" s="406">
        <v>10.0</v>
      </c>
      <c r="M19" s="406">
        <v>10.0</v>
      </c>
      <c r="N19" s="406">
        <v>8.0</v>
      </c>
      <c r="O19" s="406" t="s">
        <v>1028</v>
      </c>
      <c r="P19" s="406">
        <v>8.0</v>
      </c>
      <c r="Q19" s="406">
        <v>10.0</v>
      </c>
      <c r="R19" s="406">
        <v>10.0</v>
      </c>
      <c r="S19" s="406">
        <v>10.0</v>
      </c>
      <c r="T19" s="406" t="s">
        <v>1029</v>
      </c>
      <c r="U19" s="406">
        <v>8.0</v>
      </c>
      <c r="V19" s="406">
        <v>10.0</v>
      </c>
      <c r="W19" s="406">
        <v>10.0</v>
      </c>
      <c r="X19" s="406">
        <v>8.0</v>
      </c>
      <c r="Y19" s="406" t="s">
        <v>1030</v>
      </c>
      <c r="Z19" s="406" t="s">
        <v>1031</v>
      </c>
      <c r="AA19" s="407"/>
      <c r="AB19" s="9" t="s">
        <v>39</v>
      </c>
      <c r="AC19" s="10" t="b">
        <v>1</v>
      </c>
      <c r="AD19" s="408">
        <f t="shared" si="1"/>
        <v>9.25</v>
      </c>
    </row>
    <row r="20">
      <c r="A20" s="404" t="s">
        <v>970</v>
      </c>
      <c r="B20" s="261" t="s">
        <v>971</v>
      </c>
      <c r="C20" s="405">
        <v>45522.62305555555</v>
      </c>
      <c r="D20" s="248" t="s">
        <v>1333</v>
      </c>
      <c r="E20" s="261" t="s">
        <v>486</v>
      </c>
      <c r="F20" s="406">
        <v>10.0</v>
      </c>
      <c r="G20" s="406">
        <v>10.0</v>
      </c>
      <c r="H20" s="406">
        <v>10.0</v>
      </c>
      <c r="I20" s="406">
        <v>10.0</v>
      </c>
      <c r="J20" s="406" t="s">
        <v>1334</v>
      </c>
      <c r="K20" s="406">
        <v>10.0</v>
      </c>
      <c r="L20" s="406">
        <v>10.0</v>
      </c>
      <c r="M20" s="406">
        <v>10.0</v>
      </c>
      <c r="N20" s="406">
        <v>10.0</v>
      </c>
      <c r="O20" s="406" t="s">
        <v>1110</v>
      </c>
      <c r="P20" s="406">
        <v>8.0</v>
      </c>
      <c r="Q20" s="406">
        <v>10.0</v>
      </c>
      <c r="R20" s="406">
        <v>10.0</v>
      </c>
      <c r="S20" s="406">
        <v>8.0</v>
      </c>
      <c r="T20" s="406" t="s">
        <v>1335</v>
      </c>
      <c r="U20" s="406">
        <v>3.0</v>
      </c>
      <c r="V20" s="406">
        <v>10.0</v>
      </c>
      <c r="W20" s="406">
        <v>9.0</v>
      </c>
      <c r="X20" s="406">
        <v>10.0</v>
      </c>
      <c r="Y20" s="406" t="s">
        <v>1336</v>
      </c>
      <c r="Z20" s="407"/>
      <c r="AA20" s="407"/>
      <c r="AB20" s="9" t="s">
        <v>39</v>
      </c>
      <c r="AC20" s="10" t="b">
        <v>1</v>
      </c>
      <c r="AD20" s="408">
        <f t="shared" si="1"/>
        <v>9.25</v>
      </c>
    </row>
    <row r="21">
      <c r="A21" s="404" t="s">
        <v>974</v>
      </c>
      <c r="B21" s="261" t="s">
        <v>975</v>
      </c>
      <c r="C21" s="405">
        <v>45522.627280092594</v>
      </c>
      <c r="D21" s="248" t="s">
        <v>781</v>
      </c>
      <c r="E21" s="261" t="s">
        <v>717</v>
      </c>
      <c r="F21" s="406">
        <v>10.0</v>
      </c>
      <c r="G21" s="406">
        <v>10.0</v>
      </c>
      <c r="H21" s="406">
        <v>10.0</v>
      </c>
      <c r="I21" s="406">
        <v>10.0</v>
      </c>
      <c r="J21" s="406" t="s">
        <v>965</v>
      </c>
      <c r="K21" s="406">
        <v>10.0</v>
      </c>
      <c r="L21" s="406">
        <v>10.0</v>
      </c>
      <c r="M21" s="406">
        <v>10.0</v>
      </c>
      <c r="N21" s="406">
        <v>9.0</v>
      </c>
      <c r="O21" s="406" t="s">
        <v>966</v>
      </c>
      <c r="P21" s="406">
        <v>8.0</v>
      </c>
      <c r="Q21" s="406">
        <v>8.0</v>
      </c>
      <c r="R21" s="406">
        <v>8.0</v>
      </c>
      <c r="S21" s="406">
        <v>10.0</v>
      </c>
      <c r="T21" s="406" t="s">
        <v>967</v>
      </c>
      <c r="U21" s="406">
        <v>7.0</v>
      </c>
      <c r="V21" s="406">
        <v>7.0</v>
      </c>
      <c r="W21" s="406">
        <v>8.0</v>
      </c>
      <c r="X21" s="406">
        <v>10.0</v>
      </c>
      <c r="Y21" s="406" t="s">
        <v>968</v>
      </c>
      <c r="Z21" s="406" t="s">
        <v>969</v>
      </c>
      <c r="AA21" s="407"/>
      <c r="AB21" s="9" t="s">
        <v>39</v>
      </c>
      <c r="AC21" s="10" t="b">
        <v>1</v>
      </c>
      <c r="AD21" s="408">
        <f t="shared" si="1"/>
        <v>9.0625</v>
      </c>
    </row>
    <row r="22">
      <c r="A22" s="404" t="s">
        <v>979</v>
      </c>
      <c r="B22" s="261" t="s">
        <v>980</v>
      </c>
      <c r="C22" s="405">
        <v>45522.63297453704</v>
      </c>
      <c r="D22" s="248" t="s">
        <v>780</v>
      </c>
      <c r="E22" s="261" t="s">
        <v>242</v>
      </c>
      <c r="F22" s="406">
        <v>7.0</v>
      </c>
      <c r="G22" s="406">
        <v>10.0</v>
      </c>
      <c r="H22" s="406">
        <v>10.0</v>
      </c>
      <c r="I22" s="406">
        <v>9.0</v>
      </c>
      <c r="J22" s="406" t="s">
        <v>1180</v>
      </c>
      <c r="K22" s="406">
        <v>10.0</v>
      </c>
      <c r="L22" s="406">
        <v>8.0</v>
      </c>
      <c r="M22" s="406">
        <v>10.0</v>
      </c>
      <c r="N22" s="406">
        <v>10.0</v>
      </c>
      <c r="O22" s="406" t="s">
        <v>1181</v>
      </c>
      <c r="P22" s="406">
        <v>10.0</v>
      </c>
      <c r="Q22" s="406">
        <v>10.0</v>
      </c>
      <c r="R22" s="406">
        <v>10.0</v>
      </c>
      <c r="S22" s="406">
        <v>7.0</v>
      </c>
      <c r="T22" s="406" t="s">
        <v>1182</v>
      </c>
      <c r="U22" s="406">
        <v>8.0</v>
      </c>
      <c r="V22" s="406">
        <v>10.0</v>
      </c>
      <c r="W22" s="406">
        <v>7.0</v>
      </c>
      <c r="X22" s="406">
        <v>9.0</v>
      </c>
      <c r="Y22" s="406" t="s">
        <v>1183</v>
      </c>
      <c r="Z22" s="406" t="s">
        <v>1184</v>
      </c>
      <c r="AA22" s="406" t="s">
        <v>1185</v>
      </c>
      <c r="AB22" s="9" t="s">
        <v>39</v>
      </c>
      <c r="AC22" s="10" t="b">
        <v>1</v>
      </c>
      <c r="AD22" s="408">
        <f t="shared" si="1"/>
        <v>9.0625</v>
      </c>
    </row>
    <row r="23">
      <c r="A23" s="404" t="s">
        <v>986</v>
      </c>
      <c r="B23" s="261" t="s">
        <v>987</v>
      </c>
      <c r="C23" s="405">
        <v>45522.633622685185</v>
      </c>
      <c r="D23" s="248" t="s">
        <v>366</v>
      </c>
      <c r="E23" s="261" t="s">
        <v>195</v>
      </c>
      <c r="F23" s="406">
        <v>10.0</v>
      </c>
      <c r="G23" s="406">
        <v>8.0</v>
      </c>
      <c r="H23" s="406">
        <v>10.0</v>
      </c>
      <c r="I23" s="406">
        <v>10.0</v>
      </c>
      <c r="J23" s="406" t="s">
        <v>1228</v>
      </c>
      <c r="K23" s="406">
        <v>10.0</v>
      </c>
      <c r="L23" s="406">
        <v>10.0</v>
      </c>
      <c r="M23" s="406">
        <v>10.0</v>
      </c>
      <c r="N23" s="406">
        <v>10.0</v>
      </c>
      <c r="O23" s="406" t="s">
        <v>1229</v>
      </c>
      <c r="P23" s="406">
        <v>10.0</v>
      </c>
      <c r="Q23" s="406">
        <v>10.0</v>
      </c>
      <c r="R23" s="406">
        <v>10.0</v>
      </c>
      <c r="S23" s="406">
        <v>10.0</v>
      </c>
      <c r="T23" s="406" t="s">
        <v>1230</v>
      </c>
      <c r="U23" s="406">
        <v>5.0</v>
      </c>
      <c r="V23" s="406">
        <v>5.0</v>
      </c>
      <c r="W23" s="406">
        <v>7.0</v>
      </c>
      <c r="X23" s="406">
        <v>10.0</v>
      </c>
      <c r="Y23" s="406" t="s">
        <v>1231</v>
      </c>
      <c r="Z23" s="406" t="s">
        <v>1232</v>
      </c>
      <c r="AA23" s="406" t="s">
        <v>1233</v>
      </c>
      <c r="AB23" s="9" t="s">
        <v>39</v>
      </c>
      <c r="AC23" s="10" t="b">
        <v>1</v>
      </c>
      <c r="AD23" s="408">
        <f t="shared" si="1"/>
        <v>9.0625</v>
      </c>
    </row>
    <row r="24">
      <c r="A24" s="404" t="s">
        <v>995</v>
      </c>
      <c r="B24" s="261" t="s">
        <v>996</v>
      </c>
      <c r="C24" s="405">
        <v>45522.6428125</v>
      </c>
      <c r="D24" s="248" t="s">
        <v>478</v>
      </c>
      <c r="E24" s="261" t="s">
        <v>486</v>
      </c>
      <c r="F24" s="406">
        <v>10.0</v>
      </c>
      <c r="G24" s="406">
        <v>6.0</v>
      </c>
      <c r="H24" s="406">
        <v>10.0</v>
      </c>
      <c r="I24" s="406">
        <v>10.0</v>
      </c>
      <c r="J24" s="406" t="s">
        <v>1337</v>
      </c>
      <c r="K24" s="406">
        <v>10.0</v>
      </c>
      <c r="L24" s="406">
        <v>10.0</v>
      </c>
      <c r="M24" s="406">
        <v>10.0</v>
      </c>
      <c r="N24" s="406">
        <v>6.0</v>
      </c>
      <c r="O24" s="406" t="s">
        <v>1338</v>
      </c>
      <c r="P24" s="406">
        <v>7.0</v>
      </c>
      <c r="Q24" s="406">
        <v>10.0</v>
      </c>
      <c r="R24" s="406">
        <v>10.0</v>
      </c>
      <c r="S24" s="406">
        <v>10.0</v>
      </c>
      <c r="T24" s="406" t="s">
        <v>1339</v>
      </c>
      <c r="U24" s="406">
        <v>6.0</v>
      </c>
      <c r="V24" s="406">
        <v>10.0</v>
      </c>
      <c r="W24" s="406">
        <v>10.0</v>
      </c>
      <c r="X24" s="406">
        <v>10.0</v>
      </c>
      <c r="Y24" s="406" t="s">
        <v>110</v>
      </c>
      <c r="Z24" s="406" t="s">
        <v>1340</v>
      </c>
      <c r="AA24" s="407"/>
      <c r="AB24" s="9" t="s">
        <v>39</v>
      </c>
      <c r="AC24" s="10" t="b">
        <v>1</v>
      </c>
      <c r="AD24" s="408">
        <f t="shared" si="1"/>
        <v>9.0625</v>
      </c>
    </row>
    <row r="25">
      <c r="A25" s="404" t="s">
        <v>1002</v>
      </c>
      <c r="B25" s="261" t="s">
        <v>1003</v>
      </c>
      <c r="C25" s="405">
        <v>45522.665358796294</v>
      </c>
      <c r="D25" s="248" t="s">
        <v>972</v>
      </c>
      <c r="E25" s="261" t="s">
        <v>530</v>
      </c>
      <c r="F25" s="406">
        <v>9.0</v>
      </c>
      <c r="G25" s="406">
        <v>10.0</v>
      </c>
      <c r="H25" s="406">
        <v>9.0</v>
      </c>
      <c r="I25" s="406">
        <v>10.0</v>
      </c>
      <c r="J25" s="406" t="s">
        <v>1155</v>
      </c>
      <c r="K25" s="406">
        <v>10.0</v>
      </c>
      <c r="L25" s="406">
        <v>9.0</v>
      </c>
      <c r="M25" s="406">
        <v>10.0</v>
      </c>
      <c r="N25" s="406">
        <v>10.0</v>
      </c>
      <c r="O25" s="406" t="s">
        <v>1155</v>
      </c>
      <c r="P25" s="406">
        <v>8.0</v>
      </c>
      <c r="Q25" s="406">
        <v>10.0</v>
      </c>
      <c r="R25" s="406">
        <v>10.0</v>
      </c>
      <c r="S25" s="406">
        <v>10.0</v>
      </c>
      <c r="T25" s="406" t="s">
        <v>1155</v>
      </c>
      <c r="U25" s="406">
        <v>6.0</v>
      </c>
      <c r="V25" s="406">
        <v>7.0</v>
      </c>
      <c r="W25" s="406">
        <v>7.0</v>
      </c>
      <c r="X25" s="406">
        <v>9.0</v>
      </c>
      <c r="Y25" s="406" t="s">
        <v>973</v>
      </c>
      <c r="Z25" s="407"/>
      <c r="AA25" s="407"/>
      <c r="AB25" s="9" t="s">
        <v>39</v>
      </c>
      <c r="AC25" s="10" t="b">
        <v>1</v>
      </c>
      <c r="AD25" s="408">
        <f t="shared" si="1"/>
        <v>9</v>
      </c>
    </row>
    <row r="26">
      <c r="A26" s="404" t="s">
        <v>1009</v>
      </c>
      <c r="B26" s="261" t="s">
        <v>1010</v>
      </c>
      <c r="C26" s="405">
        <v>45522.68268518519</v>
      </c>
      <c r="D26" s="248" t="s">
        <v>306</v>
      </c>
      <c r="E26" s="261" t="s">
        <v>530</v>
      </c>
      <c r="F26" s="406">
        <v>8.0</v>
      </c>
      <c r="G26" s="406">
        <v>8.0</v>
      </c>
      <c r="H26" s="406">
        <v>9.0</v>
      </c>
      <c r="I26" s="406">
        <v>9.0</v>
      </c>
      <c r="J26" s="406" t="s">
        <v>38</v>
      </c>
      <c r="K26" s="406">
        <v>9.0</v>
      </c>
      <c r="L26" s="406">
        <v>9.0</v>
      </c>
      <c r="M26" s="406">
        <v>9.0</v>
      </c>
      <c r="N26" s="406">
        <v>9.0</v>
      </c>
      <c r="O26" s="406" t="s">
        <v>38</v>
      </c>
      <c r="P26" s="406">
        <v>9.0</v>
      </c>
      <c r="Q26" s="406">
        <v>9.0</v>
      </c>
      <c r="R26" s="406">
        <v>10.0</v>
      </c>
      <c r="S26" s="406">
        <v>10.0</v>
      </c>
      <c r="T26" s="406" t="s">
        <v>976</v>
      </c>
      <c r="U26" s="406">
        <v>9.0</v>
      </c>
      <c r="V26" s="406">
        <v>9.0</v>
      </c>
      <c r="W26" s="406">
        <v>9.0</v>
      </c>
      <c r="X26" s="406">
        <v>9.0</v>
      </c>
      <c r="Y26" s="406" t="s">
        <v>977</v>
      </c>
      <c r="Z26" s="406" t="s">
        <v>978</v>
      </c>
      <c r="AA26" s="407"/>
      <c r="AB26" s="9" t="s">
        <v>39</v>
      </c>
      <c r="AC26" s="10" t="b">
        <v>1</v>
      </c>
      <c r="AD26" s="408">
        <f t="shared" si="1"/>
        <v>9</v>
      </c>
    </row>
    <row r="27">
      <c r="A27" s="404" t="s">
        <v>1016</v>
      </c>
      <c r="B27" s="261" t="s">
        <v>1010</v>
      </c>
      <c r="C27" s="405">
        <v>45522.68430555556</v>
      </c>
      <c r="D27" s="248" t="s">
        <v>720</v>
      </c>
      <c r="E27" s="261" t="s">
        <v>109</v>
      </c>
      <c r="F27" s="406">
        <v>9.0</v>
      </c>
      <c r="G27" s="406">
        <v>9.0</v>
      </c>
      <c r="H27" s="406">
        <v>9.0</v>
      </c>
      <c r="I27" s="406">
        <v>8.0</v>
      </c>
      <c r="J27" s="406" t="s">
        <v>1043</v>
      </c>
      <c r="K27" s="406">
        <v>10.0</v>
      </c>
      <c r="L27" s="406">
        <v>9.0</v>
      </c>
      <c r="M27" s="406">
        <v>9.0</v>
      </c>
      <c r="N27" s="406">
        <v>10.0</v>
      </c>
      <c r="O27" s="406" t="s">
        <v>1044</v>
      </c>
      <c r="P27" s="406">
        <v>10.0</v>
      </c>
      <c r="Q27" s="406">
        <v>10.0</v>
      </c>
      <c r="R27" s="406">
        <v>9.0</v>
      </c>
      <c r="S27" s="406">
        <v>9.0</v>
      </c>
      <c r="T27" s="406" t="s">
        <v>65</v>
      </c>
      <c r="U27" s="406">
        <v>8.0</v>
      </c>
      <c r="V27" s="406">
        <v>8.0</v>
      </c>
      <c r="W27" s="406">
        <v>8.0</v>
      </c>
      <c r="X27" s="406">
        <v>9.0</v>
      </c>
      <c r="Y27" s="406" t="s">
        <v>65</v>
      </c>
      <c r="Z27" s="406" t="s">
        <v>65</v>
      </c>
      <c r="AA27" s="406" t="s">
        <v>65</v>
      </c>
      <c r="AB27" s="9" t="s">
        <v>39</v>
      </c>
      <c r="AC27" s="10" t="b">
        <v>1</v>
      </c>
      <c r="AD27" s="408">
        <f t="shared" si="1"/>
        <v>9</v>
      </c>
    </row>
    <row r="28">
      <c r="A28" s="404" t="s">
        <v>1024</v>
      </c>
      <c r="B28" s="261" t="s">
        <v>1025</v>
      </c>
      <c r="C28" s="405">
        <v>45522.686423611114</v>
      </c>
      <c r="D28" s="248" t="s">
        <v>33</v>
      </c>
      <c r="E28" s="261" t="s">
        <v>109</v>
      </c>
      <c r="F28" s="406">
        <v>7.0</v>
      </c>
      <c r="G28" s="406">
        <v>7.0</v>
      </c>
      <c r="H28" s="406">
        <v>10.0</v>
      </c>
      <c r="I28" s="406">
        <v>8.0</v>
      </c>
      <c r="J28" s="406" t="s">
        <v>1047</v>
      </c>
      <c r="K28" s="406">
        <v>10.0</v>
      </c>
      <c r="L28" s="406">
        <v>10.0</v>
      </c>
      <c r="M28" s="406">
        <v>10.0</v>
      </c>
      <c r="N28" s="406">
        <v>8.0</v>
      </c>
      <c r="O28" s="406" t="s">
        <v>1048</v>
      </c>
      <c r="P28" s="406">
        <v>10.0</v>
      </c>
      <c r="Q28" s="406">
        <v>10.0</v>
      </c>
      <c r="R28" s="406">
        <v>10.0</v>
      </c>
      <c r="S28" s="406">
        <v>8.0</v>
      </c>
      <c r="T28" s="406" t="s">
        <v>1049</v>
      </c>
      <c r="U28" s="406">
        <v>7.0</v>
      </c>
      <c r="V28" s="406">
        <v>10.0</v>
      </c>
      <c r="W28" s="406">
        <v>8.0</v>
      </c>
      <c r="X28" s="406">
        <v>10.0</v>
      </c>
      <c r="Y28" s="406" t="s">
        <v>1050</v>
      </c>
      <c r="Z28" s="406" t="s">
        <v>1051</v>
      </c>
      <c r="AA28" s="406" t="s">
        <v>86</v>
      </c>
      <c r="AB28" s="9" t="s">
        <v>39</v>
      </c>
      <c r="AC28" s="10" t="b">
        <v>1</v>
      </c>
      <c r="AD28" s="408">
        <f t="shared" si="1"/>
        <v>8.9375</v>
      </c>
    </row>
    <row r="29">
      <c r="A29" s="404" t="s">
        <v>1032</v>
      </c>
      <c r="B29" s="261" t="s">
        <v>1033</v>
      </c>
      <c r="C29" s="405">
        <v>45522.73458333333</v>
      </c>
      <c r="D29" s="248" t="s">
        <v>173</v>
      </c>
      <c r="E29" s="261" t="s">
        <v>724</v>
      </c>
      <c r="F29" s="406">
        <v>10.0</v>
      </c>
      <c r="G29" s="406">
        <v>10.0</v>
      </c>
      <c r="H29" s="406">
        <v>7.0</v>
      </c>
      <c r="I29" s="406">
        <v>8.0</v>
      </c>
      <c r="J29" s="406" t="s">
        <v>1357</v>
      </c>
      <c r="K29" s="406">
        <v>9.0</v>
      </c>
      <c r="L29" s="406">
        <v>9.0</v>
      </c>
      <c r="M29" s="406">
        <v>10.0</v>
      </c>
      <c r="N29" s="406">
        <v>9.0</v>
      </c>
      <c r="O29" s="406" t="s">
        <v>396</v>
      </c>
      <c r="P29" s="406">
        <v>9.0</v>
      </c>
      <c r="Q29" s="406">
        <v>10.0</v>
      </c>
      <c r="R29" s="406">
        <v>9.0</v>
      </c>
      <c r="S29" s="406">
        <v>7.0</v>
      </c>
      <c r="T29" s="406" t="s">
        <v>1358</v>
      </c>
      <c r="U29" s="406">
        <v>9.0</v>
      </c>
      <c r="V29" s="406">
        <v>10.0</v>
      </c>
      <c r="W29" s="406">
        <v>8.0</v>
      </c>
      <c r="X29" s="406">
        <v>8.0</v>
      </c>
      <c r="Y29" s="406" t="s">
        <v>396</v>
      </c>
      <c r="Z29" s="406" t="s">
        <v>1359</v>
      </c>
      <c r="AA29" s="406" t="s">
        <v>1360</v>
      </c>
      <c r="AB29" s="9" t="s">
        <v>39</v>
      </c>
      <c r="AC29" s="10" t="b">
        <v>1</v>
      </c>
      <c r="AD29" s="408">
        <f t="shared" si="1"/>
        <v>8.875</v>
      </c>
    </row>
    <row r="30">
      <c r="A30" s="404" t="s">
        <v>1039</v>
      </c>
      <c r="B30" s="261" t="s">
        <v>340</v>
      </c>
      <c r="C30" s="405">
        <v>45522.77438657408</v>
      </c>
      <c r="D30" s="248" t="s">
        <v>918</v>
      </c>
      <c r="E30" s="261" t="s">
        <v>241</v>
      </c>
      <c r="F30" s="406">
        <v>9.0</v>
      </c>
      <c r="G30" s="406">
        <v>8.0</v>
      </c>
      <c r="H30" s="406">
        <v>8.0</v>
      </c>
      <c r="I30" s="406">
        <v>10.0</v>
      </c>
      <c r="J30" s="406" t="s">
        <v>919</v>
      </c>
      <c r="K30" s="406">
        <v>10.0</v>
      </c>
      <c r="L30" s="406">
        <v>9.0</v>
      </c>
      <c r="M30" s="406">
        <v>8.0</v>
      </c>
      <c r="N30" s="406">
        <v>10.0</v>
      </c>
      <c r="O30" s="406" t="s">
        <v>920</v>
      </c>
      <c r="P30" s="406">
        <v>9.0</v>
      </c>
      <c r="Q30" s="406">
        <v>9.0</v>
      </c>
      <c r="R30" s="406">
        <v>9.0</v>
      </c>
      <c r="S30" s="406">
        <v>7.0</v>
      </c>
      <c r="T30" s="406" t="s">
        <v>921</v>
      </c>
      <c r="U30" s="406">
        <v>8.0</v>
      </c>
      <c r="V30" s="406">
        <v>8.0</v>
      </c>
      <c r="W30" s="406">
        <v>9.0</v>
      </c>
      <c r="X30" s="406">
        <v>10.0</v>
      </c>
      <c r="Y30" s="406" t="s">
        <v>65</v>
      </c>
      <c r="Z30" s="406" t="s">
        <v>922</v>
      </c>
      <c r="AA30" s="406" t="s">
        <v>923</v>
      </c>
      <c r="AB30" s="9" t="s">
        <v>39</v>
      </c>
      <c r="AC30" s="10" t="b">
        <v>1</v>
      </c>
      <c r="AD30" s="408">
        <f t="shared" si="1"/>
        <v>8.8125</v>
      </c>
    </row>
    <row r="31">
      <c r="A31" s="404" t="s">
        <v>1041</v>
      </c>
      <c r="B31" s="261" t="s">
        <v>1042</v>
      </c>
      <c r="C31" s="405">
        <v>45522.80025462963</v>
      </c>
      <c r="D31" s="248" t="s">
        <v>134</v>
      </c>
      <c r="E31" s="261" t="s">
        <v>109</v>
      </c>
      <c r="F31" s="406">
        <v>7.0</v>
      </c>
      <c r="G31" s="406">
        <v>9.0</v>
      </c>
      <c r="H31" s="406">
        <v>7.0</v>
      </c>
      <c r="I31" s="406">
        <v>10.0</v>
      </c>
      <c r="J31" s="406" t="s">
        <v>1054</v>
      </c>
      <c r="K31" s="406">
        <v>10.0</v>
      </c>
      <c r="L31" s="406">
        <v>10.0</v>
      </c>
      <c r="M31" s="406">
        <v>9.0</v>
      </c>
      <c r="N31" s="406">
        <v>10.0</v>
      </c>
      <c r="O31" s="406" t="s">
        <v>1055</v>
      </c>
      <c r="P31" s="406">
        <v>10.0</v>
      </c>
      <c r="Q31" s="406">
        <v>5.0</v>
      </c>
      <c r="R31" s="406">
        <v>10.0</v>
      </c>
      <c r="S31" s="406">
        <v>9.0</v>
      </c>
      <c r="T31" s="406" t="s">
        <v>1056</v>
      </c>
      <c r="U31" s="406">
        <v>6.0</v>
      </c>
      <c r="V31" s="406">
        <v>9.0</v>
      </c>
      <c r="W31" s="406">
        <v>10.0</v>
      </c>
      <c r="X31" s="406">
        <v>10.0</v>
      </c>
      <c r="Y31" s="406" t="s">
        <v>1057</v>
      </c>
      <c r="Z31" s="406" t="s">
        <v>1058</v>
      </c>
      <c r="AA31" s="407"/>
      <c r="AB31" s="9" t="s">
        <v>39</v>
      </c>
      <c r="AC31" s="10" t="b">
        <v>1</v>
      </c>
      <c r="AD31" s="408">
        <f t="shared" si="1"/>
        <v>8.8125</v>
      </c>
    </row>
    <row r="32">
      <c r="A32" s="404" t="s">
        <v>1045</v>
      </c>
      <c r="B32" s="261" t="s">
        <v>1046</v>
      </c>
      <c r="C32" s="405">
        <v>45522.831608796296</v>
      </c>
      <c r="D32" s="248" t="s">
        <v>1104</v>
      </c>
      <c r="E32" s="261" t="s">
        <v>781</v>
      </c>
      <c r="F32" s="406">
        <v>10.0</v>
      </c>
      <c r="G32" s="406">
        <v>6.0</v>
      </c>
      <c r="H32" s="406">
        <v>10.0</v>
      </c>
      <c r="I32" s="406">
        <v>8.0</v>
      </c>
      <c r="J32" s="406" t="s">
        <v>1105</v>
      </c>
      <c r="K32" s="406">
        <v>9.0</v>
      </c>
      <c r="L32" s="406">
        <v>10.0</v>
      </c>
      <c r="M32" s="406">
        <v>10.0</v>
      </c>
      <c r="N32" s="406">
        <v>10.0</v>
      </c>
      <c r="O32" s="406" t="s">
        <v>1106</v>
      </c>
      <c r="P32" s="406">
        <v>8.0</v>
      </c>
      <c r="Q32" s="406">
        <v>9.0</v>
      </c>
      <c r="R32" s="406">
        <v>8.0</v>
      </c>
      <c r="S32" s="406">
        <v>7.0</v>
      </c>
      <c r="T32" s="406" t="s">
        <v>1107</v>
      </c>
      <c r="U32" s="406">
        <v>6.0</v>
      </c>
      <c r="V32" s="406">
        <v>10.0</v>
      </c>
      <c r="W32" s="406">
        <v>9.0</v>
      </c>
      <c r="X32" s="406">
        <v>9.0</v>
      </c>
      <c r="Y32" s="406" t="s">
        <v>1108</v>
      </c>
      <c r="Z32" s="406" t="s">
        <v>1109</v>
      </c>
      <c r="AA32" s="406" t="s">
        <v>1110</v>
      </c>
      <c r="AB32" s="9" t="s">
        <v>39</v>
      </c>
      <c r="AC32" s="10" t="b">
        <v>1</v>
      </c>
      <c r="AD32" s="408">
        <f t="shared" si="1"/>
        <v>8.6875</v>
      </c>
    </row>
    <row r="33">
      <c r="A33" s="404" t="s">
        <v>1052</v>
      </c>
      <c r="B33" s="261" t="s">
        <v>1053</v>
      </c>
      <c r="C33" s="405">
        <v>45522.83660879629</v>
      </c>
      <c r="D33" s="248" t="s">
        <v>1135</v>
      </c>
      <c r="E33" s="261" t="s">
        <v>134</v>
      </c>
      <c r="F33" s="406">
        <v>8.0</v>
      </c>
      <c r="G33" s="406">
        <v>8.0</v>
      </c>
      <c r="H33" s="406">
        <v>10.0</v>
      </c>
      <c r="I33" s="406">
        <v>8.0</v>
      </c>
      <c r="J33" s="406" t="s">
        <v>1136</v>
      </c>
      <c r="K33" s="406">
        <v>10.0</v>
      </c>
      <c r="L33" s="406">
        <v>10.0</v>
      </c>
      <c r="M33" s="406">
        <v>9.0</v>
      </c>
      <c r="N33" s="406">
        <v>8.0</v>
      </c>
      <c r="O33" s="406" t="s">
        <v>1136</v>
      </c>
      <c r="P33" s="406">
        <v>8.0</v>
      </c>
      <c r="Q33" s="406">
        <v>10.0</v>
      </c>
      <c r="R33" s="406">
        <v>10.0</v>
      </c>
      <c r="S33" s="406">
        <v>9.0</v>
      </c>
      <c r="T33" s="406" t="s">
        <v>1136</v>
      </c>
      <c r="U33" s="406">
        <v>7.0</v>
      </c>
      <c r="V33" s="406">
        <v>7.0</v>
      </c>
      <c r="W33" s="406">
        <v>9.0</v>
      </c>
      <c r="X33" s="406">
        <v>8.0</v>
      </c>
      <c r="Y33" s="406" t="s">
        <v>1136</v>
      </c>
      <c r="Z33" s="407"/>
      <c r="AA33" s="407"/>
      <c r="AB33" s="9" t="s">
        <v>39</v>
      </c>
      <c r="AC33" s="10" t="b">
        <v>1</v>
      </c>
      <c r="AD33" s="408">
        <f t="shared" si="1"/>
        <v>8.6875</v>
      </c>
    </row>
    <row r="34">
      <c r="A34" s="404" t="s">
        <v>1059</v>
      </c>
      <c r="B34" s="261" t="s">
        <v>1060</v>
      </c>
      <c r="C34" s="405">
        <v>45522.98944444444</v>
      </c>
      <c r="D34" s="248" t="s">
        <v>269</v>
      </c>
      <c r="E34" s="261" t="s">
        <v>113</v>
      </c>
      <c r="F34" s="406">
        <v>8.0</v>
      </c>
      <c r="G34" s="406">
        <v>10.0</v>
      </c>
      <c r="H34" s="406">
        <v>8.0</v>
      </c>
      <c r="I34" s="406">
        <v>7.0</v>
      </c>
      <c r="J34" s="406" t="s">
        <v>1307</v>
      </c>
      <c r="K34" s="406">
        <v>9.0</v>
      </c>
      <c r="L34" s="406">
        <v>7.0</v>
      </c>
      <c r="M34" s="406">
        <v>10.0</v>
      </c>
      <c r="N34" s="406">
        <v>10.0</v>
      </c>
      <c r="O34" s="406" t="s">
        <v>1308</v>
      </c>
      <c r="P34" s="406">
        <v>10.0</v>
      </c>
      <c r="Q34" s="406">
        <v>10.0</v>
      </c>
      <c r="R34" s="406">
        <v>10.0</v>
      </c>
      <c r="S34" s="406">
        <v>10.0</v>
      </c>
      <c r="T34" s="406" t="s">
        <v>1309</v>
      </c>
      <c r="U34" s="406">
        <v>7.0</v>
      </c>
      <c r="V34" s="406">
        <v>6.0</v>
      </c>
      <c r="W34" s="406">
        <v>8.0</v>
      </c>
      <c r="X34" s="406">
        <v>8.0</v>
      </c>
      <c r="Y34" s="406" t="s">
        <v>1310</v>
      </c>
      <c r="Z34" s="407"/>
      <c r="AA34" s="407"/>
      <c r="AB34" s="9" t="s">
        <v>39</v>
      </c>
      <c r="AC34" s="10" t="b">
        <v>1</v>
      </c>
      <c r="AD34" s="408">
        <f t="shared" si="1"/>
        <v>8.625</v>
      </c>
    </row>
    <row r="35">
      <c r="A35" s="404" t="s">
        <v>1062</v>
      </c>
      <c r="B35" s="261" t="s">
        <v>1063</v>
      </c>
      <c r="C35" s="405">
        <v>45523.136145833334</v>
      </c>
      <c r="D35" s="248" t="s">
        <v>861</v>
      </c>
      <c r="E35" s="261" t="s">
        <v>724</v>
      </c>
      <c r="F35" s="406">
        <v>9.0</v>
      </c>
      <c r="G35" s="406">
        <v>10.0</v>
      </c>
      <c r="H35" s="406">
        <v>9.0</v>
      </c>
      <c r="I35" s="406">
        <v>9.0</v>
      </c>
      <c r="J35" s="406" t="s">
        <v>1361</v>
      </c>
      <c r="K35" s="406">
        <v>8.0</v>
      </c>
      <c r="L35" s="406">
        <v>9.0</v>
      </c>
      <c r="M35" s="406">
        <v>9.0</v>
      </c>
      <c r="N35" s="406">
        <v>8.0</v>
      </c>
      <c r="O35" s="406" t="s">
        <v>1362</v>
      </c>
      <c r="P35" s="406">
        <v>9.0</v>
      </c>
      <c r="Q35" s="406">
        <v>9.0</v>
      </c>
      <c r="R35" s="406">
        <v>8.0</v>
      </c>
      <c r="S35" s="406">
        <v>9.0</v>
      </c>
      <c r="T35" s="406" t="s">
        <v>1363</v>
      </c>
      <c r="U35" s="406">
        <v>8.0</v>
      </c>
      <c r="V35" s="406">
        <v>7.0</v>
      </c>
      <c r="W35" s="406">
        <v>8.0</v>
      </c>
      <c r="X35" s="406">
        <v>9.0</v>
      </c>
      <c r="Y35" s="406" t="s">
        <v>70</v>
      </c>
      <c r="Z35" s="407"/>
      <c r="AA35" s="407"/>
      <c r="AB35" s="9" t="s">
        <v>39</v>
      </c>
      <c r="AC35" s="10" t="b">
        <v>1</v>
      </c>
      <c r="AD35" s="408">
        <f t="shared" si="1"/>
        <v>8.625</v>
      </c>
    </row>
    <row r="36">
      <c r="A36" s="404" t="s">
        <v>1069</v>
      </c>
      <c r="B36" s="261" t="s">
        <v>440</v>
      </c>
      <c r="C36" s="405">
        <v>45523.19494212963</v>
      </c>
      <c r="D36" s="248" t="s">
        <v>988</v>
      </c>
      <c r="E36" s="261" t="s">
        <v>777</v>
      </c>
      <c r="F36" s="406">
        <v>8.0</v>
      </c>
      <c r="G36" s="406">
        <v>8.0</v>
      </c>
      <c r="H36" s="406">
        <v>9.0</v>
      </c>
      <c r="I36" s="406">
        <v>8.0</v>
      </c>
      <c r="J36" s="406" t="s">
        <v>989</v>
      </c>
      <c r="K36" s="406">
        <v>9.0</v>
      </c>
      <c r="L36" s="406">
        <v>9.0</v>
      </c>
      <c r="M36" s="406">
        <v>9.0</v>
      </c>
      <c r="N36" s="406">
        <v>7.0</v>
      </c>
      <c r="O36" s="406" t="s">
        <v>990</v>
      </c>
      <c r="P36" s="406">
        <v>8.0</v>
      </c>
      <c r="Q36" s="406">
        <v>9.0</v>
      </c>
      <c r="R36" s="406">
        <v>9.0</v>
      </c>
      <c r="S36" s="406">
        <v>9.0</v>
      </c>
      <c r="T36" s="406" t="s">
        <v>991</v>
      </c>
      <c r="U36" s="406">
        <v>8.0</v>
      </c>
      <c r="V36" s="406">
        <v>8.0</v>
      </c>
      <c r="W36" s="406">
        <v>9.0</v>
      </c>
      <c r="X36" s="406">
        <v>9.0</v>
      </c>
      <c r="Y36" s="406" t="s">
        <v>992</v>
      </c>
      <c r="Z36" s="406" t="s">
        <v>993</v>
      </c>
      <c r="AA36" s="406" t="s">
        <v>994</v>
      </c>
      <c r="AB36" s="9" t="s">
        <v>39</v>
      </c>
      <c r="AC36" s="10" t="b">
        <v>1</v>
      </c>
      <c r="AD36" s="408">
        <f t="shared" si="1"/>
        <v>8.5</v>
      </c>
    </row>
    <row r="37">
      <c r="A37" s="404" t="s">
        <v>1077</v>
      </c>
      <c r="B37" s="261" t="s">
        <v>440</v>
      </c>
      <c r="C37" s="405">
        <v>45523.20667824074</v>
      </c>
      <c r="D37" s="248" t="s">
        <v>202</v>
      </c>
      <c r="E37" s="261" t="s">
        <v>775</v>
      </c>
      <c r="F37" s="406">
        <v>9.0</v>
      </c>
      <c r="G37" s="406">
        <v>8.0</v>
      </c>
      <c r="H37" s="406">
        <v>8.0</v>
      </c>
      <c r="I37" s="406">
        <v>8.0</v>
      </c>
      <c r="J37" s="406" t="s">
        <v>1155</v>
      </c>
      <c r="K37" s="406">
        <v>9.0</v>
      </c>
      <c r="L37" s="406">
        <v>8.0</v>
      </c>
      <c r="M37" s="406">
        <v>10.0</v>
      </c>
      <c r="N37" s="406">
        <v>8.0</v>
      </c>
      <c r="O37" s="406" t="s">
        <v>1155</v>
      </c>
      <c r="P37" s="406">
        <v>9.0</v>
      </c>
      <c r="Q37" s="406">
        <v>9.0</v>
      </c>
      <c r="R37" s="406">
        <v>9.0</v>
      </c>
      <c r="S37" s="406">
        <v>9.0</v>
      </c>
      <c r="T37" s="406" t="s">
        <v>1155</v>
      </c>
      <c r="U37" s="406">
        <v>8.0</v>
      </c>
      <c r="V37" s="406">
        <v>8.0</v>
      </c>
      <c r="W37" s="406">
        <v>8.0</v>
      </c>
      <c r="X37" s="406">
        <v>8.0</v>
      </c>
      <c r="Y37" s="406" t="s">
        <v>1155</v>
      </c>
      <c r="Z37" s="406" t="s">
        <v>1155</v>
      </c>
      <c r="AA37" s="406" t="s">
        <v>1155</v>
      </c>
      <c r="AB37" s="9" t="s">
        <v>39</v>
      </c>
      <c r="AC37" s="10" t="b">
        <v>1</v>
      </c>
      <c r="AD37" s="408">
        <f t="shared" si="1"/>
        <v>8.5</v>
      </c>
    </row>
    <row r="38">
      <c r="A38" s="404" t="s">
        <v>1084</v>
      </c>
      <c r="B38" s="261" t="s">
        <v>1085</v>
      </c>
      <c r="C38" s="405">
        <v>45523.365752314814</v>
      </c>
      <c r="D38" s="248" t="s">
        <v>318</v>
      </c>
      <c r="E38" s="261" t="s">
        <v>516</v>
      </c>
      <c r="F38" s="406">
        <v>8.0</v>
      </c>
      <c r="G38" s="406">
        <v>10.0</v>
      </c>
      <c r="H38" s="406">
        <v>10.0</v>
      </c>
      <c r="I38" s="406">
        <v>6.0</v>
      </c>
      <c r="J38" s="406" t="s">
        <v>1243</v>
      </c>
      <c r="K38" s="406">
        <v>9.0</v>
      </c>
      <c r="L38" s="406">
        <v>10.0</v>
      </c>
      <c r="M38" s="406">
        <v>10.0</v>
      </c>
      <c r="N38" s="406">
        <v>7.0</v>
      </c>
      <c r="O38" s="406" t="s">
        <v>1244</v>
      </c>
      <c r="P38" s="406">
        <v>10.0</v>
      </c>
      <c r="Q38" s="406">
        <v>10.0</v>
      </c>
      <c r="R38" s="406">
        <v>10.0</v>
      </c>
      <c r="S38" s="406">
        <v>10.0</v>
      </c>
      <c r="T38" s="406" t="s">
        <v>1245</v>
      </c>
      <c r="U38" s="406">
        <v>3.0</v>
      </c>
      <c r="V38" s="406">
        <v>5.0</v>
      </c>
      <c r="W38" s="406">
        <v>8.0</v>
      </c>
      <c r="X38" s="406">
        <v>9.0</v>
      </c>
      <c r="Y38" s="406" t="s">
        <v>1246</v>
      </c>
      <c r="Z38" s="407"/>
      <c r="AA38" s="407"/>
      <c r="AB38" s="9" t="s">
        <v>39</v>
      </c>
      <c r="AC38" s="10" t="b">
        <v>1</v>
      </c>
      <c r="AD38" s="408">
        <f t="shared" si="1"/>
        <v>8.4375</v>
      </c>
    </row>
    <row r="39">
      <c r="A39" s="404" t="s">
        <v>1093</v>
      </c>
      <c r="B39" s="261" t="s">
        <v>1094</v>
      </c>
      <c r="C39" s="405">
        <v>45523.45936342593</v>
      </c>
      <c r="D39" s="248" t="s">
        <v>42</v>
      </c>
      <c r="E39" s="261" t="s">
        <v>33</v>
      </c>
      <c r="F39" s="406">
        <v>9.0</v>
      </c>
      <c r="G39" s="406">
        <v>10.0</v>
      </c>
      <c r="H39" s="406">
        <v>6.0</v>
      </c>
      <c r="I39" s="406">
        <v>6.0</v>
      </c>
      <c r="J39" s="406" t="s">
        <v>802</v>
      </c>
      <c r="K39" s="406">
        <v>7.0</v>
      </c>
      <c r="L39" s="406">
        <v>9.0</v>
      </c>
      <c r="M39" s="406">
        <v>10.0</v>
      </c>
      <c r="N39" s="406">
        <v>10.0</v>
      </c>
      <c r="O39" s="406" t="s">
        <v>803</v>
      </c>
      <c r="P39" s="406">
        <v>10.0</v>
      </c>
      <c r="Q39" s="406">
        <v>10.0</v>
      </c>
      <c r="R39" s="406">
        <v>10.0</v>
      </c>
      <c r="S39" s="406">
        <v>10.0</v>
      </c>
      <c r="T39" s="406" t="s">
        <v>804</v>
      </c>
      <c r="U39" s="406">
        <v>2.0</v>
      </c>
      <c r="V39" s="406">
        <v>7.0</v>
      </c>
      <c r="W39" s="406">
        <v>8.0</v>
      </c>
      <c r="X39" s="406">
        <v>10.0</v>
      </c>
      <c r="Y39" s="406" t="s">
        <v>65</v>
      </c>
      <c r="Z39" s="407"/>
      <c r="AA39" s="407"/>
      <c r="AB39" s="9" t="s">
        <v>39</v>
      </c>
      <c r="AC39" s="10" t="b">
        <v>1</v>
      </c>
      <c r="AD39" s="408">
        <f t="shared" si="1"/>
        <v>8.375</v>
      </c>
    </row>
    <row r="40">
      <c r="A40" s="404" t="s">
        <v>1102</v>
      </c>
      <c r="B40" s="261" t="s">
        <v>1103</v>
      </c>
      <c r="C40" s="405">
        <v>45523.47578703704</v>
      </c>
      <c r="D40" s="248" t="s">
        <v>775</v>
      </c>
      <c r="E40" s="261" t="s">
        <v>134</v>
      </c>
      <c r="F40" s="406">
        <v>10.0</v>
      </c>
      <c r="G40" s="406">
        <v>6.0</v>
      </c>
      <c r="H40" s="406">
        <v>8.0</v>
      </c>
      <c r="I40" s="406">
        <v>9.0</v>
      </c>
      <c r="J40" s="406" t="s">
        <v>1139</v>
      </c>
      <c r="K40" s="406">
        <v>8.0</v>
      </c>
      <c r="L40" s="406">
        <v>8.0</v>
      </c>
      <c r="M40" s="406">
        <v>10.0</v>
      </c>
      <c r="N40" s="406">
        <v>8.0</v>
      </c>
      <c r="O40" s="406" t="s">
        <v>1140</v>
      </c>
      <c r="P40" s="406">
        <v>8.0</v>
      </c>
      <c r="Q40" s="406">
        <v>8.0</v>
      </c>
      <c r="R40" s="406">
        <v>6.0</v>
      </c>
      <c r="S40" s="406">
        <v>5.0</v>
      </c>
      <c r="T40" s="406" t="s">
        <v>1141</v>
      </c>
      <c r="U40" s="406">
        <v>10.0</v>
      </c>
      <c r="V40" s="406">
        <v>10.0</v>
      </c>
      <c r="W40" s="406">
        <v>10.0</v>
      </c>
      <c r="X40" s="406">
        <v>10.0</v>
      </c>
      <c r="Y40" s="406" t="s">
        <v>38</v>
      </c>
      <c r="Z40" s="407"/>
      <c r="AA40" s="407"/>
      <c r="AB40" s="9" t="s">
        <v>39</v>
      </c>
      <c r="AC40" s="10" t="b">
        <v>1</v>
      </c>
      <c r="AD40" s="408">
        <f t="shared" si="1"/>
        <v>8.375</v>
      </c>
    </row>
    <row r="41">
      <c r="A41" s="404" t="s">
        <v>1111</v>
      </c>
      <c r="B41" s="261" t="s">
        <v>1112</v>
      </c>
      <c r="C41" s="405">
        <v>45523.542037037034</v>
      </c>
      <c r="D41" s="248" t="s">
        <v>724</v>
      </c>
      <c r="E41" s="261" t="s">
        <v>33</v>
      </c>
      <c r="F41" s="406">
        <v>7.0</v>
      </c>
      <c r="G41" s="406">
        <v>6.0</v>
      </c>
      <c r="H41" s="406">
        <v>9.0</v>
      </c>
      <c r="I41" s="406">
        <v>5.0</v>
      </c>
      <c r="J41" s="406" t="s">
        <v>807</v>
      </c>
      <c r="K41" s="406">
        <v>10.0</v>
      </c>
      <c r="L41" s="406">
        <v>10.0</v>
      </c>
      <c r="M41" s="406">
        <v>10.0</v>
      </c>
      <c r="N41" s="406">
        <v>7.0</v>
      </c>
      <c r="O41" s="406" t="s">
        <v>808</v>
      </c>
      <c r="P41" s="406">
        <v>10.0</v>
      </c>
      <c r="Q41" s="406">
        <v>9.0</v>
      </c>
      <c r="R41" s="406">
        <v>9.0</v>
      </c>
      <c r="S41" s="406">
        <v>5.0</v>
      </c>
      <c r="T41" s="406" t="s">
        <v>809</v>
      </c>
      <c r="U41" s="406">
        <v>7.0</v>
      </c>
      <c r="V41" s="406">
        <v>9.0</v>
      </c>
      <c r="W41" s="406">
        <v>10.0</v>
      </c>
      <c r="X41" s="406">
        <v>9.0</v>
      </c>
      <c r="Y41" s="406" t="s">
        <v>810</v>
      </c>
      <c r="Z41" s="406" t="s">
        <v>811</v>
      </c>
      <c r="AA41" s="406" t="s">
        <v>812</v>
      </c>
      <c r="AB41" s="9" t="s">
        <v>39</v>
      </c>
      <c r="AC41" s="10" t="b">
        <v>1</v>
      </c>
      <c r="AD41" s="408">
        <f t="shared" si="1"/>
        <v>8.25</v>
      </c>
    </row>
    <row r="42">
      <c r="A42" s="404" t="s">
        <v>1113</v>
      </c>
      <c r="B42" s="261" t="s">
        <v>484</v>
      </c>
      <c r="C42" s="405">
        <v>45523.68976851852</v>
      </c>
      <c r="D42" s="248" t="s">
        <v>881</v>
      </c>
      <c r="E42" s="261" t="s">
        <v>42</v>
      </c>
      <c r="F42" s="406">
        <v>8.0</v>
      </c>
      <c r="G42" s="406">
        <v>7.0</v>
      </c>
      <c r="H42" s="406">
        <v>9.0</v>
      </c>
      <c r="I42" s="406">
        <v>7.0</v>
      </c>
      <c r="J42" s="406" t="s">
        <v>882</v>
      </c>
      <c r="K42" s="406">
        <v>8.0</v>
      </c>
      <c r="L42" s="406">
        <v>10.0</v>
      </c>
      <c r="M42" s="406">
        <v>10.0</v>
      </c>
      <c r="N42" s="406">
        <v>8.0</v>
      </c>
      <c r="O42" s="406" t="s">
        <v>883</v>
      </c>
      <c r="P42" s="406">
        <v>10.0</v>
      </c>
      <c r="Q42" s="406">
        <v>9.0</v>
      </c>
      <c r="R42" s="406">
        <v>8.0</v>
      </c>
      <c r="S42" s="406">
        <v>10.0</v>
      </c>
      <c r="T42" s="406" t="s">
        <v>884</v>
      </c>
      <c r="U42" s="406">
        <v>6.0</v>
      </c>
      <c r="V42" s="406">
        <v>6.0</v>
      </c>
      <c r="W42" s="406">
        <v>8.0</v>
      </c>
      <c r="X42" s="406">
        <v>8.0</v>
      </c>
      <c r="Y42" s="406" t="s">
        <v>885</v>
      </c>
      <c r="Z42" s="406" t="s">
        <v>886</v>
      </c>
      <c r="AA42" s="406" t="s">
        <v>887</v>
      </c>
      <c r="AB42" s="9" t="s">
        <v>39</v>
      </c>
      <c r="AC42" s="10" t="b">
        <v>1</v>
      </c>
      <c r="AD42" s="408">
        <f t="shared" si="1"/>
        <v>8.25</v>
      </c>
    </row>
    <row r="43">
      <c r="A43" s="404" t="s">
        <v>1120</v>
      </c>
      <c r="B43" s="261" t="s">
        <v>1121</v>
      </c>
      <c r="C43" s="405">
        <v>45523.836747685185</v>
      </c>
      <c r="D43" s="248" t="s">
        <v>306</v>
      </c>
      <c r="E43" s="261" t="s">
        <v>516</v>
      </c>
      <c r="F43" s="406">
        <v>8.0</v>
      </c>
      <c r="G43" s="406">
        <v>9.0</v>
      </c>
      <c r="H43" s="406">
        <v>9.0</v>
      </c>
      <c r="I43" s="406">
        <v>7.0</v>
      </c>
      <c r="J43" s="406" t="s">
        <v>1249</v>
      </c>
      <c r="K43" s="406">
        <v>7.0</v>
      </c>
      <c r="L43" s="406">
        <v>8.0</v>
      </c>
      <c r="M43" s="406">
        <v>10.0</v>
      </c>
      <c r="N43" s="406">
        <v>8.0</v>
      </c>
      <c r="O43" s="406" t="s">
        <v>38</v>
      </c>
      <c r="P43" s="406">
        <v>8.0</v>
      </c>
      <c r="Q43" s="406">
        <v>7.0</v>
      </c>
      <c r="R43" s="406">
        <v>8.0</v>
      </c>
      <c r="S43" s="406">
        <v>8.0</v>
      </c>
      <c r="T43" s="406" t="s">
        <v>38</v>
      </c>
      <c r="U43" s="406">
        <v>8.0</v>
      </c>
      <c r="V43" s="406">
        <v>9.0</v>
      </c>
      <c r="W43" s="406">
        <v>8.0</v>
      </c>
      <c r="X43" s="406">
        <v>10.0</v>
      </c>
      <c r="Y43" s="406" t="s">
        <v>38</v>
      </c>
      <c r="Z43" s="406" t="s">
        <v>1250</v>
      </c>
      <c r="AA43" s="406" t="s">
        <v>1251</v>
      </c>
      <c r="AB43" s="9" t="s">
        <v>39</v>
      </c>
      <c r="AC43" s="10" t="b">
        <v>1</v>
      </c>
      <c r="AD43" s="408">
        <f t="shared" si="1"/>
        <v>8.25</v>
      </c>
    </row>
    <row r="44">
      <c r="A44" s="404" t="s">
        <v>1128</v>
      </c>
      <c r="B44" s="261" t="s">
        <v>1121</v>
      </c>
      <c r="C44" s="405">
        <v>45523.83928240741</v>
      </c>
      <c r="D44" s="248" t="s">
        <v>997</v>
      </c>
      <c r="E44" s="261" t="s">
        <v>248</v>
      </c>
      <c r="F44" s="406">
        <v>8.0</v>
      </c>
      <c r="G44" s="406">
        <v>8.0</v>
      </c>
      <c r="H44" s="406">
        <v>8.0</v>
      </c>
      <c r="I44" s="406">
        <v>8.0</v>
      </c>
      <c r="J44" s="406" t="s">
        <v>998</v>
      </c>
      <c r="K44" s="406">
        <v>8.0</v>
      </c>
      <c r="L44" s="406">
        <v>8.0</v>
      </c>
      <c r="M44" s="406">
        <v>9.0</v>
      </c>
      <c r="N44" s="406">
        <v>8.0</v>
      </c>
      <c r="O44" s="406" t="s">
        <v>999</v>
      </c>
      <c r="P44" s="406">
        <v>8.0</v>
      </c>
      <c r="Q44" s="406">
        <v>8.0</v>
      </c>
      <c r="R44" s="406">
        <v>8.0</v>
      </c>
      <c r="S44" s="406">
        <v>8.0</v>
      </c>
      <c r="T44" s="406" t="s">
        <v>1000</v>
      </c>
      <c r="U44" s="406">
        <v>8.0</v>
      </c>
      <c r="V44" s="406">
        <v>8.0</v>
      </c>
      <c r="W44" s="406">
        <v>8.0</v>
      </c>
      <c r="X44" s="406">
        <v>8.0</v>
      </c>
      <c r="Y44" s="406" t="s">
        <v>38</v>
      </c>
      <c r="Z44" s="406" t="s">
        <v>1001</v>
      </c>
      <c r="AA44" s="407"/>
      <c r="AB44" s="9" t="s">
        <v>39</v>
      </c>
      <c r="AC44" s="10" t="b">
        <v>1</v>
      </c>
      <c r="AD44" s="408">
        <f t="shared" si="1"/>
        <v>8.0625</v>
      </c>
    </row>
    <row r="45">
      <c r="A45" s="404" t="s">
        <v>1133</v>
      </c>
      <c r="B45" s="261" t="s">
        <v>1134</v>
      </c>
      <c r="C45" s="405">
        <v>45524.62731481482</v>
      </c>
      <c r="D45" s="248" t="s">
        <v>448</v>
      </c>
      <c r="E45" s="261" t="s">
        <v>33</v>
      </c>
      <c r="F45" s="406">
        <v>8.0</v>
      </c>
      <c r="G45" s="406">
        <v>6.0</v>
      </c>
      <c r="H45" s="406">
        <v>7.0</v>
      </c>
      <c r="I45" s="406">
        <v>8.0</v>
      </c>
      <c r="J45" s="406" t="s">
        <v>814</v>
      </c>
      <c r="K45" s="406">
        <v>9.0</v>
      </c>
      <c r="L45" s="406">
        <v>8.0</v>
      </c>
      <c r="M45" s="406">
        <v>7.0</v>
      </c>
      <c r="N45" s="406">
        <v>10.0</v>
      </c>
      <c r="O45" s="406" t="s">
        <v>815</v>
      </c>
      <c r="P45" s="406">
        <v>9.0</v>
      </c>
      <c r="Q45" s="406">
        <v>8.0</v>
      </c>
      <c r="R45" s="406">
        <v>9.0</v>
      </c>
      <c r="S45" s="406">
        <v>6.0</v>
      </c>
      <c r="T45" s="406" t="s">
        <v>816</v>
      </c>
      <c r="U45" s="406">
        <v>7.0</v>
      </c>
      <c r="V45" s="406">
        <v>8.0</v>
      </c>
      <c r="W45" s="406">
        <v>10.0</v>
      </c>
      <c r="X45" s="406">
        <v>8.0</v>
      </c>
      <c r="Y45" s="406" t="s">
        <v>817</v>
      </c>
      <c r="Z45" s="407"/>
      <c r="AA45" s="407"/>
      <c r="AB45" s="9" t="s">
        <v>39</v>
      </c>
      <c r="AC45" s="10" t="b">
        <v>1</v>
      </c>
      <c r="AD45" s="408">
        <f t="shared" si="1"/>
        <v>8</v>
      </c>
    </row>
    <row r="46">
      <c r="A46" s="404" t="s">
        <v>1137</v>
      </c>
      <c r="B46" s="261" t="s">
        <v>1138</v>
      </c>
      <c r="C46" s="405">
        <v>45525.33688657408</v>
      </c>
      <c r="D46" s="248" t="s">
        <v>783</v>
      </c>
      <c r="E46" s="261" t="s">
        <v>109</v>
      </c>
      <c r="F46" s="406">
        <v>6.0</v>
      </c>
      <c r="G46" s="406">
        <v>6.0</v>
      </c>
      <c r="H46" s="406">
        <v>8.0</v>
      </c>
      <c r="I46" s="406">
        <v>9.0</v>
      </c>
      <c r="J46" s="406" t="s">
        <v>38</v>
      </c>
      <c r="K46" s="406">
        <v>10.0</v>
      </c>
      <c r="L46" s="406">
        <v>10.0</v>
      </c>
      <c r="M46" s="406">
        <v>9.0</v>
      </c>
      <c r="N46" s="406">
        <v>8.0</v>
      </c>
      <c r="O46" s="406" t="s">
        <v>1061</v>
      </c>
      <c r="P46" s="406">
        <v>10.0</v>
      </c>
      <c r="Q46" s="406">
        <v>8.0</v>
      </c>
      <c r="R46" s="406">
        <v>8.0</v>
      </c>
      <c r="S46" s="406">
        <v>9.0</v>
      </c>
      <c r="T46" s="406" t="s">
        <v>1061</v>
      </c>
      <c r="U46" s="406">
        <v>7.0</v>
      </c>
      <c r="V46" s="406">
        <v>6.0</v>
      </c>
      <c r="W46" s="406">
        <v>6.0</v>
      </c>
      <c r="X46" s="406">
        <v>8.0</v>
      </c>
      <c r="Y46" s="406" t="s">
        <v>1061</v>
      </c>
      <c r="Z46" s="407"/>
      <c r="AA46" s="407"/>
      <c r="AB46" s="9" t="s">
        <v>39</v>
      </c>
      <c r="AC46" s="10" t="b">
        <v>1</v>
      </c>
      <c r="AD46" s="408">
        <f t="shared" si="1"/>
        <v>8</v>
      </c>
    </row>
    <row r="47">
      <c r="A47" s="404" t="s">
        <v>1142</v>
      </c>
      <c r="B47" s="261" t="s">
        <v>1143</v>
      </c>
      <c r="C47" s="405">
        <v>45525.344560185185</v>
      </c>
      <c r="D47" s="248" t="s">
        <v>333</v>
      </c>
      <c r="E47" s="261" t="s">
        <v>195</v>
      </c>
      <c r="F47" s="406">
        <v>10.0</v>
      </c>
      <c r="G47" s="406">
        <v>7.0</v>
      </c>
      <c r="H47" s="406">
        <v>10.0</v>
      </c>
      <c r="I47" s="406">
        <v>4.0</v>
      </c>
      <c r="J47" s="406" t="s">
        <v>1236</v>
      </c>
      <c r="K47" s="406">
        <v>10.0</v>
      </c>
      <c r="L47" s="406">
        <v>8.0</v>
      </c>
      <c r="M47" s="406">
        <v>10.0</v>
      </c>
      <c r="N47" s="406">
        <v>10.0</v>
      </c>
      <c r="O47" s="406" t="s">
        <v>1237</v>
      </c>
      <c r="P47" s="406">
        <v>10.0</v>
      </c>
      <c r="Q47" s="406">
        <v>10.0</v>
      </c>
      <c r="R47" s="406">
        <v>8.0</v>
      </c>
      <c r="S47" s="406">
        <v>10.0</v>
      </c>
      <c r="T47" s="406" t="s">
        <v>1238</v>
      </c>
      <c r="U47" s="406">
        <v>3.0</v>
      </c>
      <c r="V47" s="406">
        <v>3.0</v>
      </c>
      <c r="W47" s="406">
        <v>5.0</v>
      </c>
      <c r="X47" s="406">
        <v>10.0</v>
      </c>
      <c r="Y47" s="406" t="s">
        <v>1239</v>
      </c>
      <c r="Z47" s="407"/>
      <c r="AA47" s="406" t="s">
        <v>1240</v>
      </c>
      <c r="AB47" s="9" t="s">
        <v>39</v>
      </c>
      <c r="AC47" s="10" t="b">
        <v>1</v>
      </c>
      <c r="AD47" s="408">
        <f t="shared" si="1"/>
        <v>8</v>
      </c>
    </row>
    <row r="48">
      <c r="A48" s="404" t="s">
        <v>1148</v>
      </c>
      <c r="B48" s="261" t="s">
        <v>1149</v>
      </c>
      <c r="C48" s="405">
        <v>45525.56811342593</v>
      </c>
      <c r="D48" s="248" t="s">
        <v>774</v>
      </c>
      <c r="E48" s="261" t="s">
        <v>33</v>
      </c>
      <c r="F48" s="406">
        <v>6.0</v>
      </c>
      <c r="G48" s="406">
        <v>6.0</v>
      </c>
      <c r="H48" s="406">
        <v>9.0</v>
      </c>
      <c r="I48" s="406">
        <v>8.0</v>
      </c>
      <c r="J48" s="406" t="s">
        <v>820</v>
      </c>
      <c r="K48" s="406">
        <v>10.0</v>
      </c>
      <c r="L48" s="406">
        <v>8.0</v>
      </c>
      <c r="M48" s="406">
        <v>9.0</v>
      </c>
      <c r="N48" s="406">
        <v>9.0</v>
      </c>
      <c r="O48" s="406" t="s">
        <v>821</v>
      </c>
      <c r="P48" s="406">
        <v>9.0</v>
      </c>
      <c r="Q48" s="406">
        <v>9.0</v>
      </c>
      <c r="R48" s="406">
        <v>8.0</v>
      </c>
      <c r="S48" s="406">
        <v>6.0</v>
      </c>
      <c r="T48" s="406" t="s">
        <v>822</v>
      </c>
      <c r="U48" s="406">
        <v>6.0</v>
      </c>
      <c r="V48" s="406">
        <v>6.0</v>
      </c>
      <c r="W48" s="406">
        <v>8.0</v>
      </c>
      <c r="X48" s="406">
        <v>10.0</v>
      </c>
      <c r="Y48" s="406" t="s">
        <v>823</v>
      </c>
      <c r="Z48" s="406" t="s">
        <v>1366</v>
      </c>
      <c r="AA48" s="406" t="s">
        <v>825</v>
      </c>
      <c r="AB48" s="9" t="s">
        <v>39</v>
      </c>
      <c r="AC48" s="10" t="b">
        <v>1</v>
      </c>
      <c r="AD48" s="408">
        <f t="shared" si="1"/>
        <v>7.9375</v>
      </c>
    </row>
    <row r="49">
      <c r="A49" s="404" t="s">
        <v>1150</v>
      </c>
      <c r="B49" s="261" t="s">
        <v>1151</v>
      </c>
      <c r="C49" s="405">
        <v>45526.547534722224</v>
      </c>
      <c r="D49" s="248" t="s">
        <v>861</v>
      </c>
      <c r="E49" s="261" t="s">
        <v>770</v>
      </c>
      <c r="F49" s="406">
        <v>8.0</v>
      </c>
      <c r="G49" s="406">
        <v>8.0</v>
      </c>
      <c r="H49" s="406">
        <v>8.0</v>
      </c>
      <c r="I49" s="406">
        <v>8.0</v>
      </c>
      <c r="J49" s="406" t="s">
        <v>862</v>
      </c>
      <c r="K49" s="406">
        <v>9.0</v>
      </c>
      <c r="L49" s="406">
        <v>8.0</v>
      </c>
      <c r="M49" s="406">
        <v>8.0</v>
      </c>
      <c r="N49" s="406">
        <v>8.0</v>
      </c>
      <c r="O49" s="406" t="s">
        <v>863</v>
      </c>
      <c r="P49" s="406">
        <v>8.0</v>
      </c>
      <c r="Q49" s="406">
        <v>8.0</v>
      </c>
      <c r="R49" s="406">
        <v>7.0</v>
      </c>
      <c r="S49" s="406">
        <v>8.0</v>
      </c>
      <c r="T49" s="406" t="s">
        <v>864</v>
      </c>
      <c r="U49" s="406">
        <v>6.0</v>
      </c>
      <c r="V49" s="406">
        <v>8.0</v>
      </c>
      <c r="W49" s="406">
        <v>8.0</v>
      </c>
      <c r="X49" s="406">
        <v>8.0</v>
      </c>
      <c r="Y49" s="406" t="s">
        <v>70</v>
      </c>
      <c r="Z49" s="407"/>
      <c r="AA49" s="407"/>
      <c r="AB49" s="9" t="s">
        <v>39</v>
      </c>
      <c r="AC49" s="10" t="b">
        <v>1</v>
      </c>
      <c r="AD49" s="408">
        <f t="shared" si="1"/>
        <v>7.875</v>
      </c>
    </row>
    <row r="50">
      <c r="A50" s="404" t="s">
        <v>1153</v>
      </c>
      <c r="B50" s="261" t="s">
        <v>1154</v>
      </c>
      <c r="C50" s="405">
        <v>45526.71325231482</v>
      </c>
      <c r="D50" s="248" t="s">
        <v>926</v>
      </c>
      <c r="E50" s="261" t="s">
        <v>241</v>
      </c>
      <c r="F50" s="406">
        <v>8.0</v>
      </c>
      <c r="G50" s="406">
        <v>8.0</v>
      </c>
      <c r="H50" s="406">
        <v>8.0</v>
      </c>
      <c r="I50" s="406">
        <v>8.0</v>
      </c>
      <c r="J50" s="406" t="s">
        <v>927</v>
      </c>
      <c r="K50" s="406">
        <v>10.0</v>
      </c>
      <c r="L50" s="406">
        <v>9.0</v>
      </c>
      <c r="M50" s="406">
        <v>9.0</v>
      </c>
      <c r="N50" s="406">
        <v>8.0</v>
      </c>
      <c r="O50" s="406" t="s">
        <v>927</v>
      </c>
      <c r="P50" s="406">
        <v>8.0</v>
      </c>
      <c r="Q50" s="406">
        <v>8.0</v>
      </c>
      <c r="R50" s="406">
        <v>8.0</v>
      </c>
      <c r="S50" s="406">
        <v>6.0</v>
      </c>
      <c r="T50" s="406" t="s">
        <v>927</v>
      </c>
      <c r="U50" s="406">
        <v>5.0</v>
      </c>
      <c r="V50" s="406">
        <v>7.0</v>
      </c>
      <c r="W50" s="406">
        <v>7.0</v>
      </c>
      <c r="X50" s="406">
        <v>9.0</v>
      </c>
      <c r="Y50" s="406" t="s">
        <v>927</v>
      </c>
      <c r="Z50" s="406" t="s">
        <v>928</v>
      </c>
      <c r="AA50" s="406" t="s">
        <v>929</v>
      </c>
      <c r="AB50" s="9" t="s">
        <v>39</v>
      </c>
      <c r="AC50" s="10" t="b">
        <v>1</v>
      </c>
      <c r="AD50" s="408">
        <f t="shared" si="1"/>
        <v>7.875</v>
      </c>
    </row>
    <row r="51">
      <c r="A51" s="404" t="s">
        <v>1156</v>
      </c>
      <c r="B51" s="261" t="s">
        <v>1157</v>
      </c>
      <c r="C51" s="405">
        <v>45527.59547453704</v>
      </c>
      <c r="D51" s="248" t="s">
        <v>1211</v>
      </c>
      <c r="E51" s="261" t="s">
        <v>783</v>
      </c>
      <c r="F51" s="406">
        <v>9.0</v>
      </c>
      <c r="G51" s="406">
        <v>9.0</v>
      </c>
      <c r="H51" s="406">
        <v>9.0</v>
      </c>
      <c r="I51" s="406">
        <v>4.0</v>
      </c>
      <c r="J51" s="406" t="s">
        <v>1212</v>
      </c>
      <c r="K51" s="406">
        <v>9.0</v>
      </c>
      <c r="L51" s="406">
        <v>8.0</v>
      </c>
      <c r="M51" s="406">
        <v>9.0</v>
      </c>
      <c r="N51" s="406">
        <v>9.0</v>
      </c>
      <c r="O51" s="406" t="s">
        <v>1213</v>
      </c>
      <c r="P51" s="406">
        <v>6.0</v>
      </c>
      <c r="Q51" s="406">
        <v>8.0</v>
      </c>
      <c r="R51" s="406">
        <v>7.0</v>
      </c>
      <c r="S51" s="406">
        <v>10.0</v>
      </c>
      <c r="T51" s="406" t="s">
        <v>1214</v>
      </c>
      <c r="U51" s="406">
        <v>5.0</v>
      </c>
      <c r="V51" s="406">
        <v>7.0</v>
      </c>
      <c r="W51" s="406">
        <v>7.0</v>
      </c>
      <c r="X51" s="406">
        <v>10.0</v>
      </c>
      <c r="Y51" s="406" t="s">
        <v>1215</v>
      </c>
      <c r="Z51" s="407"/>
      <c r="AA51" s="406" t="s">
        <v>1216</v>
      </c>
      <c r="AB51" s="9" t="s">
        <v>39</v>
      </c>
      <c r="AC51" s="10" t="b">
        <v>1</v>
      </c>
      <c r="AD51" s="408">
        <f t="shared" si="1"/>
        <v>7.875</v>
      </c>
    </row>
    <row r="52">
      <c r="A52" s="404" t="s">
        <v>1163</v>
      </c>
      <c r="B52" s="261" t="s">
        <v>1164</v>
      </c>
      <c r="C52" s="405">
        <v>45528.52381944445</v>
      </c>
      <c r="D52" s="248" t="s">
        <v>1158</v>
      </c>
      <c r="E52" s="261" t="s">
        <v>775</v>
      </c>
      <c r="F52" s="406">
        <v>8.0</v>
      </c>
      <c r="G52" s="406">
        <v>8.0</v>
      </c>
      <c r="H52" s="406">
        <v>6.0</v>
      </c>
      <c r="I52" s="406">
        <v>6.0</v>
      </c>
      <c r="J52" s="406" t="s">
        <v>1159</v>
      </c>
      <c r="K52" s="406">
        <v>10.0</v>
      </c>
      <c r="L52" s="406">
        <v>10.0</v>
      </c>
      <c r="M52" s="406">
        <v>10.0</v>
      </c>
      <c r="N52" s="407"/>
      <c r="O52" s="406" t="s">
        <v>1160</v>
      </c>
      <c r="P52" s="406">
        <v>6.0</v>
      </c>
      <c r="Q52" s="406">
        <v>10.0</v>
      </c>
      <c r="R52" s="406">
        <v>7.0</v>
      </c>
      <c r="S52" s="406">
        <v>5.0</v>
      </c>
      <c r="T52" s="406" t="s">
        <v>1161</v>
      </c>
      <c r="U52" s="406">
        <v>6.0</v>
      </c>
      <c r="V52" s="406">
        <v>6.0</v>
      </c>
      <c r="W52" s="406">
        <v>10.0</v>
      </c>
      <c r="X52" s="406">
        <v>10.0</v>
      </c>
      <c r="Y52" s="406" t="s">
        <v>1162</v>
      </c>
      <c r="Z52" s="407"/>
      <c r="AA52" s="407"/>
      <c r="AB52" s="9" t="s">
        <v>39</v>
      </c>
      <c r="AC52" s="10" t="b">
        <v>1</v>
      </c>
      <c r="AD52" s="408">
        <f t="shared" si="1"/>
        <v>7.866666667</v>
      </c>
    </row>
    <row r="53">
      <c r="A53" s="404" t="s">
        <v>1171</v>
      </c>
      <c r="B53" s="261" t="s">
        <v>1164</v>
      </c>
      <c r="C53" s="405">
        <v>45528.53943287037</v>
      </c>
      <c r="D53" s="248" t="s">
        <v>486</v>
      </c>
      <c r="E53" s="261" t="s">
        <v>33</v>
      </c>
      <c r="F53" s="406">
        <v>8.0</v>
      </c>
      <c r="G53" s="406">
        <v>8.0</v>
      </c>
      <c r="H53" s="406">
        <v>7.0</v>
      </c>
      <c r="I53" s="406">
        <v>7.0</v>
      </c>
      <c r="J53" s="406" t="s">
        <v>65</v>
      </c>
      <c r="K53" s="406">
        <v>9.0</v>
      </c>
      <c r="L53" s="406">
        <v>8.0</v>
      </c>
      <c r="M53" s="406">
        <v>9.0</v>
      </c>
      <c r="N53" s="406">
        <v>10.0</v>
      </c>
      <c r="O53" s="406" t="s">
        <v>65</v>
      </c>
      <c r="P53" s="406">
        <v>8.0</v>
      </c>
      <c r="Q53" s="406">
        <v>8.0</v>
      </c>
      <c r="R53" s="406">
        <v>6.0</v>
      </c>
      <c r="S53" s="406">
        <v>6.0</v>
      </c>
      <c r="T53" s="406" t="s">
        <v>65</v>
      </c>
      <c r="U53" s="406">
        <v>8.0</v>
      </c>
      <c r="V53" s="406">
        <v>6.0</v>
      </c>
      <c r="W53" s="406">
        <v>8.0</v>
      </c>
      <c r="X53" s="406">
        <v>9.0</v>
      </c>
      <c r="Y53" s="406" t="s">
        <v>65</v>
      </c>
      <c r="Z53" s="407"/>
      <c r="AA53" s="407"/>
      <c r="AB53" s="9" t="s">
        <v>39</v>
      </c>
      <c r="AC53" s="10" t="b">
        <v>1</v>
      </c>
      <c r="AD53" s="408">
        <f t="shared" si="1"/>
        <v>7.8125</v>
      </c>
    </row>
    <row r="54">
      <c r="A54" s="404" t="s">
        <v>1178</v>
      </c>
      <c r="B54" s="261" t="s">
        <v>1179</v>
      </c>
      <c r="C54" s="405">
        <v>45528.63811342593</v>
      </c>
      <c r="D54" s="248" t="s">
        <v>1144</v>
      </c>
      <c r="E54" s="261" t="s">
        <v>134</v>
      </c>
      <c r="F54" s="406">
        <v>10.0</v>
      </c>
      <c r="G54" s="406">
        <v>4.0</v>
      </c>
      <c r="H54" s="406">
        <v>9.0</v>
      </c>
      <c r="I54" s="406">
        <v>8.0</v>
      </c>
      <c r="J54" s="406" t="s">
        <v>1145</v>
      </c>
      <c r="K54" s="406">
        <v>8.0</v>
      </c>
      <c r="L54" s="406">
        <v>8.0</v>
      </c>
      <c r="M54" s="406">
        <v>9.0</v>
      </c>
      <c r="N54" s="406">
        <v>9.0</v>
      </c>
      <c r="O54" s="406" t="s">
        <v>65</v>
      </c>
      <c r="P54" s="406">
        <v>5.0</v>
      </c>
      <c r="Q54" s="406">
        <v>7.0</v>
      </c>
      <c r="R54" s="406">
        <v>9.0</v>
      </c>
      <c r="S54" s="406">
        <v>10.0</v>
      </c>
      <c r="T54" s="406" t="s">
        <v>65</v>
      </c>
      <c r="U54" s="406">
        <v>5.0</v>
      </c>
      <c r="V54" s="406">
        <v>7.0</v>
      </c>
      <c r="W54" s="406">
        <v>9.0</v>
      </c>
      <c r="X54" s="406">
        <v>8.0</v>
      </c>
      <c r="Y54" s="406" t="s">
        <v>1146</v>
      </c>
      <c r="Z54" s="406" t="s">
        <v>1147</v>
      </c>
      <c r="AA54" s="407"/>
      <c r="AB54" s="9" t="s">
        <v>39</v>
      </c>
      <c r="AC54" s="10" t="b">
        <v>1</v>
      </c>
      <c r="AD54" s="408">
        <f t="shared" si="1"/>
        <v>7.8125</v>
      </c>
    </row>
    <row r="55">
      <c r="A55" s="404" t="s">
        <v>1186</v>
      </c>
      <c r="B55" s="261" t="s">
        <v>1179</v>
      </c>
      <c r="C55" s="405">
        <v>45528.66034722222</v>
      </c>
      <c r="D55" s="248" t="s">
        <v>143</v>
      </c>
      <c r="E55" s="261" t="s">
        <v>242</v>
      </c>
      <c r="F55" s="406">
        <v>5.0</v>
      </c>
      <c r="G55" s="406">
        <v>10.0</v>
      </c>
      <c r="H55" s="406">
        <v>9.0</v>
      </c>
      <c r="I55" s="406">
        <v>8.0</v>
      </c>
      <c r="J55" s="406" t="s">
        <v>1187</v>
      </c>
      <c r="K55" s="406">
        <v>6.0</v>
      </c>
      <c r="L55" s="406">
        <v>8.0</v>
      </c>
      <c r="M55" s="406">
        <v>10.0</v>
      </c>
      <c r="N55" s="406">
        <v>6.0</v>
      </c>
      <c r="O55" s="406" t="s">
        <v>1188</v>
      </c>
      <c r="P55" s="406">
        <v>6.0</v>
      </c>
      <c r="Q55" s="406">
        <v>10.0</v>
      </c>
      <c r="R55" s="406">
        <v>7.0</v>
      </c>
      <c r="S55" s="406">
        <v>8.0</v>
      </c>
      <c r="T55" s="406" t="s">
        <v>1189</v>
      </c>
      <c r="U55" s="406">
        <v>7.0</v>
      </c>
      <c r="V55" s="406">
        <v>5.0</v>
      </c>
      <c r="W55" s="406">
        <v>10.0</v>
      </c>
      <c r="X55" s="406">
        <v>10.0</v>
      </c>
      <c r="Y55" s="406" t="s">
        <v>1190</v>
      </c>
      <c r="Z55" s="406" t="s">
        <v>553</v>
      </c>
      <c r="AA55" s="406" t="s">
        <v>1191</v>
      </c>
      <c r="AB55" s="9" t="s">
        <v>39</v>
      </c>
      <c r="AC55" s="10" t="b">
        <v>1</v>
      </c>
      <c r="AD55" s="408">
        <f t="shared" si="1"/>
        <v>7.8125</v>
      </c>
    </row>
    <row r="56">
      <c r="A56" s="404" t="s">
        <v>1192</v>
      </c>
      <c r="B56" s="261" t="s">
        <v>1003</v>
      </c>
      <c r="C56" s="405">
        <v>45529.557754629626</v>
      </c>
      <c r="D56" s="248" t="s">
        <v>1346</v>
      </c>
      <c r="E56" s="261" t="s">
        <v>486</v>
      </c>
      <c r="F56" s="406">
        <v>9.0</v>
      </c>
      <c r="G56" s="406">
        <v>10.0</v>
      </c>
      <c r="H56" s="406">
        <v>9.0</v>
      </c>
      <c r="I56" s="406">
        <v>6.0</v>
      </c>
      <c r="J56" s="406" t="s">
        <v>1347</v>
      </c>
      <c r="K56" s="406">
        <v>9.0</v>
      </c>
      <c r="L56" s="406">
        <v>9.0</v>
      </c>
      <c r="M56" s="406">
        <v>10.0</v>
      </c>
      <c r="N56" s="406">
        <v>9.0</v>
      </c>
      <c r="O56" s="406" t="s">
        <v>1348</v>
      </c>
      <c r="P56" s="406">
        <v>5.0</v>
      </c>
      <c r="Q56" s="406">
        <v>7.0</v>
      </c>
      <c r="R56" s="406">
        <v>9.0</v>
      </c>
      <c r="S56" s="406">
        <v>4.0</v>
      </c>
      <c r="T56" s="406" t="s">
        <v>1348</v>
      </c>
      <c r="U56" s="406">
        <v>6.0</v>
      </c>
      <c r="V56" s="406">
        <v>6.0</v>
      </c>
      <c r="W56" s="406">
        <v>7.0</v>
      </c>
      <c r="X56" s="406">
        <v>10.0</v>
      </c>
      <c r="Y56" s="406" t="s">
        <v>1348</v>
      </c>
      <c r="Z56" s="406" t="s">
        <v>1349</v>
      </c>
      <c r="AA56" s="406" t="s">
        <v>1350</v>
      </c>
      <c r="AB56" s="9" t="s">
        <v>39</v>
      </c>
      <c r="AC56" s="10" t="b">
        <v>1</v>
      </c>
      <c r="AD56" s="408">
        <f t="shared" si="1"/>
        <v>7.8125</v>
      </c>
    </row>
    <row r="57">
      <c r="A57" s="404" t="s">
        <v>1196</v>
      </c>
      <c r="B57" s="261" t="s">
        <v>112</v>
      </c>
      <c r="C57" s="405">
        <v>45529.56668981481</v>
      </c>
      <c r="D57" s="248" t="s">
        <v>890</v>
      </c>
      <c r="E57" s="261" t="s">
        <v>42</v>
      </c>
      <c r="F57" s="406">
        <v>7.0</v>
      </c>
      <c r="G57" s="406">
        <v>6.0</v>
      </c>
      <c r="H57" s="406">
        <v>10.0</v>
      </c>
      <c r="I57" s="406">
        <v>8.0</v>
      </c>
      <c r="J57" s="406" t="s">
        <v>891</v>
      </c>
      <c r="K57" s="406">
        <v>10.0</v>
      </c>
      <c r="L57" s="406">
        <v>10.0</v>
      </c>
      <c r="M57" s="406">
        <v>10.0</v>
      </c>
      <c r="N57" s="406">
        <v>10.0</v>
      </c>
      <c r="O57" s="406" t="s">
        <v>892</v>
      </c>
      <c r="P57" s="406">
        <v>5.0</v>
      </c>
      <c r="Q57" s="406">
        <v>5.0</v>
      </c>
      <c r="R57" s="406">
        <v>5.0</v>
      </c>
      <c r="S57" s="406">
        <v>5.0</v>
      </c>
      <c r="T57" s="406" t="s">
        <v>893</v>
      </c>
      <c r="U57" s="406">
        <v>7.0</v>
      </c>
      <c r="V57" s="406">
        <v>7.0</v>
      </c>
      <c r="W57" s="406">
        <v>9.0</v>
      </c>
      <c r="X57" s="406">
        <v>10.0</v>
      </c>
      <c r="Y57" s="406" t="s">
        <v>894</v>
      </c>
      <c r="Z57" s="407"/>
      <c r="AA57" s="406" t="s">
        <v>895</v>
      </c>
      <c r="AB57" s="9" t="s">
        <v>39</v>
      </c>
      <c r="AC57" s="10" t="b">
        <v>1</v>
      </c>
      <c r="AD57" s="408">
        <f t="shared" si="1"/>
        <v>7.75</v>
      </c>
    </row>
    <row r="58">
      <c r="A58" s="404" t="s">
        <v>1203</v>
      </c>
      <c r="B58" s="261" t="s">
        <v>1204</v>
      </c>
      <c r="C58" s="405">
        <v>45529.56795138889</v>
      </c>
      <c r="D58" s="248" t="s">
        <v>898</v>
      </c>
      <c r="E58" s="261" t="s">
        <v>42</v>
      </c>
      <c r="F58" s="406">
        <v>9.0</v>
      </c>
      <c r="G58" s="406">
        <v>8.0</v>
      </c>
      <c r="H58" s="406">
        <v>8.0</v>
      </c>
      <c r="I58" s="406">
        <v>9.0</v>
      </c>
      <c r="J58" s="406" t="s">
        <v>899</v>
      </c>
      <c r="K58" s="406">
        <v>9.0</v>
      </c>
      <c r="L58" s="406">
        <v>8.0</v>
      </c>
      <c r="M58" s="406">
        <v>7.0</v>
      </c>
      <c r="N58" s="406">
        <v>10.0</v>
      </c>
      <c r="O58" s="406" t="s">
        <v>900</v>
      </c>
      <c r="P58" s="406">
        <v>6.0</v>
      </c>
      <c r="Q58" s="406">
        <v>8.0</v>
      </c>
      <c r="R58" s="406">
        <v>7.0</v>
      </c>
      <c r="S58" s="406">
        <v>5.0</v>
      </c>
      <c r="T58" s="406" t="s">
        <v>901</v>
      </c>
      <c r="U58" s="406">
        <v>6.0</v>
      </c>
      <c r="V58" s="406">
        <v>6.0</v>
      </c>
      <c r="W58" s="406">
        <v>8.0</v>
      </c>
      <c r="X58" s="406">
        <v>9.0</v>
      </c>
      <c r="Y58" s="406" t="s">
        <v>902</v>
      </c>
      <c r="Z58" s="407"/>
      <c r="AA58" s="407"/>
      <c r="AB58" s="9" t="s">
        <v>39</v>
      </c>
      <c r="AC58" s="10" t="b">
        <v>1</v>
      </c>
      <c r="AD58" s="408">
        <f t="shared" si="1"/>
        <v>7.6875</v>
      </c>
    </row>
    <row r="59">
      <c r="A59" s="404" t="s">
        <v>1209</v>
      </c>
      <c r="B59" s="261" t="s">
        <v>1210</v>
      </c>
      <c r="C59" s="405">
        <v>45529.58613425926</v>
      </c>
      <c r="D59" s="248" t="s">
        <v>717</v>
      </c>
      <c r="E59" s="261" t="s">
        <v>109</v>
      </c>
      <c r="F59" s="406">
        <v>8.0</v>
      </c>
      <c r="G59" s="406">
        <v>8.0</v>
      </c>
      <c r="H59" s="406">
        <v>9.0</v>
      </c>
      <c r="I59" s="406">
        <v>6.0</v>
      </c>
      <c r="J59" s="406" t="s">
        <v>1064</v>
      </c>
      <c r="K59" s="406">
        <v>9.0</v>
      </c>
      <c r="L59" s="406">
        <v>8.0</v>
      </c>
      <c r="M59" s="406">
        <v>9.0</v>
      </c>
      <c r="N59" s="406">
        <v>8.0</v>
      </c>
      <c r="O59" s="406" t="s">
        <v>1065</v>
      </c>
      <c r="P59" s="406">
        <v>6.0</v>
      </c>
      <c r="Q59" s="406">
        <v>8.0</v>
      </c>
      <c r="R59" s="406">
        <v>7.0</v>
      </c>
      <c r="S59" s="406">
        <v>7.0</v>
      </c>
      <c r="T59" s="406" t="s">
        <v>1066</v>
      </c>
      <c r="U59" s="406">
        <v>6.0</v>
      </c>
      <c r="V59" s="406">
        <v>7.0</v>
      </c>
      <c r="W59" s="406">
        <v>8.0</v>
      </c>
      <c r="X59" s="406">
        <v>9.0</v>
      </c>
      <c r="Y59" s="406" t="s">
        <v>1067</v>
      </c>
      <c r="Z59" s="406" t="s">
        <v>1068</v>
      </c>
      <c r="AA59" s="406" t="s">
        <v>38</v>
      </c>
      <c r="AB59" s="9" t="s">
        <v>39</v>
      </c>
      <c r="AC59" s="10" t="b">
        <v>1</v>
      </c>
      <c r="AD59" s="408">
        <f t="shared" si="1"/>
        <v>7.6875</v>
      </c>
    </row>
    <row r="60">
      <c r="A60" s="404" t="s">
        <v>1217</v>
      </c>
      <c r="B60" s="261" t="s">
        <v>1218</v>
      </c>
      <c r="C60" s="405">
        <v>45529.586539351854</v>
      </c>
      <c r="D60" s="248" t="s">
        <v>905</v>
      </c>
      <c r="E60" s="261" t="s">
        <v>42</v>
      </c>
      <c r="F60" s="406">
        <v>7.0</v>
      </c>
      <c r="G60" s="406">
        <v>6.0</v>
      </c>
      <c r="H60" s="406">
        <v>9.0</v>
      </c>
      <c r="I60" s="406">
        <v>7.0</v>
      </c>
      <c r="J60" s="406" t="s">
        <v>906</v>
      </c>
      <c r="K60" s="406">
        <v>9.0</v>
      </c>
      <c r="L60" s="406">
        <v>7.0</v>
      </c>
      <c r="M60" s="406">
        <v>10.0</v>
      </c>
      <c r="N60" s="406">
        <v>8.0</v>
      </c>
      <c r="O60" s="406" t="s">
        <v>907</v>
      </c>
      <c r="P60" s="406">
        <v>6.0</v>
      </c>
      <c r="Q60" s="406">
        <v>10.0</v>
      </c>
      <c r="R60" s="406">
        <v>9.0</v>
      </c>
      <c r="S60" s="406">
        <v>8.0</v>
      </c>
      <c r="T60" s="406" t="s">
        <v>908</v>
      </c>
      <c r="U60" s="406">
        <v>6.0</v>
      </c>
      <c r="V60" s="406">
        <v>7.0</v>
      </c>
      <c r="W60" s="406">
        <v>7.0</v>
      </c>
      <c r="X60" s="406">
        <v>6.0</v>
      </c>
      <c r="Y60" s="406" t="s">
        <v>909</v>
      </c>
      <c r="Z60" s="406" t="s">
        <v>910</v>
      </c>
      <c r="AA60" s="406" t="s">
        <v>911</v>
      </c>
      <c r="AB60" s="9" t="s">
        <v>39</v>
      </c>
      <c r="AC60" s="10" t="b">
        <v>1</v>
      </c>
      <c r="AD60" s="408">
        <f t="shared" si="1"/>
        <v>7.625</v>
      </c>
    </row>
    <row r="61">
      <c r="A61" s="404" t="s">
        <v>1226</v>
      </c>
      <c r="B61" s="261" t="s">
        <v>1227</v>
      </c>
      <c r="C61" s="405">
        <v>45529.646006944444</v>
      </c>
      <c r="D61" s="248" t="s">
        <v>1070</v>
      </c>
      <c r="E61" s="261" t="s">
        <v>109</v>
      </c>
      <c r="F61" s="406">
        <v>8.0</v>
      </c>
      <c r="G61" s="406">
        <v>7.0</v>
      </c>
      <c r="H61" s="406">
        <v>9.0</v>
      </c>
      <c r="I61" s="406">
        <v>10.0</v>
      </c>
      <c r="J61" s="406" t="s">
        <v>1071</v>
      </c>
      <c r="K61" s="406">
        <v>6.0</v>
      </c>
      <c r="L61" s="406">
        <v>6.0</v>
      </c>
      <c r="M61" s="406">
        <v>10.0</v>
      </c>
      <c r="N61" s="406">
        <v>7.0</v>
      </c>
      <c r="O61" s="406" t="s">
        <v>1072</v>
      </c>
      <c r="P61" s="406">
        <v>7.0</v>
      </c>
      <c r="Q61" s="406">
        <v>10.0</v>
      </c>
      <c r="R61" s="406">
        <v>8.0</v>
      </c>
      <c r="S61" s="406">
        <v>10.0</v>
      </c>
      <c r="T61" s="406" t="s">
        <v>1073</v>
      </c>
      <c r="U61" s="406">
        <v>6.0</v>
      </c>
      <c r="V61" s="406">
        <v>6.0</v>
      </c>
      <c r="W61" s="406">
        <v>6.0</v>
      </c>
      <c r="X61" s="406">
        <v>6.0</v>
      </c>
      <c r="Y61" s="406" t="s">
        <v>1074</v>
      </c>
      <c r="Z61" s="406" t="s">
        <v>1075</v>
      </c>
      <c r="AA61" s="406" t="s">
        <v>1076</v>
      </c>
      <c r="AB61" s="9" t="s">
        <v>39</v>
      </c>
      <c r="AC61" s="10" t="b">
        <v>1</v>
      </c>
      <c r="AD61" s="408">
        <f t="shared" si="1"/>
        <v>7.625</v>
      </c>
    </row>
    <row r="62">
      <c r="A62" s="404" t="s">
        <v>1234</v>
      </c>
      <c r="B62" s="261" t="s">
        <v>1235</v>
      </c>
      <c r="C62" s="405">
        <v>45529.666550925926</v>
      </c>
      <c r="D62" s="248" t="s">
        <v>286</v>
      </c>
      <c r="E62" s="261" t="s">
        <v>516</v>
      </c>
      <c r="F62" s="406">
        <v>7.0</v>
      </c>
      <c r="G62" s="406">
        <v>6.0</v>
      </c>
      <c r="H62" s="406">
        <v>7.0</v>
      </c>
      <c r="I62" s="406">
        <v>8.0</v>
      </c>
      <c r="J62" s="406" t="s">
        <v>70</v>
      </c>
      <c r="K62" s="406">
        <v>8.0</v>
      </c>
      <c r="L62" s="406">
        <v>5.0</v>
      </c>
      <c r="M62" s="406">
        <v>9.0</v>
      </c>
      <c r="N62" s="406">
        <v>8.0</v>
      </c>
      <c r="O62" s="406" t="s">
        <v>38</v>
      </c>
      <c r="P62" s="406">
        <v>7.0</v>
      </c>
      <c r="Q62" s="406">
        <v>7.0</v>
      </c>
      <c r="R62" s="406">
        <v>7.0</v>
      </c>
      <c r="S62" s="406">
        <v>7.0</v>
      </c>
      <c r="T62" s="406" t="s">
        <v>70</v>
      </c>
      <c r="U62" s="406">
        <v>7.0</v>
      </c>
      <c r="V62" s="406">
        <v>7.0</v>
      </c>
      <c r="W62" s="406">
        <v>7.0</v>
      </c>
      <c r="X62" s="406">
        <v>8.0</v>
      </c>
      <c r="Y62" s="406" t="s">
        <v>70</v>
      </c>
      <c r="Z62" s="407"/>
      <c r="AA62" s="407"/>
      <c r="AB62" s="9" t="s">
        <v>39</v>
      </c>
      <c r="AC62" s="10" t="b">
        <v>1</v>
      </c>
      <c r="AD62" s="408">
        <f t="shared" si="1"/>
        <v>7.1875</v>
      </c>
    </row>
    <row r="63">
      <c r="A63" s="404" t="s">
        <v>1241</v>
      </c>
      <c r="B63" s="261" t="s">
        <v>1242</v>
      </c>
      <c r="C63" s="405">
        <v>45529.67125</v>
      </c>
      <c r="D63" s="248" t="s">
        <v>720</v>
      </c>
      <c r="E63" s="261" t="s">
        <v>242</v>
      </c>
      <c r="F63" s="406">
        <v>5.0</v>
      </c>
      <c r="G63" s="406">
        <v>6.0</v>
      </c>
      <c r="H63" s="406">
        <v>7.0</v>
      </c>
      <c r="I63" s="406">
        <v>7.0</v>
      </c>
      <c r="J63" s="406" t="s">
        <v>1193</v>
      </c>
      <c r="K63" s="406">
        <v>7.0</v>
      </c>
      <c r="L63" s="406">
        <v>6.0</v>
      </c>
      <c r="M63" s="406">
        <v>9.0</v>
      </c>
      <c r="N63" s="406">
        <v>8.0</v>
      </c>
      <c r="O63" s="406" t="s">
        <v>1194</v>
      </c>
      <c r="P63" s="406">
        <v>7.0</v>
      </c>
      <c r="Q63" s="406">
        <v>8.0</v>
      </c>
      <c r="R63" s="406">
        <v>7.0</v>
      </c>
      <c r="S63" s="406">
        <v>8.0</v>
      </c>
      <c r="T63" s="406" t="s">
        <v>65</v>
      </c>
      <c r="U63" s="406">
        <v>7.0</v>
      </c>
      <c r="V63" s="406">
        <v>7.0</v>
      </c>
      <c r="W63" s="406">
        <v>7.0</v>
      </c>
      <c r="X63" s="406">
        <v>8.0</v>
      </c>
      <c r="Y63" s="406" t="s">
        <v>65</v>
      </c>
      <c r="Z63" s="406" t="s">
        <v>65</v>
      </c>
      <c r="AA63" s="406" t="s">
        <v>1195</v>
      </c>
      <c r="AB63" s="9" t="s">
        <v>39</v>
      </c>
      <c r="AC63" s="10" t="b">
        <v>1</v>
      </c>
      <c r="AD63" s="408">
        <f t="shared" si="1"/>
        <v>7.125</v>
      </c>
    </row>
    <row r="64">
      <c r="A64" s="404" t="s">
        <v>1247</v>
      </c>
      <c r="B64" s="261" t="s">
        <v>1248</v>
      </c>
      <c r="C64" s="405">
        <v>45529.742581018516</v>
      </c>
      <c r="D64" s="248" t="s">
        <v>772</v>
      </c>
      <c r="E64" s="261" t="s">
        <v>516</v>
      </c>
      <c r="F64" s="406">
        <v>8.0</v>
      </c>
      <c r="G64" s="406">
        <v>7.0</v>
      </c>
      <c r="H64" s="406">
        <v>7.0</v>
      </c>
      <c r="I64" s="406">
        <v>7.0</v>
      </c>
      <c r="J64" s="406" t="s">
        <v>1255</v>
      </c>
      <c r="K64" s="406">
        <v>7.0</v>
      </c>
      <c r="L64" s="406">
        <v>7.0</v>
      </c>
      <c r="M64" s="406">
        <v>7.0</v>
      </c>
      <c r="N64" s="406">
        <v>6.0</v>
      </c>
      <c r="O64" s="406" t="s">
        <v>1256</v>
      </c>
      <c r="P64" s="406">
        <v>7.0</v>
      </c>
      <c r="Q64" s="406">
        <v>8.0</v>
      </c>
      <c r="R64" s="406">
        <v>7.0</v>
      </c>
      <c r="S64" s="406">
        <v>6.0</v>
      </c>
      <c r="T64" s="406" t="s">
        <v>1257</v>
      </c>
      <c r="U64" s="406">
        <v>7.0</v>
      </c>
      <c r="V64" s="406">
        <v>7.0</v>
      </c>
      <c r="W64" s="406">
        <v>7.0</v>
      </c>
      <c r="X64" s="406">
        <v>7.0</v>
      </c>
      <c r="Y64" s="406" t="s">
        <v>1258</v>
      </c>
      <c r="Z64" s="407"/>
      <c r="AA64" s="407"/>
      <c r="AB64" s="9" t="s">
        <v>39</v>
      </c>
      <c r="AC64" s="10" t="b">
        <v>1</v>
      </c>
      <c r="AD64" s="408">
        <f t="shared" si="1"/>
        <v>7</v>
      </c>
    </row>
    <row r="65">
      <c r="A65" s="404" t="s">
        <v>1252</v>
      </c>
      <c r="B65" s="261" t="s">
        <v>107</v>
      </c>
      <c r="C65" s="405">
        <v>45530.26130787037</v>
      </c>
      <c r="D65" s="248" t="s">
        <v>773</v>
      </c>
      <c r="E65" s="261" t="s">
        <v>49</v>
      </c>
      <c r="F65" s="406">
        <v>8.0</v>
      </c>
      <c r="G65" s="406">
        <v>6.0</v>
      </c>
      <c r="H65" s="406">
        <v>6.0</v>
      </c>
      <c r="I65" s="406">
        <v>7.0</v>
      </c>
      <c r="J65" s="406" t="s">
        <v>1290</v>
      </c>
      <c r="K65" s="406">
        <v>6.0</v>
      </c>
      <c r="L65" s="406">
        <v>8.0</v>
      </c>
      <c r="M65" s="406">
        <v>8.0</v>
      </c>
      <c r="N65" s="406">
        <v>5.0</v>
      </c>
      <c r="O65" s="406" t="s">
        <v>1291</v>
      </c>
      <c r="P65" s="406">
        <v>7.0</v>
      </c>
      <c r="Q65" s="406">
        <v>8.0</v>
      </c>
      <c r="R65" s="406">
        <v>8.0</v>
      </c>
      <c r="S65" s="406">
        <v>6.0</v>
      </c>
      <c r="T65" s="406" t="s">
        <v>1292</v>
      </c>
      <c r="U65" s="406">
        <v>7.0</v>
      </c>
      <c r="V65" s="406">
        <v>7.0</v>
      </c>
      <c r="W65" s="407"/>
      <c r="X65" s="406">
        <v>8.0</v>
      </c>
      <c r="Y65" s="406" t="s">
        <v>1293</v>
      </c>
      <c r="Z65" s="406" t="s">
        <v>1294</v>
      </c>
      <c r="AA65" s="406" t="s">
        <v>1370</v>
      </c>
      <c r="AB65" s="9" t="s">
        <v>39</v>
      </c>
      <c r="AC65" s="10" t="b">
        <v>1</v>
      </c>
      <c r="AD65" s="408">
        <f t="shared" si="1"/>
        <v>7</v>
      </c>
    </row>
    <row r="66">
      <c r="A66" s="404" t="s">
        <v>1372</v>
      </c>
      <c r="B66" s="261" t="s">
        <v>1373</v>
      </c>
      <c r="C66" s="405">
        <v>45530.31628472222</v>
      </c>
      <c r="D66" s="248" t="s">
        <v>525</v>
      </c>
      <c r="E66" s="261" t="s">
        <v>486</v>
      </c>
      <c r="F66" s="406">
        <v>8.0</v>
      </c>
      <c r="G66" s="406">
        <v>7.0</v>
      </c>
      <c r="H66" s="406">
        <v>7.0</v>
      </c>
      <c r="I66" s="406">
        <v>8.0</v>
      </c>
      <c r="J66" s="406" t="s">
        <v>1351</v>
      </c>
      <c r="K66" s="406">
        <v>8.0</v>
      </c>
      <c r="L66" s="406">
        <v>7.0</v>
      </c>
      <c r="M66" s="406">
        <v>8.0</v>
      </c>
      <c r="N66" s="406">
        <v>6.0</v>
      </c>
      <c r="O66" s="406" t="s">
        <v>1352</v>
      </c>
      <c r="P66" s="406">
        <v>7.0</v>
      </c>
      <c r="Q66" s="406">
        <v>7.0</v>
      </c>
      <c r="R66" s="406">
        <v>7.0</v>
      </c>
      <c r="S66" s="406">
        <v>6.0</v>
      </c>
      <c r="T66" s="406" t="s">
        <v>1353</v>
      </c>
      <c r="U66" s="406">
        <v>6.0</v>
      </c>
      <c r="V66" s="406">
        <v>6.0</v>
      </c>
      <c r="W66" s="406">
        <v>7.0</v>
      </c>
      <c r="X66" s="406">
        <v>7.0</v>
      </c>
      <c r="Y66" s="406" t="s">
        <v>1354</v>
      </c>
      <c r="Z66" s="407"/>
      <c r="AA66" s="407"/>
      <c r="AB66" s="9" t="s">
        <v>39</v>
      </c>
      <c r="AC66" s="10" t="b">
        <v>1</v>
      </c>
      <c r="AD66" s="408">
        <f t="shared" si="1"/>
        <v>7</v>
      </c>
    </row>
    <row r="67">
      <c r="A67" s="404" t="s">
        <v>1253</v>
      </c>
      <c r="B67" s="261" t="s">
        <v>1254</v>
      </c>
      <c r="C67" s="405">
        <v>45530.32633101852</v>
      </c>
      <c r="D67" s="248" t="s">
        <v>530</v>
      </c>
      <c r="E67" s="261" t="s">
        <v>33</v>
      </c>
      <c r="F67" s="406">
        <v>8.0</v>
      </c>
      <c r="G67" s="406">
        <v>7.0</v>
      </c>
      <c r="H67" s="406">
        <v>6.0</v>
      </c>
      <c r="I67" s="406">
        <v>8.0</v>
      </c>
      <c r="J67" s="406" t="s">
        <v>844</v>
      </c>
      <c r="K67" s="406">
        <v>7.0</v>
      </c>
      <c r="L67" s="406">
        <v>8.0</v>
      </c>
      <c r="M67" s="406">
        <v>7.0</v>
      </c>
      <c r="N67" s="406">
        <v>4.0</v>
      </c>
      <c r="O67" s="406" t="s">
        <v>367</v>
      </c>
      <c r="P67" s="406">
        <v>6.0</v>
      </c>
      <c r="Q67" s="406">
        <v>8.0</v>
      </c>
      <c r="R67" s="406">
        <v>7.0</v>
      </c>
      <c r="S67" s="406">
        <v>6.0</v>
      </c>
      <c r="T67" s="406" t="s">
        <v>845</v>
      </c>
      <c r="U67" s="406">
        <v>4.0</v>
      </c>
      <c r="V67" s="406">
        <v>4.0</v>
      </c>
      <c r="W67" s="406">
        <v>7.0</v>
      </c>
      <c r="X67" s="406">
        <v>10.0</v>
      </c>
      <c r="Y67" s="406" t="s">
        <v>846</v>
      </c>
      <c r="Z67" s="406" t="s">
        <v>847</v>
      </c>
      <c r="AA67" s="406" t="s">
        <v>848</v>
      </c>
      <c r="AB67" s="9" t="s">
        <v>39</v>
      </c>
      <c r="AC67" s="10" t="b">
        <v>1</v>
      </c>
      <c r="AD67" s="408">
        <f t="shared" si="1"/>
        <v>6.6875</v>
      </c>
    </row>
    <row r="68">
      <c r="A68" s="404" t="s">
        <v>1259</v>
      </c>
      <c r="B68" s="261" t="s">
        <v>506</v>
      </c>
      <c r="C68" s="405">
        <v>45530.3471875</v>
      </c>
      <c r="D68" s="248" t="s">
        <v>778</v>
      </c>
      <c r="E68" s="261" t="s">
        <v>241</v>
      </c>
      <c r="F68" s="406">
        <v>6.0</v>
      </c>
      <c r="G68" s="406">
        <v>5.0</v>
      </c>
      <c r="H68" s="406">
        <v>10.0</v>
      </c>
      <c r="I68" s="406">
        <v>10.0</v>
      </c>
      <c r="J68" s="406" t="s">
        <v>932</v>
      </c>
      <c r="K68" s="406">
        <v>8.0</v>
      </c>
      <c r="L68" s="406">
        <v>10.0</v>
      </c>
      <c r="M68" s="406">
        <v>8.0</v>
      </c>
      <c r="N68" s="406">
        <v>5.0</v>
      </c>
      <c r="O68" s="406" t="s">
        <v>933</v>
      </c>
      <c r="P68" s="406">
        <v>3.0</v>
      </c>
      <c r="Q68" s="406">
        <v>6.0</v>
      </c>
      <c r="R68" s="406">
        <v>3.0</v>
      </c>
      <c r="S68" s="406">
        <v>7.0</v>
      </c>
      <c r="T68" s="406" t="s">
        <v>934</v>
      </c>
      <c r="U68" s="406">
        <v>5.0</v>
      </c>
      <c r="V68" s="406">
        <v>5.0</v>
      </c>
      <c r="W68" s="406">
        <v>5.0</v>
      </c>
      <c r="X68" s="406">
        <v>7.0</v>
      </c>
      <c r="Y68" s="406" t="s">
        <v>935</v>
      </c>
      <c r="Z68" s="406" t="s">
        <v>936</v>
      </c>
      <c r="AA68" s="406" t="s">
        <v>937</v>
      </c>
      <c r="AB68" s="9" t="s">
        <v>39</v>
      </c>
      <c r="AC68" s="10" t="b">
        <v>1</v>
      </c>
      <c r="AD68" s="408">
        <f t="shared" si="1"/>
        <v>6.4375</v>
      </c>
    </row>
    <row r="69">
      <c r="A69" s="404" t="s">
        <v>1265</v>
      </c>
      <c r="B69" s="261" t="s">
        <v>457</v>
      </c>
      <c r="C69" s="405">
        <v>45530.61601851852</v>
      </c>
      <c r="D69" s="248" t="s">
        <v>248</v>
      </c>
      <c r="E69" s="261" t="s">
        <v>242</v>
      </c>
      <c r="F69" s="406">
        <v>8.0</v>
      </c>
      <c r="G69" s="406">
        <v>6.0</v>
      </c>
      <c r="H69" s="406">
        <v>6.0</v>
      </c>
      <c r="I69" s="406">
        <v>6.0</v>
      </c>
      <c r="J69" s="406" t="s">
        <v>1197</v>
      </c>
      <c r="K69" s="406">
        <v>6.0</v>
      </c>
      <c r="L69" s="406">
        <v>6.0</v>
      </c>
      <c r="M69" s="406">
        <v>6.0</v>
      </c>
      <c r="N69" s="406">
        <v>6.0</v>
      </c>
      <c r="O69" s="406" t="s">
        <v>1198</v>
      </c>
      <c r="P69" s="406">
        <v>6.0</v>
      </c>
      <c r="Q69" s="406">
        <v>8.0</v>
      </c>
      <c r="R69" s="406">
        <v>6.0</v>
      </c>
      <c r="S69" s="406">
        <v>6.0</v>
      </c>
      <c r="T69" s="406" t="s">
        <v>1199</v>
      </c>
      <c r="U69" s="406">
        <v>6.0</v>
      </c>
      <c r="V69" s="406">
        <v>5.0</v>
      </c>
      <c r="W69" s="406">
        <v>6.0</v>
      </c>
      <c r="X69" s="406">
        <v>8.0</v>
      </c>
      <c r="Y69" s="406" t="s">
        <v>1200</v>
      </c>
      <c r="Z69" s="406" t="s">
        <v>1201</v>
      </c>
      <c r="AA69" s="406" t="s">
        <v>1202</v>
      </c>
      <c r="AB69" s="9" t="s">
        <v>39</v>
      </c>
      <c r="AC69" s="10" t="b">
        <v>1</v>
      </c>
      <c r="AD69" s="408">
        <f t="shared" si="1"/>
        <v>6.3125</v>
      </c>
    </row>
    <row r="70">
      <c r="A70" s="404" t="s">
        <v>1270</v>
      </c>
      <c r="B70" s="261" t="s">
        <v>1271</v>
      </c>
      <c r="C70" s="405">
        <v>45530.617789351854</v>
      </c>
      <c r="D70" s="248" t="s">
        <v>241</v>
      </c>
      <c r="E70" s="261" t="s">
        <v>33</v>
      </c>
      <c r="F70" s="406">
        <v>8.0</v>
      </c>
      <c r="G70" s="406">
        <v>8.0</v>
      </c>
      <c r="H70" s="406">
        <v>6.0</v>
      </c>
      <c r="I70" s="406">
        <v>6.0</v>
      </c>
      <c r="J70" s="406" t="s">
        <v>851</v>
      </c>
      <c r="K70" s="406">
        <v>4.0</v>
      </c>
      <c r="L70" s="406">
        <v>7.0</v>
      </c>
      <c r="M70" s="406">
        <v>10.0</v>
      </c>
      <c r="N70" s="406">
        <v>8.0</v>
      </c>
      <c r="O70" s="406" t="s">
        <v>852</v>
      </c>
      <c r="P70" s="406">
        <v>5.0</v>
      </c>
      <c r="Q70" s="406">
        <v>5.0</v>
      </c>
      <c r="R70" s="406">
        <v>5.0</v>
      </c>
      <c r="S70" s="406">
        <v>8.0</v>
      </c>
      <c r="T70" s="406" t="s">
        <v>853</v>
      </c>
      <c r="U70" s="406">
        <v>1.0</v>
      </c>
      <c r="V70" s="406">
        <v>5.0</v>
      </c>
      <c r="W70" s="406">
        <v>6.0</v>
      </c>
      <c r="X70" s="406">
        <v>5.0</v>
      </c>
      <c r="Y70" s="406" t="s">
        <v>854</v>
      </c>
      <c r="Z70" s="406" t="s">
        <v>855</v>
      </c>
      <c r="AA70" s="407"/>
      <c r="AB70" s="9" t="s">
        <v>39</v>
      </c>
      <c r="AC70" s="10" t="b">
        <v>1</v>
      </c>
      <c r="AD70" s="408">
        <f t="shared" si="1"/>
        <v>6.0625</v>
      </c>
    </row>
    <row r="71">
      <c r="A71" s="404" t="s">
        <v>1274</v>
      </c>
      <c r="B71" s="261" t="s">
        <v>126</v>
      </c>
      <c r="C71" s="405">
        <v>45530.62863425926</v>
      </c>
      <c r="D71" s="248" t="s">
        <v>779</v>
      </c>
      <c r="E71" s="261" t="s">
        <v>530</v>
      </c>
      <c r="F71" s="406">
        <v>6.0</v>
      </c>
      <c r="G71" s="406">
        <v>6.0</v>
      </c>
      <c r="H71" s="406">
        <v>6.0</v>
      </c>
      <c r="I71" s="406">
        <v>5.0</v>
      </c>
      <c r="J71" s="406" t="s">
        <v>981</v>
      </c>
      <c r="K71" s="406">
        <v>7.0</v>
      </c>
      <c r="L71" s="406">
        <v>7.0</v>
      </c>
      <c r="M71" s="406">
        <v>7.0</v>
      </c>
      <c r="N71" s="406">
        <v>7.0</v>
      </c>
      <c r="O71" s="406" t="s">
        <v>982</v>
      </c>
      <c r="P71" s="406">
        <v>7.0</v>
      </c>
      <c r="Q71" s="406">
        <v>7.0</v>
      </c>
      <c r="R71" s="406">
        <v>7.0</v>
      </c>
      <c r="S71" s="406">
        <v>6.0</v>
      </c>
      <c r="T71" s="406" t="s">
        <v>983</v>
      </c>
      <c r="U71" s="406">
        <v>4.0</v>
      </c>
      <c r="V71" s="406">
        <v>4.0</v>
      </c>
      <c r="W71" s="406">
        <v>5.0</v>
      </c>
      <c r="X71" s="406">
        <v>5.0</v>
      </c>
      <c r="Y71" s="406" t="s">
        <v>984</v>
      </c>
      <c r="Z71" s="406" t="s">
        <v>985</v>
      </c>
      <c r="AA71" s="407"/>
      <c r="AB71" s="9" t="s">
        <v>39</v>
      </c>
      <c r="AC71" s="10" t="b">
        <v>1</v>
      </c>
      <c r="AD71" s="408">
        <f t="shared" si="1"/>
        <v>6</v>
      </c>
    </row>
    <row r="72">
      <c r="A72" s="404" t="s">
        <v>1276</v>
      </c>
      <c r="B72" s="261" t="s">
        <v>1277</v>
      </c>
      <c r="C72" s="405">
        <v>45530.66297453704</v>
      </c>
      <c r="D72" s="248" t="s">
        <v>780</v>
      </c>
      <c r="E72" s="261" t="s">
        <v>248</v>
      </c>
      <c r="F72" s="406">
        <v>10.0</v>
      </c>
      <c r="G72" s="406">
        <v>5.0</v>
      </c>
      <c r="H72" s="406">
        <v>4.0</v>
      </c>
      <c r="I72" s="406">
        <v>4.0</v>
      </c>
      <c r="J72" s="406" t="s">
        <v>1004</v>
      </c>
      <c r="K72" s="406">
        <v>4.0</v>
      </c>
      <c r="L72" s="406">
        <v>4.0</v>
      </c>
      <c r="M72" s="406">
        <v>10.0</v>
      </c>
      <c r="N72" s="406">
        <v>6.0</v>
      </c>
      <c r="O72" s="406" t="s">
        <v>1005</v>
      </c>
      <c r="P72" s="406">
        <v>6.0</v>
      </c>
      <c r="Q72" s="406">
        <v>6.0</v>
      </c>
      <c r="R72" s="406">
        <v>3.0</v>
      </c>
      <c r="S72" s="406">
        <v>6.0</v>
      </c>
      <c r="T72" s="406" t="s">
        <v>1006</v>
      </c>
      <c r="U72" s="406">
        <v>10.0</v>
      </c>
      <c r="V72" s="406">
        <v>6.0</v>
      </c>
      <c r="W72" s="406">
        <v>7.0</v>
      </c>
      <c r="X72" s="406">
        <v>5.0</v>
      </c>
      <c r="Y72" s="406" t="s">
        <v>86</v>
      </c>
      <c r="Z72" s="406" t="s">
        <v>1007</v>
      </c>
      <c r="AA72" s="406" t="s">
        <v>1008</v>
      </c>
      <c r="AB72" s="9" t="s">
        <v>39</v>
      </c>
      <c r="AC72" s="10" t="b">
        <v>1</v>
      </c>
      <c r="AD72" s="408">
        <f t="shared" si="1"/>
        <v>6</v>
      </c>
    </row>
    <row r="73">
      <c r="A73" s="404" t="s">
        <v>1283</v>
      </c>
      <c r="B73" s="261" t="s">
        <v>1284</v>
      </c>
      <c r="C73" s="405">
        <v>45530.69724537037</v>
      </c>
      <c r="D73" s="248" t="s">
        <v>558</v>
      </c>
      <c r="E73" s="261" t="s">
        <v>241</v>
      </c>
      <c r="F73" s="406">
        <v>4.0</v>
      </c>
      <c r="G73" s="406">
        <v>4.0</v>
      </c>
      <c r="H73" s="406">
        <v>6.0</v>
      </c>
      <c r="I73" s="406">
        <v>7.0</v>
      </c>
      <c r="J73" s="406" t="s">
        <v>940</v>
      </c>
      <c r="K73" s="406">
        <v>9.0</v>
      </c>
      <c r="L73" s="406">
        <v>7.0</v>
      </c>
      <c r="M73" s="406">
        <v>4.0</v>
      </c>
      <c r="N73" s="406">
        <v>5.0</v>
      </c>
      <c r="O73" s="406" t="s">
        <v>941</v>
      </c>
      <c r="P73" s="406">
        <v>6.0</v>
      </c>
      <c r="Q73" s="406">
        <v>8.0</v>
      </c>
      <c r="R73" s="406">
        <v>9.0</v>
      </c>
      <c r="S73" s="406">
        <v>6.0</v>
      </c>
      <c r="T73" s="406" t="s">
        <v>942</v>
      </c>
      <c r="U73" s="406">
        <v>3.0</v>
      </c>
      <c r="V73" s="406">
        <v>2.0</v>
      </c>
      <c r="W73" s="406">
        <v>4.0</v>
      </c>
      <c r="X73" s="406">
        <v>8.0</v>
      </c>
      <c r="Y73" s="406" t="s">
        <v>943</v>
      </c>
      <c r="Z73" s="406" t="s">
        <v>944</v>
      </c>
      <c r="AA73" s="406" t="s">
        <v>945</v>
      </c>
      <c r="AB73" s="9" t="s">
        <v>39</v>
      </c>
      <c r="AC73" s="10" t="b">
        <v>1</v>
      </c>
      <c r="AD73" s="408">
        <f t="shared" si="1"/>
        <v>5.75</v>
      </c>
    </row>
    <row r="74">
      <c r="A74" s="404" t="s">
        <v>1288</v>
      </c>
      <c r="B74" s="261" t="s">
        <v>1289</v>
      </c>
      <c r="C74" s="405">
        <v>45530.72489583334</v>
      </c>
      <c r="D74" s="248" t="s">
        <v>537</v>
      </c>
      <c r="E74" s="261" t="s">
        <v>241</v>
      </c>
      <c r="F74" s="406">
        <v>5.0</v>
      </c>
      <c r="G74" s="406">
        <v>4.0</v>
      </c>
      <c r="H74" s="406">
        <v>8.0</v>
      </c>
      <c r="I74" s="406">
        <v>9.0</v>
      </c>
      <c r="J74" s="406" t="s">
        <v>946</v>
      </c>
      <c r="K74" s="406">
        <v>3.0</v>
      </c>
      <c r="L74" s="406">
        <v>5.0</v>
      </c>
      <c r="M74" s="406">
        <v>9.0</v>
      </c>
      <c r="N74" s="406">
        <v>3.0</v>
      </c>
      <c r="O74" s="406" t="s">
        <v>947</v>
      </c>
      <c r="P74" s="406">
        <v>2.0</v>
      </c>
      <c r="Q74" s="406">
        <v>6.0</v>
      </c>
      <c r="R74" s="406">
        <v>6.0</v>
      </c>
      <c r="S74" s="406">
        <v>3.0</v>
      </c>
      <c r="T74" s="406" t="s">
        <v>948</v>
      </c>
      <c r="U74" s="406">
        <v>5.0</v>
      </c>
      <c r="V74" s="406">
        <v>7.0</v>
      </c>
      <c r="W74" s="406">
        <v>7.0</v>
      </c>
      <c r="X74" s="406">
        <v>9.0</v>
      </c>
      <c r="Y74" s="406" t="s">
        <v>65</v>
      </c>
      <c r="Z74" s="406" t="s">
        <v>65</v>
      </c>
      <c r="AA74" s="406" t="s">
        <v>949</v>
      </c>
      <c r="AB74" s="9" t="s">
        <v>39</v>
      </c>
      <c r="AC74" s="10" t="b">
        <v>1</v>
      </c>
      <c r="AD74" s="408">
        <f t="shared" si="1"/>
        <v>5.6875</v>
      </c>
    </row>
    <row r="75">
      <c r="A75" s="404" t="s">
        <v>1296</v>
      </c>
      <c r="B75" s="261" t="s">
        <v>41</v>
      </c>
      <c r="C75" s="405">
        <v>45530.81584490741</v>
      </c>
      <c r="D75" s="248" t="s">
        <v>559</v>
      </c>
      <c r="E75" s="261" t="s">
        <v>241</v>
      </c>
      <c r="F75" s="406">
        <v>6.0</v>
      </c>
      <c r="G75" s="406">
        <v>6.0</v>
      </c>
      <c r="H75" s="406">
        <v>8.0</v>
      </c>
      <c r="I75" s="406">
        <v>7.0</v>
      </c>
      <c r="J75" s="406" t="s">
        <v>951</v>
      </c>
      <c r="K75" s="406">
        <v>5.0</v>
      </c>
      <c r="L75" s="406">
        <v>5.0</v>
      </c>
      <c r="M75" s="406">
        <v>7.0</v>
      </c>
      <c r="N75" s="406">
        <v>6.0</v>
      </c>
      <c r="O75" s="406" t="s">
        <v>952</v>
      </c>
      <c r="P75" s="406">
        <v>5.0</v>
      </c>
      <c r="Q75" s="406">
        <v>6.0</v>
      </c>
      <c r="R75" s="406">
        <v>4.0</v>
      </c>
      <c r="S75" s="406">
        <v>2.0</v>
      </c>
      <c r="T75" s="406" t="s">
        <v>953</v>
      </c>
      <c r="U75" s="406">
        <v>4.0</v>
      </c>
      <c r="V75" s="406">
        <v>6.0</v>
      </c>
      <c r="W75" s="406">
        <v>7.0</v>
      </c>
      <c r="X75" s="406">
        <v>7.0</v>
      </c>
      <c r="Y75" s="406" t="s">
        <v>954</v>
      </c>
      <c r="Z75" s="406" t="s">
        <v>65</v>
      </c>
      <c r="AA75" s="406" t="s">
        <v>955</v>
      </c>
      <c r="AB75" s="9" t="s">
        <v>39</v>
      </c>
      <c r="AC75" s="10" t="b">
        <v>1</v>
      </c>
      <c r="AD75" s="408">
        <f t="shared" si="1"/>
        <v>5.6875</v>
      </c>
    </row>
    <row r="76">
      <c r="A76" s="404" t="s">
        <v>1301</v>
      </c>
      <c r="B76" s="261" t="s">
        <v>524</v>
      </c>
      <c r="C76" s="405">
        <v>45531.346967592595</v>
      </c>
      <c r="D76" s="248" t="s">
        <v>242</v>
      </c>
      <c r="E76" s="261" t="s">
        <v>109</v>
      </c>
      <c r="F76" s="406">
        <v>7.0</v>
      </c>
      <c r="G76" s="406">
        <v>3.0</v>
      </c>
      <c r="H76" s="406">
        <v>8.0</v>
      </c>
      <c r="I76" s="406">
        <v>2.0</v>
      </c>
      <c r="J76" s="406" t="s">
        <v>1078</v>
      </c>
      <c r="K76" s="406">
        <v>8.0</v>
      </c>
      <c r="L76" s="406">
        <v>9.0</v>
      </c>
      <c r="M76" s="406">
        <v>9.0</v>
      </c>
      <c r="N76" s="406">
        <v>10.0</v>
      </c>
      <c r="O76" s="406" t="s">
        <v>1079</v>
      </c>
      <c r="P76" s="406">
        <v>3.0</v>
      </c>
      <c r="Q76" s="406">
        <v>6.0</v>
      </c>
      <c r="R76" s="406">
        <v>4.0</v>
      </c>
      <c r="S76" s="406">
        <v>3.0</v>
      </c>
      <c r="T76" s="406" t="s">
        <v>1080</v>
      </c>
      <c r="U76" s="406">
        <v>2.0</v>
      </c>
      <c r="V76" s="406">
        <v>3.0</v>
      </c>
      <c r="W76" s="406">
        <v>2.0</v>
      </c>
      <c r="X76" s="406">
        <v>3.0</v>
      </c>
      <c r="Y76" s="406" t="s">
        <v>1081</v>
      </c>
      <c r="Z76" s="406" t="s">
        <v>1368</v>
      </c>
      <c r="AA76" s="406" t="s">
        <v>1083</v>
      </c>
      <c r="AB76" s="9" t="s">
        <v>39</v>
      </c>
      <c r="AC76" s="10" t="b">
        <v>1</v>
      </c>
      <c r="AD76" s="408">
        <f t="shared" si="1"/>
        <v>5.125</v>
      </c>
    </row>
    <row r="77">
      <c r="A77" s="404" t="s">
        <v>1305</v>
      </c>
      <c r="B77" s="261" t="s">
        <v>1306</v>
      </c>
      <c r="C77" s="405">
        <v>45531.81664351852</v>
      </c>
      <c r="D77" s="248" t="s">
        <v>143</v>
      </c>
      <c r="E77" s="261" t="s">
        <v>248</v>
      </c>
      <c r="F77" s="406">
        <v>3.0</v>
      </c>
      <c r="G77" s="406">
        <v>2.0</v>
      </c>
      <c r="H77" s="406">
        <v>4.0</v>
      </c>
      <c r="I77" s="406">
        <v>1.0</v>
      </c>
      <c r="J77" s="406" t="s">
        <v>1011</v>
      </c>
      <c r="K77" s="406">
        <v>10.0</v>
      </c>
      <c r="L77" s="406">
        <v>2.0</v>
      </c>
      <c r="M77" s="406">
        <v>6.0</v>
      </c>
      <c r="N77" s="406">
        <v>10.0</v>
      </c>
      <c r="O77" s="406" t="s">
        <v>1012</v>
      </c>
      <c r="P77" s="406">
        <v>5.0</v>
      </c>
      <c r="Q77" s="406">
        <v>2.0</v>
      </c>
      <c r="R77" s="406">
        <v>3.0</v>
      </c>
      <c r="S77" s="406">
        <v>6.0</v>
      </c>
      <c r="T77" s="406" t="s">
        <v>86</v>
      </c>
      <c r="U77" s="406">
        <v>5.0</v>
      </c>
      <c r="V77" s="406">
        <v>8.0</v>
      </c>
      <c r="W77" s="406">
        <v>5.0</v>
      </c>
      <c r="X77" s="406">
        <v>5.0</v>
      </c>
      <c r="Y77" s="406" t="s">
        <v>1013</v>
      </c>
      <c r="Z77" s="406" t="s">
        <v>1014</v>
      </c>
      <c r="AA77" s="406" t="s">
        <v>1015</v>
      </c>
      <c r="AB77" s="9" t="s">
        <v>39</v>
      </c>
      <c r="AC77" s="10" t="b">
        <v>1</v>
      </c>
      <c r="AD77" s="408">
        <f t="shared" si="1"/>
        <v>4.8125</v>
      </c>
    </row>
    <row r="78">
      <c r="A78" s="404" t="s">
        <v>1311</v>
      </c>
      <c r="B78" s="261" t="s">
        <v>1312</v>
      </c>
      <c r="C78" s="405">
        <v>45531.90225694444</v>
      </c>
      <c r="D78" s="248" t="s">
        <v>113</v>
      </c>
      <c r="E78" s="261" t="s">
        <v>33</v>
      </c>
      <c r="F78" s="406">
        <v>6.0</v>
      </c>
      <c r="G78" s="406">
        <v>6.0</v>
      </c>
      <c r="H78" s="406">
        <v>4.0</v>
      </c>
      <c r="I78" s="406">
        <v>6.0</v>
      </c>
      <c r="J78" s="406" t="s">
        <v>858</v>
      </c>
      <c r="K78" s="406">
        <v>2.0</v>
      </c>
      <c r="L78" s="406">
        <v>6.0</v>
      </c>
      <c r="M78" s="406">
        <v>6.0</v>
      </c>
      <c r="N78" s="406">
        <v>4.0</v>
      </c>
      <c r="O78" s="406" t="s">
        <v>858</v>
      </c>
      <c r="P78" s="406">
        <v>6.0</v>
      </c>
      <c r="Q78" s="406">
        <v>6.0</v>
      </c>
      <c r="R78" s="406">
        <v>6.0</v>
      </c>
      <c r="S78" s="406">
        <v>4.0</v>
      </c>
      <c r="T78" s="406" t="s">
        <v>858</v>
      </c>
      <c r="U78" s="406">
        <v>3.0</v>
      </c>
      <c r="V78" s="406">
        <v>2.0</v>
      </c>
      <c r="W78" s="406">
        <v>3.0</v>
      </c>
      <c r="X78" s="406">
        <v>4.0</v>
      </c>
      <c r="Y78" s="406" t="s">
        <v>858</v>
      </c>
      <c r="Z78" s="407"/>
      <c r="AA78" s="407"/>
      <c r="AB78" s="9" t="s">
        <v>39</v>
      </c>
      <c r="AC78" s="10" t="b">
        <v>1</v>
      </c>
      <c r="AD78" s="408">
        <f t="shared" si="1"/>
        <v>4.625</v>
      </c>
    </row>
    <row r="79">
      <c r="A79" s="404" t="s">
        <v>1319</v>
      </c>
      <c r="B79" s="261" t="s">
        <v>1312</v>
      </c>
      <c r="C79" s="405">
        <v>45531.90712962963</v>
      </c>
      <c r="D79" s="248" t="s">
        <v>516</v>
      </c>
      <c r="E79" s="261" t="s">
        <v>113</v>
      </c>
      <c r="F79" s="406">
        <v>3.0</v>
      </c>
      <c r="G79" s="406">
        <v>3.0</v>
      </c>
      <c r="H79" s="406">
        <v>5.0</v>
      </c>
      <c r="I79" s="406">
        <v>4.0</v>
      </c>
      <c r="J79" s="406" t="s">
        <v>1313</v>
      </c>
      <c r="K79" s="406">
        <v>7.0</v>
      </c>
      <c r="L79" s="406">
        <v>5.0</v>
      </c>
      <c r="M79" s="406">
        <v>10.0</v>
      </c>
      <c r="N79" s="406">
        <v>5.0</v>
      </c>
      <c r="O79" s="406" t="s">
        <v>1314</v>
      </c>
      <c r="P79" s="406">
        <v>3.0</v>
      </c>
      <c r="Q79" s="406">
        <v>10.0</v>
      </c>
      <c r="R79" s="406">
        <v>2.0</v>
      </c>
      <c r="S79" s="406">
        <v>6.0</v>
      </c>
      <c r="T79" s="406" t="s">
        <v>1315</v>
      </c>
      <c r="U79" s="406">
        <v>1.0</v>
      </c>
      <c r="V79" s="406">
        <v>2.0</v>
      </c>
      <c r="W79" s="406">
        <v>1.0</v>
      </c>
      <c r="X79" s="406">
        <v>2.0</v>
      </c>
      <c r="Y79" s="406" t="s">
        <v>1316</v>
      </c>
      <c r="Z79" s="406" t="s">
        <v>1317</v>
      </c>
      <c r="AA79" s="406" t="s">
        <v>1318</v>
      </c>
      <c r="AB79" s="9" t="s">
        <v>39</v>
      </c>
      <c r="AC79" s="10" t="b">
        <v>1</v>
      </c>
      <c r="AD79" s="408">
        <f t="shared" si="1"/>
        <v>4.3125</v>
      </c>
    </row>
    <row r="80">
      <c r="A80" s="404" t="s">
        <v>1325</v>
      </c>
      <c r="B80" s="261" t="s">
        <v>1326</v>
      </c>
      <c r="C80" s="405">
        <v>45536.19341435185</v>
      </c>
      <c r="D80" s="248" t="s">
        <v>784</v>
      </c>
      <c r="E80" s="261" t="s">
        <v>724</v>
      </c>
      <c r="F80" s="406">
        <v>3.0</v>
      </c>
      <c r="G80" s="406">
        <v>8.0</v>
      </c>
      <c r="H80" s="406">
        <v>5.0</v>
      </c>
      <c r="I80" s="406">
        <v>3.0</v>
      </c>
      <c r="J80" s="406" t="s">
        <v>1364</v>
      </c>
      <c r="K80" s="406">
        <v>2.0</v>
      </c>
      <c r="L80" s="406">
        <v>6.0</v>
      </c>
      <c r="M80" s="406">
        <v>3.0</v>
      </c>
      <c r="N80" s="406">
        <v>3.0</v>
      </c>
      <c r="O80" s="406" t="s">
        <v>1364</v>
      </c>
      <c r="P80" s="406">
        <v>2.0</v>
      </c>
      <c r="Q80" s="406">
        <v>2.0</v>
      </c>
      <c r="R80" s="406">
        <v>2.0</v>
      </c>
      <c r="S80" s="406">
        <v>2.0</v>
      </c>
      <c r="T80" s="406" t="s">
        <v>1364</v>
      </c>
      <c r="U80" s="406">
        <v>1.0</v>
      </c>
      <c r="V80" s="406">
        <v>1.0</v>
      </c>
      <c r="W80" s="406">
        <v>3.0</v>
      </c>
      <c r="X80" s="406">
        <v>1.0</v>
      </c>
      <c r="Y80" s="406" t="s">
        <v>1364</v>
      </c>
      <c r="Z80" s="406" t="s">
        <v>1365</v>
      </c>
      <c r="AA80" s="407"/>
      <c r="AB80" s="9" t="s">
        <v>39</v>
      </c>
      <c r="AC80" s="10" t="b">
        <v>1</v>
      </c>
      <c r="AD80" s="408">
        <f t="shared" si="1"/>
        <v>2.9375</v>
      </c>
    </row>
    <row r="81">
      <c r="B81" s="486"/>
      <c r="C81" s="486"/>
      <c r="D81" s="487"/>
      <c r="E81" s="486"/>
      <c r="F81" s="488"/>
      <c r="G81" s="488"/>
      <c r="H81" s="488"/>
      <c r="I81" s="488"/>
      <c r="J81" s="488"/>
      <c r="K81" s="488"/>
      <c r="L81" s="488"/>
      <c r="M81" s="488"/>
      <c r="N81" s="488"/>
      <c r="O81" s="488"/>
      <c r="P81" s="488"/>
      <c r="Q81" s="488"/>
      <c r="R81" s="488"/>
      <c r="S81" s="488"/>
      <c r="T81" s="488"/>
      <c r="U81" s="488"/>
      <c r="V81" s="488"/>
      <c r="W81" s="488"/>
      <c r="X81" s="488"/>
      <c r="Y81" s="488"/>
      <c r="Z81" s="488"/>
      <c r="AA81" s="488"/>
      <c r="AB81" s="488"/>
      <c r="AC81" s="488"/>
      <c r="AD81" s="488"/>
    </row>
    <row r="82">
      <c r="A82" s="410"/>
      <c r="B82" s="411"/>
      <c r="C82" s="411"/>
      <c r="D82" s="489"/>
      <c r="E82" s="411"/>
      <c r="F82" s="412">
        <f t="shared" ref="F82:I82" si="2">AVERAGE(F2:F80)</f>
        <v>8.075949367</v>
      </c>
      <c r="G82" s="412">
        <f t="shared" si="2"/>
        <v>7.784810127</v>
      </c>
      <c r="H82" s="412">
        <f t="shared" si="2"/>
        <v>8.379746835</v>
      </c>
      <c r="I82" s="412">
        <f t="shared" si="2"/>
        <v>7.82278481</v>
      </c>
      <c r="J82" s="413"/>
      <c r="K82" s="412">
        <f t="shared" ref="K82:N82" si="3">AVERAGE(K2:K80)</f>
        <v>8.493670886</v>
      </c>
      <c r="L82" s="412">
        <f t="shared" si="3"/>
        <v>8.358974359</v>
      </c>
      <c r="M82" s="412">
        <f t="shared" si="3"/>
        <v>9.075949367</v>
      </c>
      <c r="N82" s="412">
        <f t="shared" si="3"/>
        <v>8.285714286</v>
      </c>
      <c r="O82" s="413"/>
      <c r="P82" s="412">
        <f t="shared" ref="P82:S82" si="4">AVERAGE(P2:P80)</f>
        <v>7.759493671</v>
      </c>
      <c r="Q82" s="412">
        <f t="shared" si="4"/>
        <v>8.417721519</v>
      </c>
      <c r="R82" s="412">
        <f t="shared" si="4"/>
        <v>8.075949367</v>
      </c>
      <c r="S82" s="412">
        <f t="shared" si="4"/>
        <v>7.848101266</v>
      </c>
      <c r="T82" s="413"/>
      <c r="U82" s="412">
        <f t="shared" ref="U82:X82" si="5">AVERAGE(U2:U80)</f>
        <v>6.487179487</v>
      </c>
      <c r="V82" s="412">
        <f t="shared" si="5"/>
        <v>7.126582278</v>
      </c>
      <c r="W82" s="412">
        <f t="shared" si="5"/>
        <v>7.846153846</v>
      </c>
      <c r="X82" s="412">
        <f t="shared" si="5"/>
        <v>8.487179487</v>
      </c>
      <c r="Y82" s="413"/>
      <c r="Z82" s="413"/>
      <c r="AA82" s="413"/>
      <c r="AB82" s="413"/>
      <c r="AC82" s="413"/>
      <c r="AD82" s="412">
        <f>AVERAGE(AD2:AD80)</f>
        <v>8.024427366</v>
      </c>
    </row>
    <row r="83">
      <c r="A83" s="404"/>
      <c r="B83" s="261"/>
      <c r="C83" s="405"/>
      <c r="D83" s="248"/>
      <c r="E83" s="261"/>
      <c r="F83" s="406"/>
      <c r="G83" s="406"/>
      <c r="H83" s="406"/>
      <c r="I83" s="406"/>
      <c r="J83" s="406"/>
      <c r="K83" s="406"/>
      <c r="L83" s="406"/>
      <c r="M83" s="406"/>
      <c r="N83" s="406"/>
      <c r="O83" s="406"/>
      <c r="P83" s="406"/>
      <c r="Q83" s="406"/>
      <c r="R83" s="406"/>
      <c r="S83" s="406"/>
      <c r="T83" s="406"/>
      <c r="U83" s="406"/>
      <c r="V83" s="406"/>
      <c r="W83" s="406"/>
      <c r="X83" s="407"/>
      <c r="Y83" s="406"/>
      <c r="Z83" s="407"/>
      <c r="AA83" s="406"/>
      <c r="AB83" s="9"/>
      <c r="AC83" s="10"/>
      <c r="AD83" s="408"/>
    </row>
    <row r="84">
      <c r="A84" s="404"/>
      <c r="B84" s="261"/>
      <c r="C84" s="405"/>
      <c r="D84" s="248"/>
      <c r="E84" s="261"/>
      <c r="F84" s="406"/>
      <c r="G84" s="406"/>
      <c r="H84" s="406"/>
      <c r="I84" s="406"/>
      <c r="J84" s="406"/>
      <c r="K84" s="406"/>
      <c r="L84" s="406"/>
      <c r="M84" s="406"/>
      <c r="N84" s="406"/>
      <c r="O84" s="406"/>
      <c r="P84" s="406"/>
      <c r="Q84" s="406"/>
      <c r="R84" s="406"/>
      <c r="S84" s="406"/>
      <c r="T84" s="406"/>
      <c r="U84" s="406"/>
      <c r="V84" s="406"/>
      <c r="W84" s="406"/>
      <c r="X84" s="407"/>
      <c r="Y84" s="406"/>
      <c r="Z84" s="407"/>
      <c r="AA84" s="406"/>
      <c r="AB84" s="9"/>
      <c r="AC84" s="10"/>
      <c r="AD84" s="408"/>
    </row>
    <row r="85">
      <c r="A85" s="404"/>
      <c r="B85" s="261"/>
      <c r="C85" s="405"/>
      <c r="D85" s="490" t="s">
        <v>1374</v>
      </c>
      <c r="E85" s="261"/>
      <c r="F85" s="406"/>
      <c r="G85" s="406"/>
      <c r="H85" s="406"/>
      <c r="I85" s="406"/>
      <c r="J85" s="406"/>
      <c r="K85" s="406"/>
      <c r="L85" s="406"/>
      <c r="M85" s="406"/>
      <c r="N85" s="406"/>
      <c r="O85" s="406"/>
      <c r="P85" s="406"/>
      <c r="Q85" s="406"/>
      <c r="R85" s="406"/>
      <c r="S85" s="406"/>
      <c r="T85" s="406"/>
      <c r="U85" s="406"/>
      <c r="V85" s="406"/>
      <c r="W85" s="406"/>
      <c r="X85" s="407"/>
      <c r="Y85" s="406"/>
      <c r="Z85" s="407"/>
      <c r="AA85" s="406"/>
      <c r="AB85" s="9"/>
      <c r="AC85" s="10"/>
      <c r="AD85" s="408"/>
    </row>
    <row r="86">
      <c r="A86" s="404" t="s">
        <v>799</v>
      </c>
      <c r="B86" s="261" t="s">
        <v>800</v>
      </c>
      <c r="C86" s="405">
        <v>45519.65677083333</v>
      </c>
      <c r="D86" s="248" t="s">
        <v>914</v>
      </c>
      <c r="E86" s="261" t="s">
        <v>241</v>
      </c>
      <c r="F86" s="406">
        <v>10.0</v>
      </c>
      <c r="G86" s="406">
        <v>10.0</v>
      </c>
      <c r="H86" s="406">
        <v>10.0</v>
      </c>
      <c r="I86" s="406">
        <v>10.0</v>
      </c>
      <c r="J86" s="406" t="s">
        <v>65</v>
      </c>
      <c r="K86" s="406">
        <v>10.0</v>
      </c>
      <c r="L86" s="406">
        <v>10.0</v>
      </c>
      <c r="M86" s="406">
        <v>10.0</v>
      </c>
      <c r="N86" s="406">
        <v>10.0</v>
      </c>
      <c r="O86" s="406" t="s">
        <v>65</v>
      </c>
      <c r="P86" s="406">
        <v>10.0</v>
      </c>
      <c r="Q86" s="406">
        <v>10.0</v>
      </c>
      <c r="R86" s="406">
        <v>10.0</v>
      </c>
      <c r="S86" s="406">
        <v>10.0</v>
      </c>
      <c r="T86" s="406" t="s">
        <v>65</v>
      </c>
      <c r="U86" s="406">
        <v>10.0</v>
      </c>
      <c r="V86" s="406">
        <v>10.0</v>
      </c>
      <c r="W86" s="406">
        <v>10.0</v>
      </c>
      <c r="X86" s="407"/>
      <c r="Y86" s="406" t="s">
        <v>65</v>
      </c>
      <c r="Z86" s="407"/>
      <c r="AA86" s="406" t="s">
        <v>915</v>
      </c>
      <c r="AB86" s="9" t="s">
        <v>39</v>
      </c>
      <c r="AC86" s="10" t="b">
        <v>1</v>
      </c>
      <c r="AD86" s="408">
        <f t="shared" ref="AD86:AD93" si="6">AVERAGE(U86:X86,P86:S86,K86:N86,F86:I86)</f>
        <v>10</v>
      </c>
    </row>
    <row r="87">
      <c r="A87" s="404" t="s">
        <v>805</v>
      </c>
      <c r="B87" s="261" t="s">
        <v>806</v>
      </c>
      <c r="C87" s="405">
        <v>45519.66462962963</v>
      </c>
      <c r="D87" s="248" t="s">
        <v>1017</v>
      </c>
      <c r="E87" s="261" t="s">
        <v>771</v>
      </c>
      <c r="F87" s="406">
        <v>10.0</v>
      </c>
      <c r="G87" s="406">
        <v>10.0</v>
      </c>
      <c r="H87" s="406">
        <v>10.0</v>
      </c>
      <c r="I87" s="406">
        <v>10.0</v>
      </c>
      <c r="J87" s="406" t="s">
        <v>1018</v>
      </c>
      <c r="K87" s="406">
        <v>10.0</v>
      </c>
      <c r="L87" s="406">
        <v>10.0</v>
      </c>
      <c r="M87" s="406">
        <v>10.0</v>
      </c>
      <c r="N87" s="406">
        <v>10.0</v>
      </c>
      <c r="O87" s="406" t="s">
        <v>1019</v>
      </c>
      <c r="P87" s="406">
        <v>10.0</v>
      </c>
      <c r="Q87" s="406">
        <v>10.0</v>
      </c>
      <c r="R87" s="406">
        <v>10.0</v>
      </c>
      <c r="S87" s="406">
        <v>10.0</v>
      </c>
      <c r="T87" s="406" t="s">
        <v>1020</v>
      </c>
      <c r="U87" s="406">
        <v>10.0</v>
      </c>
      <c r="V87" s="406">
        <v>10.0</v>
      </c>
      <c r="W87" s="406">
        <v>10.0</v>
      </c>
      <c r="X87" s="406">
        <v>10.0</v>
      </c>
      <c r="Y87" s="406" t="s">
        <v>1021</v>
      </c>
      <c r="Z87" s="406" t="s">
        <v>1022</v>
      </c>
      <c r="AA87" s="406" t="s">
        <v>1023</v>
      </c>
      <c r="AB87" s="9" t="s">
        <v>39</v>
      </c>
      <c r="AC87" s="10" t="b">
        <v>1</v>
      </c>
      <c r="AD87" s="408">
        <f t="shared" si="6"/>
        <v>10</v>
      </c>
    </row>
    <row r="88">
      <c r="A88" s="404" t="s">
        <v>813</v>
      </c>
      <c r="B88" s="261" t="s">
        <v>119</v>
      </c>
      <c r="C88" s="405">
        <v>45519.73043981481</v>
      </c>
      <c r="D88" s="248" t="s">
        <v>1086</v>
      </c>
      <c r="E88" s="261" t="s">
        <v>781</v>
      </c>
      <c r="F88" s="406">
        <v>10.0</v>
      </c>
      <c r="G88" s="406">
        <v>10.0</v>
      </c>
      <c r="H88" s="406">
        <v>10.0</v>
      </c>
      <c r="I88" s="406">
        <v>10.0</v>
      </c>
      <c r="J88" s="406" t="s">
        <v>1087</v>
      </c>
      <c r="K88" s="406">
        <v>10.0</v>
      </c>
      <c r="L88" s="406">
        <v>10.0</v>
      </c>
      <c r="M88" s="406">
        <v>10.0</v>
      </c>
      <c r="N88" s="406">
        <v>10.0</v>
      </c>
      <c r="O88" s="406" t="s">
        <v>1088</v>
      </c>
      <c r="P88" s="406">
        <v>10.0</v>
      </c>
      <c r="Q88" s="406">
        <v>10.0</v>
      </c>
      <c r="R88" s="406">
        <v>10.0</v>
      </c>
      <c r="S88" s="406">
        <v>10.0</v>
      </c>
      <c r="T88" s="406" t="s">
        <v>1089</v>
      </c>
      <c r="U88" s="407"/>
      <c r="V88" s="406">
        <v>10.0</v>
      </c>
      <c r="W88" s="406">
        <v>10.0</v>
      </c>
      <c r="X88" s="406">
        <v>10.0</v>
      </c>
      <c r="Y88" s="406" t="s">
        <v>1090</v>
      </c>
      <c r="Z88" s="406" t="s">
        <v>1091</v>
      </c>
      <c r="AA88" s="406" t="s">
        <v>1092</v>
      </c>
      <c r="AB88" s="9" t="s">
        <v>39</v>
      </c>
      <c r="AC88" s="10" t="b">
        <v>1</v>
      </c>
      <c r="AD88" s="408">
        <f t="shared" si="6"/>
        <v>10</v>
      </c>
    </row>
    <row r="89">
      <c r="A89" s="404" t="s">
        <v>818</v>
      </c>
      <c r="B89" s="261" t="s">
        <v>819</v>
      </c>
      <c r="C89" s="405">
        <v>45519.91048611111</v>
      </c>
      <c r="D89" s="248" t="s">
        <v>771</v>
      </c>
      <c r="E89" s="261" t="s">
        <v>134</v>
      </c>
      <c r="F89" s="406">
        <v>10.0</v>
      </c>
      <c r="G89" s="406">
        <v>10.0</v>
      </c>
      <c r="H89" s="406">
        <v>10.0</v>
      </c>
      <c r="I89" s="406">
        <v>10.0</v>
      </c>
      <c r="J89" s="406" t="s">
        <v>110</v>
      </c>
      <c r="K89" s="406">
        <v>10.0</v>
      </c>
      <c r="L89" s="406">
        <v>10.0</v>
      </c>
      <c r="M89" s="406">
        <v>10.0</v>
      </c>
      <c r="N89" s="406">
        <v>10.0</v>
      </c>
      <c r="O89" s="406" t="s">
        <v>110</v>
      </c>
      <c r="P89" s="406">
        <v>10.0</v>
      </c>
      <c r="Q89" s="406">
        <v>10.0</v>
      </c>
      <c r="R89" s="406">
        <v>10.0</v>
      </c>
      <c r="S89" s="406">
        <v>10.0</v>
      </c>
      <c r="T89" s="406" t="s">
        <v>110</v>
      </c>
      <c r="U89" s="406">
        <v>10.0</v>
      </c>
      <c r="V89" s="406">
        <v>10.0</v>
      </c>
      <c r="W89" s="406">
        <v>10.0</v>
      </c>
      <c r="X89" s="406">
        <v>10.0</v>
      </c>
      <c r="Y89" s="406" t="s">
        <v>110</v>
      </c>
      <c r="Z89" s="407"/>
      <c r="AA89" s="407"/>
      <c r="AB89" s="9" t="s">
        <v>39</v>
      </c>
      <c r="AC89" s="10" t="b">
        <v>1</v>
      </c>
      <c r="AD89" s="408">
        <f t="shared" si="6"/>
        <v>10</v>
      </c>
    </row>
    <row r="90">
      <c r="A90" s="404" t="s">
        <v>826</v>
      </c>
      <c r="B90" s="261" t="s">
        <v>827</v>
      </c>
      <c r="C90" s="405">
        <v>45520.46673611111</v>
      </c>
      <c r="D90" s="248" t="s">
        <v>1219</v>
      </c>
      <c r="E90" s="261" t="s">
        <v>195</v>
      </c>
      <c r="F90" s="406">
        <v>10.0</v>
      </c>
      <c r="G90" s="406">
        <v>10.0</v>
      </c>
      <c r="H90" s="406">
        <v>10.0</v>
      </c>
      <c r="I90" s="406">
        <v>10.0</v>
      </c>
      <c r="J90" s="406" t="s">
        <v>1220</v>
      </c>
      <c r="K90" s="406">
        <v>10.0</v>
      </c>
      <c r="L90" s="406">
        <v>10.0</v>
      </c>
      <c r="M90" s="406">
        <v>10.0</v>
      </c>
      <c r="N90" s="406">
        <v>10.0</v>
      </c>
      <c r="O90" s="406" t="s">
        <v>1221</v>
      </c>
      <c r="P90" s="406">
        <v>10.0</v>
      </c>
      <c r="Q90" s="406">
        <v>10.0</v>
      </c>
      <c r="R90" s="406">
        <v>10.0</v>
      </c>
      <c r="S90" s="406">
        <v>10.0</v>
      </c>
      <c r="T90" s="406" t="s">
        <v>1222</v>
      </c>
      <c r="U90" s="406">
        <v>10.0</v>
      </c>
      <c r="V90" s="406">
        <v>10.0</v>
      </c>
      <c r="W90" s="406">
        <v>10.0</v>
      </c>
      <c r="X90" s="406">
        <v>10.0</v>
      </c>
      <c r="Y90" s="406" t="s">
        <v>1223</v>
      </c>
      <c r="Z90" s="406" t="s">
        <v>1224</v>
      </c>
      <c r="AA90" s="406" t="s">
        <v>1225</v>
      </c>
      <c r="AB90" s="9" t="s">
        <v>39</v>
      </c>
      <c r="AC90" s="10" t="b">
        <v>1</v>
      </c>
      <c r="AD90" s="408">
        <f t="shared" si="6"/>
        <v>10</v>
      </c>
    </row>
    <row r="91">
      <c r="A91" s="404" t="s">
        <v>849</v>
      </c>
      <c r="B91" s="261" t="s">
        <v>850</v>
      </c>
      <c r="C91" s="405">
        <v>45522.42266203704</v>
      </c>
      <c r="D91" s="248" t="s">
        <v>1205</v>
      </c>
      <c r="E91" s="261" t="s">
        <v>782</v>
      </c>
      <c r="F91" s="406">
        <v>10.0</v>
      </c>
      <c r="G91" s="406">
        <v>10.0</v>
      </c>
      <c r="H91" s="406">
        <v>10.0</v>
      </c>
      <c r="I91" s="406">
        <v>10.0</v>
      </c>
      <c r="J91" s="406" t="s">
        <v>1206</v>
      </c>
      <c r="K91" s="406">
        <v>10.0</v>
      </c>
      <c r="L91" s="406">
        <v>8.0</v>
      </c>
      <c r="M91" s="406">
        <v>10.0</v>
      </c>
      <c r="N91" s="406">
        <v>10.0</v>
      </c>
      <c r="O91" s="406" t="s">
        <v>1207</v>
      </c>
      <c r="P91" s="406">
        <v>10.0</v>
      </c>
      <c r="Q91" s="406">
        <v>10.0</v>
      </c>
      <c r="R91" s="406">
        <v>10.0</v>
      </c>
      <c r="S91" s="406">
        <v>10.0</v>
      </c>
      <c r="T91" s="406" t="s">
        <v>1208</v>
      </c>
      <c r="U91" s="406">
        <v>10.0</v>
      </c>
      <c r="V91" s="406">
        <v>10.0</v>
      </c>
      <c r="W91" s="406">
        <v>10.0</v>
      </c>
      <c r="X91" s="406">
        <v>10.0</v>
      </c>
      <c r="Y91" s="406" t="s">
        <v>1207</v>
      </c>
      <c r="Z91" s="407"/>
      <c r="AA91" s="407"/>
      <c r="AB91" s="9" t="s">
        <v>39</v>
      </c>
      <c r="AC91" s="10" t="b">
        <v>1</v>
      </c>
      <c r="AD91" s="408">
        <f t="shared" si="6"/>
        <v>9.875</v>
      </c>
    </row>
    <row r="92">
      <c r="A92" s="404" t="s">
        <v>856</v>
      </c>
      <c r="B92" s="261" t="s">
        <v>857</v>
      </c>
      <c r="C92" s="405">
        <v>45522.520625</v>
      </c>
      <c r="D92" s="248" t="s">
        <v>1260</v>
      </c>
      <c r="E92" s="261" t="s">
        <v>49</v>
      </c>
      <c r="F92" s="406">
        <v>10.0</v>
      </c>
      <c r="G92" s="406">
        <v>10.0</v>
      </c>
      <c r="H92" s="406">
        <v>10.0</v>
      </c>
      <c r="I92" s="406">
        <v>10.0</v>
      </c>
      <c r="J92" s="406" t="s">
        <v>1261</v>
      </c>
      <c r="K92" s="406">
        <v>10.0</v>
      </c>
      <c r="L92" s="406">
        <v>10.0</v>
      </c>
      <c r="M92" s="406">
        <v>10.0</v>
      </c>
      <c r="N92" s="406">
        <v>10.0</v>
      </c>
      <c r="O92" s="406" t="s">
        <v>1262</v>
      </c>
      <c r="P92" s="406">
        <v>10.0</v>
      </c>
      <c r="Q92" s="406">
        <v>10.0</v>
      </c>
      <c r="R92" s="406">
        <v>10.0</v>
      </c>
      <c r="S92" s="406">
        <v>8.0</v>
      </c>
      <c r="T92" s="406" t="s">
        <v>1263</v>
      </c>
      <c r="U92" s="406">
        <v>10.0</v>
      </c>
      <c r="V92" s="406">
        <v>10.0</v>
      </c>
      <c r="W92" s="406">
        <v>10.0</v>
      </c>
      <c r="X92" s="406">
        <v>10.0</v>
      </c>
      <c r="Y92" s="406" t="s">
        <v>1264</v>
      </c>
      <c r="Z92" s="407"/>
      <c r="AA92" s="407"/>
      <c r="AB92" s="9" t="s">
        <v>39</v>
      </c>
      <c r="AC92" s="10" t="b">
        <v>1</v>
      </c>
      <c r="AD92" s="408">
        <f t="shared" si="6"/>
        <v>9.875</v>
      </c>
    </row>
    <row r="93">
      <c r="A93" s="404" t="s">
        <v>865</v>
      </c>
      <c r="B93" s="261" t="s">
        <v>866</v>
      </c>
      <c r="C93" s="405">
        <v>45522.547685185185</v>
      </c>
      <c r="D93" s="248" t="s">
        <v>997</v>
      </c>
      <c r="E93" s="261" t="s">
        <v>242</v>
      </c>
      <c r="F93" s="406">
        <v>10.0</v>
      </c>
      <c r="G93" s="406">
        <v>10.0</v>
      </c>
      <c r="H93" s="406">
        <v>9.0</v>
      </c>
      <c r="I93" s="406">
        <v>9.0</v>
      </c>
      <c r="J93" s="406" t="s">
        <v>1369</v>
      </c>
      <c r="K93" s="406">
        <v>10.0</v>
      </c>
      <c r="L93" s="406">
        <v>9.0</v>
      </c>
      <c r="M93" s="406">
        <v>10.0</v>
      </c>
      <c r="N93" s="406">
        <v>9.0</v>
      </c>
      <c r="O93" s="406" t="s">
        <v>1166</v>
      </c>
      <c r="P93" s="406">
        <v>10.0</v>
      </c>
      <c r="Q93" s="406">
        <v>10.0</v>
      </c>
      <c r="R93" s="406">
        <v>10.0</v>
      </c>
      <c r="S93" s="406">
        <v>10.0</v>
      </c>
      <c r="T93" s="406" t="s">
        <v>1167</v>
      </c>
      <c r="U93" s="406">
        <v>9.0</v>
      </c>
      <c r="V93" s="406">
        <v>10.0</v>
      </c>
      <c r="W93" s="406">
        <v>9.0</v>
      </c>
      <c r="X93" s="406">
        <v>10.0</v>
      </c>
      <c r="Y93" s="406" t="s">
        <v>1168</v>
      </c>
      <c r="Z93" s="406" t="s">
        <v>1169</v>
      </c>
      <c r="AA93" s="406" t="s">
        <v>1170</v>
      </c>
      <c r="AB93" s="9" t="s">
        <v>39</v>
      </c>
      <c r="AC93" s="10" t="b">
        <v>1</v>
      </c>
      <c r="AD93" s="408">
        <f t="shared" si="6"/>
        <v>9.625</v>
      </c>
    </row>
  </sheetData>
  <conditionalFormatting sqref="AD1:AD93">
    <cfRule type="cellIs" dxfId="0" priority="1" operator="lessThanOrEqual">
      <formula>7.15</formula>
    </cfRule>
  </conditionalFormatting>
  <conditionalFormatting sqref="AD1:AD93">
    <cfRule type="cellIs" dxfId="1" priority="2" operator="greaterThanOrEqual">
      <formula>9.45</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hidden="1" min="1" max="3" width="12.63"/>
    <col customWidth="1" min="4" max="4" width="14.0"/>
    <col customWidth="1" min="5" max="5" width="14.75"/>
    <col hidden="1" min="28" max="31" width="12.63"/>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2" t="s">
        <v>28</v>
      </c>
      <c r="AD1" s="4"/>
      <c r="AE1" s="4"/>
      <c r="AF1" s="2" t="s">
        <v>29</v>
      </c>
      <c r="AG1" s="2"/>
    </row>
    <row r="2">
      <c r="A2" s="6" t="s">
        <v>1375</v>
      </c>
      <c r="B2" s="6" t="s">
        <v>1376</v>
      </c>
      <c r="C2" s="7">
        <v>45741.81594907407</v>
      </c>
      <c r="D2" s="491" t="s">
        <v>1377</v>
      </c>
      <c r="E2" s="9" t="s">
        <v>1378</v>
      </c>
      <c r="F2" s="10">
        <v>10.0</v>
      </c>
      <c r="G2" s="10">
        <v>9.0</v>
      </c>
      <c r="H2" s="10">
        <v>10.0</v>
      </c>
      <c r="I2" s="10">
        <v>10.0</v>
      </c>
      <c r="J2" s="9" t="s">
        <v>65</v>
      </c>
      <c r="K2" s="10">
        <v>10.0</v>
      </c>
      <c r="L2" s="10">
        <v>9.0</v>
      </c>
      <c r="M2" s="10">
        <v>10.0</v>
      </c>
      <c r="N2" s="10">
        <v>10.0</v>
      </c>
      <c r="O2" s="9" t="s">
        <v>65</v>
      </c>
      <c r="P2" s="10">
        <v>10.0</v>
      </c>
      <c r="Q2" s="10">
        <v>10.0</v>
      </c>
      <c r="R2" s="10">
        <v>10.0</v>
      </c>
      <c r="S2" s="10">
        <v>10.0</v>
      </c>
      <c r="T2" s="9" t="s">
        <v>1379</v>
      </c>
      <c r="U2" s="10">
        <v>10.0</v>
      </c>
      <c r="V2" s="10">
        <v>10.0</v>
      </c>
      <c r="W2" s="10">
        <v>10.0</v>
      </c>
      <c r="X2" s="10">
        <v>10.0</v>
      </c>
      <c r="Y2" s="9" t="s">
        <v>65</v>
      </c>
      <c r="Z2" s="9" t="s">
        <v>65</v>
      </c>
      <c r="AA2" s="9" t="s">
        <v>65</v>
      </c>
      <c r="AB2" s="9" t="s">
        <v>39</v>
      </c>
      <c r="AC2" s="10" t="b">
        <v>1</v>
      </c>
      <c r="AD2" s="12"/>
      <c r="AE2" s="12"/>
      <c r="AF2" s="492">
        <f t="shared" ref="AF2:AF6" si="1">AVERAGE(U2:X2,P2:S2,K2:N2,F2:I2)</f>
        <v>9.875</v>
      </c>
      <c r="AG2" s="492"/>
    </row>
    <row r="3">
      <c r="A3" s="6" t="s">
        <v>1380</v>
      </c>
      <c r="B3" s="6" t="s">
        <v>1381</v>
      </c>
      <c r="C3" s="7">
        <v>45751.23318287037</v>
      </c>
      <c r="D3" s="491" t="s">
        <v>1382</v>
      </c>
      <c r="E3" s="9" t="s">
        <v>42</v>
      </c>
      <c r="F3" s="10">
        <v>10.0</v>
      </c>
      <c r="G3" s="10">
        <v>10.0</v>
      </c>
      <c r="H3" s="10">
        <v>10.0</v>
      </c>
      <c r="I3" s="10">
        <v>10.0</v>
      </c>
      <c r="J3" s="9" t="s">
        <v>70</v>
      </c>
      <c r="K3" s="10">
        <v>10.0</v>
      </c>
      <c r="L3" s="10">
        <v>10.0</v>
      </c>
      <c r="M3" s="10">
        <v>10.0</v>
      </c>
      <c r="N3" s="12"/>
      <c r="O3" s="9" t="s">
        <v>38</v>
      </c>
      <c r="P3" s="10">
        <v>10.0</v>
      </c>
      <c r="Q3" s="10">
        <v>10.0</v>
      </c>
      <c r="R3" s="10">
        <v>10.0</v>
      </c>
      <c r="S3" s="10">
        <v>10.0</v>
      </c>
      <c r="T3" s="9" t="s">
        <v>70</v>
      </c>
      <c r="U3" s="10">
        <v>10.0</v>
      </c>
      <c r="V3" s="10">
        <v>10.0</v>
      </c>
      <c r="W3" s="10">
        <v>10.0</v>
      </c>
      <c r="X3" s="10">
        <v>10.0</v>
      </c>
      <c r="Y3" s="9" t="s">
        <v>70</v>
      </c>
      <c r="Z3" s="9" t="s">
        <v>70</v>
      </c>
      <c r="AA3" s="12"/>
      <c r="AB3" s="9" t="s">
        <v>39</v>
      </c>
      <c r="AC3" s="10" t="b">
        <v>1</v>
      </c>
      <c r="AD3" s="12"/>
      <c r="AE3" s="12"/>
      <c r="AF3" s="492">
        <f t="shared" si="1"/>
        <v>10</v>
      </c>
      <c r="AG3" s="492"/>
    </row>
    <row r="4">
      <c r="A4" s="6" t="s">
        <v>73</v>
      </c>
      <c r="B4" s="6" t="s">
        <v>964</v>
      </c>
      <c r="C4" s="7">
        <v>45738.24952546296</v>
      </c>
      <c r="D4" s="491" t="s">
        <v>1095</v>
      </c>
      <c r="E4" s="9" t="s">
        <v>781</v>
      </c>
      <c r="F4" s="10">
        <v>10.0</v>
      </c>
      <c r="G4" s="10">
        <v>10.0</v>
      </c>
      <c r="H4" s="10">
        <v>10.0</v>
      </c>
      <c r="I4" s="10">
        <v>10.0</v>
      </c>
      <c r="J4" s="9" t="s">
        <v>1383</v>
      </c>
      <c r="K4" s="10">
        <v>10.0</v>
      </c>
      <c r="L4" s="10">
        <v>10.0</v>
      </c>
      <c r="M4" s="10">
        <v>10.0</v>
      </c>
      <c r="N4" s="10">
        <v>10.0</v>
      </c>
      <c r="O4" s="9" t="s">
        <v>1384</v>
      </c>
      <c r="P4" s="10">
        <v>10.0</v>
      </c>
      <c r="Q4" s="10">
        <v>10.0</v>
      </c>
      <c r="R4" s="10">
        <v>10.0</v>
      </c>
      <c r="S4" s="10">
        <v>10.0</v>
      </c>
      <c r="T4" s="9" t="s">
        <v>1385</v>
      </c>
      <c r="U4" s="10">
        <v>10.0</v>
      </c>
      <c r="V4" s="10">
        <v>10.0</v>
      </c>
      <c r="W4" s="10">
        <v>10.0</v>
      </c>
      <c r="X4" s="10">
        <v>10.0</v>
      </c>
      <c r="Y4" s="9" t="s">
        <v>1386</v>
      </c>
      <c r="Z4" s="12"/>
      <c r="AA4" s="12"/>
      <c r="AB4" s="9" t="s">
        <v>39</v>
      </c>
      <c r="AC4" s="10" t="b">
        <v>1</v>
      </c>
      <c r="AD4" s="12"/>
      <c r="AE4" s="12"/>
      <c r="AF4" s="492">
        <f t="shared" si="1"/>
        <v>10</v>
      </c>
      <c r="AG4" s="492"/>
    </row>
    <row r="5">
      <c r="A5" s="6" t="s">
        <v>275</v>
      </c>
      <c r="B5" s="6" t="s">
        <v>1387</v>
      </c>
      <c r="C5" s="7">
        <v>45754.736493055556</v>
      </c>
      <c r="D5" s="8" t="s">
        <v>1388</v>
      </c>
      <c r="E5" s="493" t="s">
        <v>782</v>
      </c>
      <c r="F5" s="10">
        <v>10.0</v>
      </c>
      <c r="G5" s="10">
        <v>7.0</v>
      </c>
      <c r="H5" s="10">
        <v>7.0</v>
      </c>
      <c r="I5" s="10">
        <v>10.0</v>
      </c>
      <c r="J5" s="9" t="s">
        <v>1389</v>
      </c>
      <c r="K5" s="10">
        <v>10.0</v>
      </c>
      <c r="L5" s="10">
        <v>7.0</v>
      </c>
      <c r="M5" s="10">
        <v>10.0</v>
      </c>
      <c r="N5" s="10">
        <v>10.0</v>
      </c>
      <c r="O5" s="9" t="s">
        <v>1390</v>
      </c>
      <c r="P5" s="10">
        <v>10.0</v>
      </c>
      <c r="Q5" s="10">
        <v>10.0</v>
      </c>
      <c r="R5" s="10">
        <v>10.0</v>
      </c>
      <c r="S5" s="10">
        <v>10.0</v>
      </c>
      <c r="T5" s="9" t="s">
        <v>1391</v>
      </c>
      <c r="U5" s="10">
        <v>7.0</v>
      </c>
      <c r="V5" s="10">
        <v>8.0</v>
      </c>
      <c r="W5" s="10">
        <v>10.0</v>
      </c>
      <c r="X5" s="10">
        <v>6.0</v>
      </c>
      <c r="Y5" s="9" t="s">
        <v>1392</v>
      </c>
      <c r="Z5" s="9" t="s">
        <v>1393</v>
      </c>
      <c r="AA5" s="9" t="s">
        <v>1394</v>
      </c>
      <c r="AB5" s="9" t="s">
        <v>39</v>
      </c>
      <c r="AC5" s="10" t="b">
        <v>1</v>
      </c>
      <c r="AD5" s="12"/>
      <c r="AE5" s="12"/>
      <c r="AF5" s="492">
        <f t="shared" si="1"/>
        <v>8.875</v>
      </c>
      <c r="AG5" s="492"/>
    </row>
    <row r="6">
      <c r="A6" s="6" t="s">
        <v>312</v>
      </c>
      <c r="B6" s="6" t="s">
        <v>1395</v>
      </c>
      <c r="C6" s="7">
        <v>45742.16292824074</v>
      </c>
      <c r="D6" s="8" t="s">
        <v>972</v>
      </c>
      <c r="E6" s="493" t="s">
        <v>779</v>
      </c>
      <c r="F6" s="10">
        <v>9.0</v>
      </c>
      <c r="G6" s="10">
        <v>10.0</v>
      </c>
      <c r="H6" s="10">
        <v>9.0</v>
      </c>
      <c r="I6" s="10">
        <v>9.0</v>
      </c>
      <c r="J6" s="9" t="s">
        <v>1396</v>
      </c>
      <c r="K6" s="10">
        <v>8.0</v>
      </c>
      <c r="L6" s="10">
        <v>10.0</v>
      </c>
      <c r="M6" s="10">
        <v>9.0</v>
      </c>
      <c r="N6" s="10">
        <v>7.0</v>
      </c>
      <c r="O6" s="9" t="s">
        <v>1397</v>
      </c>
      <c r="P6" s="10">
        <v>6.0</v>
      </c>
      <c r="Q6" s="10">
        <v>8.0</v>
      </c>
      <c r="R6" s="10">
        <v>7.0</v>
      </c>
      <c r="S6" s="10">
        <v>8.0</v>
      </c>
      <c r="T6" s="10" t="s">
        <v>553</v>
      </c>
      <c r="U6" s="10">
        <v>5.0</v>
      </c>
      <c r="V6" s="10">
        <v>4.0</v>
      </c>
      <c r="W6" s="10">
        <v>7.0</v>
      </c>
      <c r="X6" s="10">
        <v>7.0</v>
      </c>
      <c r="Y6" s="9" t="s">
        <v>1398</v>
      </c>
      <c r="Z6" s="12"/>
      <c r="AA6" s="12"/>
      <c r="AB6" s="9" t="s">
        <v>39</v>
      </c>
      <c r="AC6" s="10" t="b">
        <v>1</v>
      </c>
      <c r="AD6" s="12"/>
      <c r="AE6" s="12"/>
      <c r="AF6" s="492">
        <f t="shared" si="1"/>
        <v>7.6875</v>
      </c>
      <c r="AG6" s="492"/>
    </row>
    <row r="7">
      <c r="A7" s="6" t="s">
        <v>1399</v>
      </c>
      <c r="B7" s="6" t="s">
        <v>1400</v>
      </c>
      <c r="C7" s="7">
        <v>45736.77809027778</v>
      </c>
      <c r="D7" s="8" t="s">
        <v>1401</v>
      </c>
      <c r="E7" s="9"/>
      <c r="F7" s="10"/>
      <c r="G7" s="10"/>
      <c r="H7" s="10"/>
      <c r="I7" s="10"/>
      <c r="J7" s="9" t="s">
        <v>1402</v>
      </c>
      <c r="K7" s="10"/>
      <c r="L7" s="10"/>
      <c r="M7" s="10"/>
      <c r="N7" s="10"/>
      <c r="O7" s="9" t="s">
        <v>1403</v>
      </c>
      <c r="P7" s="10"/>
      <c r="Q7" s="10"/>
      <c r="R7" s="10"/>
      <c r="S7" s="10"/>
      <c r="T7" s="9" t="s">
        <v>1404</v>
      </c>
      <c r="U7" s="10"/>
      <c r="V7" s="10"/>
      <c r="W7" s="10"/>
      <c r="X7" s="10"/>
      <c r="Y7" s="9" t="s">
        <v>1405</v>
      </c>
      <c r="Z7" s="9" t="s">
        <v>1406</v>
      </c>
      <c r="AA7" s="9" t="s">
        <v>1407</v>
      </c>
      <c r="AB7" s="9" t="s">
        <v>39</v>
      </c>
      <c r="AC7" s="10" t="b">
        <v>1</v>
      </c>
      <c r="AD7" s="12"/>
      <c r="AE7" s="12"/>
      <c r="AF7" s="13"/>
      <c r="AG7" s="13"/>
    </row>
  </sheetData>
  <autoFilter ref="$B$1:$AF$6">
    <sortState ref="B1:AF6">
      <sortCondition ref="E1:E6"/>
      <sortCondition descending="1" ref="D1:D6"/>
      <sortCondition descending="1" ref="AF1:AF6"/>
    </sortState>
  </autoFilter>
  <conditionalFormatting sqref="AF7 AG7">
    <cfRule type="cellIs" dxfId="0" priority="1" operator="lessThanOrEqual">
      <formula>7.19</formula>
    </cfRule>
  </conditionalFormatting>
  <conditionalFormatting sqref="AF7 AG7">
    <cfRule type="cellIs" dxfId="1" priority="2" operator="greaterThanOrEqual">
      <formula>9.45</formula>
    </cfRule>
  </conditionalFormatting>
  <conditionalFormatting sqref="AF1:AG6">
    <cfRule type="cellIs" dxfId="0" priority="3" operator="lessThanOrEqual">
      <formula>7.19</formula>
    </cfRule>
  </conditionalFormatting>
  <conditionalFormatting sqref="AF1:AG6">
    <cfRule type="cellIs" dxfId="1" priority="4" operator="greaterThanOrEqual">
      <formula>9.45</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12.0" ySplit="1.0" topLeftCell="M2" activePane="bottomRight" state="frozen"/>
      <selection activeCell="M1" sqref="M1" pane="topRight"/>
      <selection activeCell="A2" sqref="A2" pane="bottomLeft"/>
      <selection activeCell="M2" sqref="M2" pane="bottomRight"/>
    </sheetView>
  </sheetViews>
  <sheetFormatPr customHeight="1" defaultColWidth="12.63" defaultRowHeight="15.75"/>
  <cols>
    <col hidden="1" min="1" max="10" width="12.63"/>
    <col customWidth="1" min="16" max="16" width="37.63"/>
    <col customWidth="1" min="20" max="20" width="37.63"/>
    <col customWidth="1" min="24" max="24" width="37.63"/>
    <col customWidth="1" min="28" max="28" width="27.13"/>
    <col customWidth="1" min="29" max="31" width="37.63"/>
    <col customWidth="1" min="32" max="32" width="5.63"/>
  </cols>
  <sheetData>
    <row r="1">
      <c r="A1" s="494" t="s">
        <v>0</v>
      </c>
      <c r="B1" s="494" t="s">
        <v>1</v>
      </c>
      <c r="C1" s="494" t="s">
        <v>2</v>
      </c>
      <c r="D1" s="494" t="s">
        <v>27</v>
      </c>
      <c r="E1" s="494" t="s">
        <v>1408</v>
      </c>
      <c r="F1" s="494" t="s">
        <v>1409</v>
      </c>
      <c r="G1" s="494" t="s">
        <v>1410</v>
      </c>
      <c r="H1" s="494" t="s">
        <v>1411</v>
      </c>
      <c r="I1" s="494" t="s">
        <v>1412</v>
      </c>
      <c r="J1" s="494" t="s">
        <v>1413</v>
      </c>
      <c r="K1" s="494" t="s">
        <v>3</v>
      </c>
      <c r="L1" s="494" t="s">
        <v>1414</v>
      </c>
      <c r="M1" s="494" t="s">
        <v>1415</v>
      </c>
      <c r="N1" s="494" t="s">
        <v>1416</v>
      </c>
      <c r="O1" s="494" t="s">
        <v>1417</v>
      </c>
      <c r="P1" s="494" t="s">
        <v>1418</v>
      </c>
      <c r="Q1" s="494" t="s">
        <v>1419</v>
      </c>
      <c r="R1" s="494" t="s">
        <v>1420</v>
      </c>
      <c r="S1" s="494" t="s">
        <v>1421</v>
      </c>
      <c r="T1" s="494" t="s">
        <v>1422</v>
      </c>
      <c r="U1" s="494" t="s">
        <v>1423</v>
      </c>
      <c r="V1" s="494" t="s">
        <v>1424</v>
      </c>
      <c r="W1" s="494" t="s">
        <v>1425</v>
      </c>
      <c r="X1" s="494" t="s">
        <v>1426</v>
      </c>
      <c r="Y1" s="494" t="s">
        <v>1427</v>
      </c>
      <c r="Z1" s="494" t="s">
        <v>1428</v>
      </c>
      <c r="AA1" s="494" t="s">
        <v>1429</v>
      </c>
      <c r="AB1" s="494" t="s">
        <v>1430</v>
      </c>
      <c r="AC1" s="494" t="s">
        <v>1431</v>
      </c>
      <c r="AD1" s="494" t="s">
        <v>1432</v>
      </c>
      <c r="AE1" s="494" t="s">
        <v>1433</v>
      </c>
      <c r="AF1" s="4"/>
      <c r="AG1" s="495"/>
    </row>
    <row r="2" hidden="1">
      <c r="A2" s="496" t="s">
        <v>1434</v>
      </c>
      <c r="B2" s="497" t="s">
        <v>1157</v>
      </c>
      <c r="C2" s="498">
        <v>46005.84159722222</v>
      </c>
      <c r="D2" s="497" t="s">
        <v>1435</v>
      </c>
      <c r="E2" s="497" t="b">
        <v>1</v>
      </c>
      <c r="F2" s="497" t="b">
        <v>1</v>
      </c>
      <c r="G2" s="497" t="s">
        <v>1436</v>
      </c>
      <c r="H2" s="497" t="b">
        <v>1</v>
      </c>
      <c r="I2" s="497" t="s">
        <v>1437</v>
      </c>
      <c r="J2" s="497" t="b">
        <v>1</v>
      </c>
      <c r="K2" s="499" t="s">
        <v>144</v>
      </c>
      <c r="L2" s="497" t="s">
        <v>1438</v>
      </c>
      <c r="M2" s="500">
        <v>7.0</v>
      </c>
      <c r="N2" s="500">
        <v>6.0</v>
      </c>
      <c r="O2" s="500">
        <v>7.0</v>
      </c>
      <c r="P2" s="497" t="s">
        <v>186</v>
      </c>
      <c r="Q2" s="497">
        <v>6.0</v>
      </c>
      <c r="R2" s="500">
        <v>7.0</v>
      </c>
      <c r="S2" s="497">
        <v>6.0</v>
      </c>
      <c r="T2" s="497" t="s">
        <v>186</v>
      </c>
      <c r="U2" s="497">
        <v>6.0</v>
      </c>
      <c r="V2" s="497">
        <v>7.0</v>
      </c>
      <c r="W2" s="497">
        <v>4.0</v>
      </c>
      <c r="X2" s="497" t="s">
        <v>1439</v>
      </c>
      <c r="Y2" s="497">
        <v>6.0</v>
      </c>
      <c r="Z2" s="500">
        <v>7.0</v>
      </c>
      <c r="AA2" s="500">
        <v>7.0</v>
      </c>
      <c r="AB2" s="497" t="s">
        <v>1440</v>
      </c>
      <c r="AC2" s="497" t="s">
        <v>1441</v>
      </c>
      <c r="AD2" s="497" t="s">
        <v>1442</v>
      </c>
      <c r="AE2" s="497"/>
      <c r="AF2" s="501"/>
      <c r="AG2" s="502">
        <f t="shared" ref="AG2:AG7" si="1">AVERAGE(AA2,Z2,Y2,W2,V2,U2,S2,R2,Q2,O2,N2,M2)</f>
        <v>6.333333333</v>
      </c>
    </row>
    <row r="3" hidden="1">
      <c r="A3" s="503" t="s">
        <v>1443</v>
      </c>
      <c r="B3" s="503" t="s">
        <v>1444</v>
      </c>
      <c r="C3" s="504">
        <v>45998.834699074076</v>
      </c>
      <c r="D3" s="503" t="s">
        <v>1435</v>
      </c>
      <c r="E3" s="503" t="b">
        <v>1</v>
      </c>
      <c r="F3" s="503" t="b">
        <v>1</v>
      </c>
      <c r="G3" s="503" t="s">
        <v>1436</v>
      </c>
      <c r="H3" s="503" t="b">
        <v>1</v>
      </c>
      <c r="I3" s="503" t="s">
        <v>1437</v>
      </c>
      <c r="J3" s="503" t="b">
        <v>1</v>
      </c>
      <c r="K3" s="505" t="s">
        <v>143</v>
      </c>
      <c r="L3" s="506" t="s">
        <v>1438</v>
      </c>
      <c r="M3" s="503">
        <v>3.0</v>
      </c>
      <c r="N3" s="503">
        <v>6.0</v>
      </c>
      <c r="O3" s="503">
        <v>6.0</v>
      </c>
      <c r="P3" s="506" t="s">
        <v>1445</v>
      </c>
      <c r="Q3" s="503">
        <v>6.0</v>
      </c>
      <c r="R3" s="503">
        <v>9.0</v>
      </c>
      <c r="S3" s="503">
        <v>6.0</v>
      </c>
      <c r="T3" s="506" t="s">
        <v>1446</v>
      </c>
      <c r="U3" s="503">
        <v>6.0</v>
      </c>
      <c r="V3" s="503">
        <v>4.0</v>
      </c>
      <c r="W3" s="503">
        <v>3.0</v>
      </c>
      <c r="X3" s="506" t="s">
        <v>1447</v>
      </c>
      <c r="Y3" s="503">
        <v>9.0</v>
      </c>
      <c r="Z3" s="503">
        <v>6.0</v>
      </c>
      <c r="AA3" s="503">
        <v>6.0</v>
      </c>
      <c r="AB3" s="506" t="s">
        <v>1448</v>
      </c>
      <c r="AC3" s="506" t="s">
        <v>1449</v>
      </c>
      <c r="AD3" s="506" t="s">
        <v>1450</v>
      </c>
      <c r="AE3" s="506" t="s">
        <v>86</v>
      </c>
      <c r="AF3" s="12"/>
      <c r="AG3" s="502">
        <f t="shared" si="1"/>
        <v>5.833333333</v>
      </c>
    </row>
    <row r="4" hidden="1">
      <c r="A4" s="503" t="s">
        <v>1451</v>
      </c>
      <c r="B4" s="503" t="s">
        <v>1452</v>
      </c>
      <c r="C4" s="504">
        <v>45974.47388888889</v>
      </c>
      <c r="D4" s="503" t="s">
        <v>1435</v>
      </c>
      <c r="E4" s="503" t="b">
        <v>1</v>
      </c>
      <c r="F4" s="503" t="b">
        <v>1</v>
      </c>
      <c r="G4" s="503" t="s">
        <v>1436</v>
      </c>
      <c r="H4" s="503" t="b">
        <v>1</v>
      </c>
      <c r="I4" s="503" t="s">
        <v>1437</v>
      </c>
      <c r="J4" s="503" t="b">
        <v>1</v>
      </c>
      <c r="K4" s="507" t="s">
        <v>1453</v>
      </c>
      <c r="L4" s="506" t="s">
        <v>1454</v>
      </c>
      <c r="M4" s="503">
        <v>9.0</v>
      </c>
      <c r="N4" s="503">
        <v>9.0</v>
      </c>
      <c r="O4" s="503">
        <v>9.0</v>
      </c>
      <c r="P4" s="506" t="s">
        <v>1455</v>
      </c>
      <c r="Q4" s="503">
        <v>9.0</v>
      </c>
      <c r="R4" s="503">
        <v>9.0</v>
      </c>
      <c r="S4" s="503">
        <v>9.0</v>
      </c>
      <c r="T4" s="506" t="s">
        <v>1456</v>
      </c>
      <c r="U4" s="503">
        <v>9.0</v>
      </c>
      <c r="V4" s="503">
        <v>9.0</v>
      </c>
      <c r="W4" s="503">
        <v>9.0</v>
      </c>
      <c r="X4" s="506" t="s">
        <v>1457</v>
      </c>
      <c r="Y4" s="503">
        <v>9.0</v>
      </c>
      <c r="Z4" s="503">
        <v>9.0</v>
      </c>
      <c r="AA4" s="503">
        <v>9.0</v>
      </c>
      <c r="AB4" s="506" t="s">
        <v>1458</v>
      </c>
      <c r="AC4" s="506" t="s">
        <v>1459</v>
      </c>
      <c r="AD4" s="506" t="s">
        <v>1460</v>
      </c>
      <c r="AE4" s="497"/>
      <c r="AF4" s="12"/>
      <c r="AG4" s="502">
        <f t="shared" si="1"/>
        <v>9</v>
      </c>
    </row>
    <row r="5" hidden="1">
      <c r="A5" s="503" t="s">
        <v>1461</v>
      </c>
      <c r="B5" s="503" t="s">
        <v>1462</v>
      </c>
      <c r="C5" s="504">
        <v>45998.375601851854</v>
      </c>
      <c r="D5" s="503" t="s">
        <v>1435</v>
      </c>
      <c r="E5" s="503" t="b">
        <v>1</v>
      </c>
      <c r="F5" s="503" t="b">
        <v>1</v>
      </c>
      <c r="G5" s="503" t="s">
        <v>1436</v>
      </c>
      <c r="H5" s="503" t="b">
        <v>1</v>
      </c>
      <c r="I5" s="503" t="s">
        <v>1437</v>
      </c>
      <c r="J5" s="503" t="b">
        <v>1</v>
      </c>
      <c r="K5" s="507" t="s">
        <v>794</v>
      </c>
      <c r="L5" s="506" t="s">
        <v>33</v>
      </c>
      <c r="M5" s="503">
        <v>8.0</v>
      </c>
      <c r="N5" s="503">
        <v>9.0</v>
      </c>
      <c r="O5" s="503">
        <v>8.0</v>
      </c>
      <c r="P5" s="506" t="s">
        <v>1463</v>
      </c>
      <c r="Q5" s="503">
        <v>6.0</v>
      </c>
      <c r="R5" s="503">
        <v>8.0</v>
      </c>
      <c r="S5" s="503">
        <v>7.0</v>
      </c>
      <c r="T5" s="506" t="s">
        <v>1464</v>
      </c>
      <c r="U5" s="503">
        <v>9.0</v>
      </c>
      <c r="V5" s="503">
        <v>6.0</v>
      </c>
      <c r="W5" s="503">
        <v>6.0</v>
      </c>
      <c r="X5" s="506" t="s">
        <v>1465</v>
      </c>
      <c r="Y5" s="503">
        <v>8.0</v>
      </c>
      <c r="Z5" s="503">
        <v>6.0</v>
      </c>
      <c r="AA5" s="503">
        <v>7.0</v>
      </c>
      <c r="AB5" s="506" t="s">
        <v>1466</v>
      </c>
      <c r="AC5" s="506" t="s">
        <v>1467</v>
      </c>
      <c r="AD5" s="506" t="s">
        <v>1468</v>
      </c>
      <c r="AE5" s="506" t="s">
        <v>1469</v>
      </c>
      <c r="AF5" s="12"/>
      <c r="AG5" s="502">
        <f t="shared" si="1"/>
        <v>7.333333333</v>
      </c>
    </row>
    <row r="6" hidden="1">
      <c r="A6" s="503" t="s">
        <v>1470</v>
      </c>
      <c r="B6" s="503" t="s">
        <v>1471</v>
      </c>
      <c r="C6" s="504">
        <v>45998.670578703706</v>
      </c>
      <c r="D6" s="503" t="s">
        <v>1435</v>
      </c>
      <c r="E6" s="503" t="b">
        <v>1</v>
      </c>
      <c r="F6" s="503" t="b">
        <v>1</v>
      </c>
      <c r="G6" s="503" t="s">
        <v>1436</v>
      </c>
      <c r="H6" s="503" t="b">
        <v>1</v>
      </c>
      <c r="I6" s="503" t="s">
        <v>1437</v>
      </c>
      <c r="J6" s="503" t="b">
        <v>1</v>
      </c>
      <c r="K6" s="507" t="s">
        <v>1472</v>
      </c>
      <c r="L6" s="506" t="s">
        <v>33</v>
      </c>
      <c r="M6" s="503">
        <v>8.0</v>
      </c>
      <c r="N6" s="503">
        <v>7.0</v>
      </c>
      <c r="O6" s="503">
        <v>8.0</v>
      </c>
      <c r="P6" s="506" t="s">
        <v>1473</v>
      </c>
      <c r="Q6" s="503">
        <v>7.0</v>
      </c>
      <c r="R6" s="503">
        <v>6.0</v>
      </c>
      <c r="S6" s="503">
        <v>7.0</v>
      </c>
      <c r="T6" s="508" t="s">
        <v>1474</v>
      </c>
      <c r="U6" s="503">
        <v>8.0</v>
      </c>
      <c r="V6" s="503">
        <v>7.0</v>
      </c>
      <c r="W6" s="503">
        <v>8.0</v>
      </c>
      <c r="X6" s="506" t="s">
        <v>1475</v>
      </c>
      <c r="Y6" s="503">
        <v>7.0</v>
      </c>
      <c r="Z6" s="503">
        <v>7.0</v>
      </c>
      <c r="AA6" s="503">
        <v>8.0</v>
      </c>
      <c r="AB6" s="506" t="s">
        <v>1476</v>
      </c>
      <c r="AC6" s="506" t="s">
        <v>1477</v>
      </c>
      <c r="AD6" s="506" t="s">
        <v>1478</v>
      </c>
      <c r="AE6" s="509" t="s">
        <v>1479</v>
      </c>
      <c r="AF6" s="12"/>
      <c r="AG6" s="502">
        <f t="shared" si="1"/>
        <v>7.333333333</v>
      </c>
    </row>
    <row r="7" hidden="1">
      <c r="A7" s="503" t="s">
        <v>1480</v>
      </c>
      <c r="B7" s="503" t="s">
        <v>1481</v>
      </c>
      <c r="C7" s="504">
        <v>45998.01446759259</v>
      </c>
      <c r="D7" s="503" t="s">
        <v>1435</v>
      </c>
      <c r="E7" s="503" t="b">
        <v>1</v>
      </c>
      <c r="F7" s="503" t="b">
        <v>1</v>
      </c>
      <c r="G7" s="503" t="s">
        <v>1436</v>
      </c>
      <c r="H7" s="503" t="b">
        <v>1</v>
      </c>
      <c r="I7" s="503" t="s">
        <v>1437</v>
      </c>
      <c r="J7" s="503" t="b">
        <v>1</v>
      </c>
      <c r="K7" s="507" t="s">
        <v>1482</v>
      </c>
      <c r="L7" s="506" t="s">
        <v>33</v>
      </c>
      <c r="M7" s="503">
        <v>7.0</v>
      </c>
      <c r="N7" s="503">
        <v>6.0</v>
      </c>
      <c r="O7" s="503">
        <v>7.0</v>
      </c>
      <c r="P7" s="506" t="s">
        <v>1483</v>
      </c>
      <c r="Q7" s="503">
        <v>7.0</v>
      </c>
      <c r="R7" s="503">
        <v>7.0</v>
      </c>
      <c r="S7" s="503">
        <v>7.0</v>
      </c>
      <c r="T7" s="506" t="s">
        <v>1484</v>
      </c>
      <c r="U7" s="503">
        <v>7.0</v>
      </c>
      <c r="V7" s="503">
        <v>7.0</v>
      </c>
      <c r="W7" s="503">
        <v>7.0</v>
      </c>
      <c r="X7" s="506" t="s">
        <v>1485</v>
      </c>
      <c r="Y7" s="503">
        <v>7.0</v>
      </c>
      <c r="Z7" s="503">
        <v>7.0</v>
      </c>
      <c r="AA7" s="503">
        <v>7.0</v>
      </c>
      <c r="AB7" s="506" t="s">
        <v>1486</v>
      </c>
      <c r="AC7" s="506" t="s">
        <v>1487</v>
      </c>
      <c r="AD7" s="506" t="s">
        <v>1488</v>
      </c>
      <c r="AE7" s="509" t="s">
        <v>1489</v>
      </c>
      <c r="AF7" s="12"/>
      <c r="AG7" s="502">
        <f t="shared" si="1"/>
        <v>6.916666667</v>
      </c>
    </row>
    <row r="8">
      <c r="A8" s="503" t="s">
        <v>1490</v>
      </c>
      <c r="B8" s="503" t="s">
        <v>1491</v>
      </c>
      <c r="C8" s="504">
        <v>45999.937685185185</v>
      </c>
      <c r="D8" s="503" t="s">
        <v>1435</v>
      </c>
      <c r="E8" s="503" t="b">
        <v>1</v>
      </c>
      <c r="F8" s="503" t="b">
        <v>1</v>
      </c>
      <c r="G8" s="503" t="s">
        <v>1436</v>
      </c>
      <c r="H8" s="503" t="b">
        <v>1</v>
      </c>
      <c r="I8" s="503" t="s">
        <v>1437</v>
      </c>
      <c r="J8" s="503" t="b">
        <v>1</v>
      </c>
      <c r="K8" s="507" t="s">
        <v>1492</v>
      </c>
      <c r="L8" s="506" t="s">
        <v>42</v>
      </c>
      <c r="M8" s="497"/>
      <c r="N8" s="497"/>
      <c r="O8" s="497"/>
      <c r="P8" s="506" t="s">
        <v>1493</v>
      </c>
      <c r="Q8" s="497"/>
      <c r="R8" s="497"/>
      <c r="S8" s="497"/>
      <c r="T8" s="506" t="s">
        <v>1494</v>
      </c>
      <c r="U8" s="497"/>
      <c r="V8" s="497"/>
      <c r="W8" s="497"/>
      <c r="X8" s="506" t="s">
        <v>1495</v>
      </c>
      <c r="Y8" s="497"/>
      <c r="Z8" s="497"/>
      <c r="AA8" s="497"/>
      <c r="AB8" s="506" t="s">
        <v>1496</v>
      </c>
      <c r="AC8" s="506" t="s">
        <v>1497</v>
      </c>
      <c r="AD8" s="506" t="s">
        <v>1498</v>
      </c>
      <c r="AE8" s="509" t="s">
        <v>1499</v>
      </c>
      <c r="AF8" s="12"/>
      <c r="AG8" s="502"/>
    </row>
    <row r="9">
      <c r="A9" s="503" t="s">
        <v>1500</v>
      </c>
      <c r="B9" s="503" t="s">
        <v>1501</v>
      </c>
      <c r="C9" s="504">
        <v>45974.98302083334</v>
      </c>
      <c r="D9" s="503" t="s">
        <v>1435</v>
      </c>
      <c r="E9" s="503" t="b">
        <v>1</v>
      </c>
      <c r="F9" s="503" t="b">
        <v>1</v>
      </c>
      <c r="G9" s="503" t="s">
        <v>1436</v>
      </c>
      <c r="H9" s="503" t="b">
        <v>1</v>
      </c>
      <c r="I9" s="503" t="s">
        <v>1437</v>
      </c>
      <c r="J9" s="503" t="b">
        <v>1</v>
      </c>
      <c r="K9" s="507" t="s">
        <v>1502</v>
      </c>
      <c r="L9" s="506" t="s">
        <v>42</v>
      </c>
      <c r="M9" s="503">
        <v>9.0</v>
      </c>
      <c r="N9" s="503">
        <v>7.0</v>
      </c>
      <c r="O9" s="503">
        <v>9.0</v>
      </c>
      <c r="P9" s="506" t="s">
        <v>1503</v>
      </c>
      <c r="Q9" s="503">
        <v>9.0</v>
      </c>
      <c r="R9" s="503">
        <v>9.0</v>
      </c>
      <c r="S9" s="503">
        <v>9.0</v>
      </c>
      <c r="T9" s="506" t="s">
        <v>1504</v>
      </c>
      <c r="U9" s="503">
        <v>8.0</v>
      </c>
      <c r="V9" s="503">
        <v>8.0</v>
      </c>
      <c r="W9" s="503">
        <v>8.0</v>
      </c>
      <c r="X9" s="506" t="s">
        <v>1505</v>
      </c>
      <c r="Y9" s="503">
        <v>9.0</v>
      </c>
      <c r="Z9" s="503">
        <v>8.0</v>
      </c>
      <c r="AA9" s="503">
        <v>9.0</v>
      </c>
      <c r="AB9" s="506" t="s">
        <v>1506</v>
      </c>
      <c r="AC9" s="506" t="s">
        <v>1507</v>
      </c>
      <c r="AD9" s="506" t="s">
        <v>1508</v>
      </c>
      <c r="AE9" s="506" t="s">
        <v>1509</v>
      </c>
      <c r="AF9" s="12"/>
      <c r="AG9" s="502">
        <f t="shared" ref="AG9:AG19" si="2">AVERAGE(AA9,Z9,Y9,W9,V9,U9,S9,R9,Q9,O9,N9,M9)</f>
        <v>8.5</v>
      </c>
    </row>
    <row r="10">
      <c r="A10" s="503" t="s">
        <v>1510</v>
      </c>
      <c r="B10" s="503" t="s">
        <v>1511</v>
      </c>
      <c r="C10" s="504">
        <v>45977.261979166666</v>
      </c>
      <c r="D10" s="503" t="s">
        <v>1435</v>
      </c>
      <c r="E10" s="503" t="b">
        <v>1</v>
      </c>
      <c r="F10" s="503" t="b">
        <v>1</v>
      </c>
      <c r="G10" s="503" t="s">
        <v>1436</v>
      </c>
      <c r="H10" s="503" t="b">
        <v>1</v>
      </c>
      <c r="I10" s="503" t="s">
        <v>1437</v>
      </c>
      <c r="J10" s="503" t="b">
        <v>1</v>
      </c>
      <c r="K10" s="507" t="s">
        <v>1512</v>
      </c>
      <c r="L10" s="506" t="s">
        <v>42</v>
      </c>
      <c r="M10" s="503">
        <v>7.0</v>
      </c>
      <c r="N10" s="503">
        <v>6.0</v>
      </c>
      <c r="O10" s="503">
        <v>6.0</v>
      </c>
      <c r="P10" s="506" t="s">
        <v>1513</v>
      </c>
      <c r="Q10" s="503">
        <v>9.0</v>
      </c>
      <c r="R10" s="503">
        <v>9.0</v>
      </c>
      <c r="S10" s="503">
        <v>9.0</v>
      </c>
      <c r="T10" s="506" t="s">
        <v>1514</v>
      </c>
      <c r="U10" s="503">
        <v>9.0</v>
      </c>
      <c r="V10" s="503">
        <v>9.0</v>
      </c>
      <c r="W10" s="503">
        <v>9.0</v>
      </c>
      <c r="X10" s="506" t="s">
        <v>1515</v>
      </c>
      <c r="Y10" s="503">
        <v>9.0</v>
      </c>
      <c r="Z10" s="503">
        <v>9.0</v>
      </c>
      <c r="AA10" s="503">
        <v>9.0</v>
      </c>
      <c r="AB10" s="506" t="s">
        <v>1516</v>
      </c>
      <c r="AC10" s="506" t="s">
        <v>1517</v>
      </c>
      <c r="AD10" s="506" t="s">
        <v>1518</v>
      </c>
      <c r="AE10" s="506" t="s">
        <v>70</v>
      </c>
      <c r="AF10" s="12"/>
      <c r="AG10" s="502">
        <f t="shared" si="2"/>
        <v>8.333333333</v>
      </c>
    </row>
    <row r="11">
      <c r="A11" s="503" t="s">
        <v>1519</v>
      </c>
      <c r="B11" s="503" t="s">
        <v>1520</v>
      </c>
      <c r="C11" s="504">
        <v>45998.84521990741</v>
      </c>
      <c r="D11" s="503" t="s">
        <v>1435</v>
      </c>
      <c r="E11" s="503" t="b">
        <v>1</v>
      </c>
      <c r="F11" s="503" t="b">
        <v>1</v>
      </c>
      <c r="G11" s="503" t="s">
        <v>1436</v>
      </c>
      <c r="H11" s="503" t="b">
        <v>1</v>
      </c>
      <c r="I11" s="503" t="s">
        <v>1437</v>
      </c>
      <c r="J11" s="503" t="b">
        <v>1</v>
      </c>
      <c r="K11" s="507" t="s">
        <v>1521</v>
      </c>
      <c r="L11" s="506" t="s">
        <v>42</v>
      </c>
      <c r="M11" s="503">
        <v>7.0</v>
      </c>
      <c r="N11" s="503">
        <v>9.0</v>
      </c>
      <c r="O11" s="503">
        <v>9.0</v>
      </c>
      <c r="P11" s="506" t="s">
        <v>1522</v>
      </c>
      <c r="Q11" s="503">
        <v>8.0</v>
      </c>
      <c r="R11" s="503">
        <v>8.0</v>
      </c>
      <c r="S11" s="503">
        <v>8.0</v>
      </c>
      <c r="T11" s="506" t="s">
        <v>1523</v>
      </c>
      <c r="U11" s="503">
        <v>8.0</v>
      </c>
      <c r="V11" s="503">
        <v>8.0</v>
      </c>
      <c r="W11" s="503">
        <v>7.0</v>
      </c>
      <c r="X11" s="506" t="s">
        <v>1524</v>
      </c>
      <c r="Y11" s="503">
        <v>9.0</v>
      </c>
      <c r="Z11" s="503">
        <v>7.0</v>
      </c>
      <c r="AA11" s="503">
        <v>9.0</v>
      </c>
      <c r="AB11" s="506" t="s">
        <v>1525</v>
      </c>
      <c r="AC11" s="506" t="s">
        <v>1526</v>
      </c>
      <c r="AD11" s="506" t="s">
        <v>1527</v>
      </c>
      <c r="AE11" s="506" t="s">
        <v>1528</v>
      </c>
      <c r="AF11" s="12"/>
      <c r="AG11" s="502">
        <f t="shared" si="2"/>
        <v>8.083333333</v>
      </c>
    </row>
    <row r="12">
      <c r="A12" s="510" t="s">
        <v>1529</v>
      </c>
      <c r="B12" s="510" t="s">
        <v>99</v>
      </c>
      <c r="C12" s="511">
        <v>45985.32261574074</v>
      </c>
      <c r="D12" s="510" t="s">
        <v>1435</v>
      </c>
      <c r="E12" s="510" t="b">
        <v>1</v>
      </c>
      <c r="F12" s="510" t="b">
        <v>1</v>
      </c>
      <c r="G12" s="510" t="s">
        <v>1436</v>
      </c>
      <c r="H12" s="510" t="b">
        <v>1</v>
      </c>
      <c r="I12" s="510" t="s">
        <v>1437</v>
      </c>
      <c r="J12" s="510" t="b">
        <v>1</v>
      </c>
      <c r="K12" s="494" t="s">
        <v>100</v>
      </c>
      <c r="L12" s="512" t="s">
        <v>42</v>
      </c>
      <c r="M12" s="510">
        <v>7.0</v>
      </c>
      <c r="N12" s="510">
        <v>6.0</v>
      </c>
      <c r="O12" s="510">
        <v>8.0</v>
      </c>
      <c r="P12" s="512" t="s">
        <v>1530</v>
      </c>
      <c r="Q12" s="510">
        <v>9.0</v>
      </c>
      <c r="R12" s="510">
        <v>6.0</v>
      </c>
      <c r="S12" s="510">
        <v>9.0</v>
      </c>
      <c r="T12" s="512" t="s">
        <v>1531</v>
      </c>
      <c r="U12" s="510">
        <v>9.0</v>
      </c>
      <c r="V12" s="510">
        <v>9.0</v>
      </c>
      <c r="W12" s="510">
        <v>9.0</v>
      </c>
      <c r="X12" s="512" t="s">
        <v>1532</v>
      </c>
      <c r="Y12" s="510">
        <v>7.0</v>
      </c>
      <c r="Z12" s="510">
        <v>7.0</v>
      </c>
      <c r="AA12" s="510">
        <v>9.0</v>
      </c>
      <c r="AB12" s="512" t="s">
        <v>1533</v>
      </c>
      <c r="AC12" s="512" t="s">
        <v>1534</v>
      </c>
      <c r="AD12" s="512" t="s">
        <v>1535</v>
      </c>
      <c r="AE12" s="512" t="s">
        <v>1536</v>
      </c>
      <c r="AF12" s="12"/>
      <c r="AG12" s="502">
        <f t="shared" si="2"/>
        <v>7.916666667</v>
      </c>
    </row>
    <row r="13">
      <c r="A13" s="510" t="s">
        <v>1537</v>
      </c>
      <c r="B13" s="510" t="s">
        <v>1538</v>
      </c>
      <c r="C13" s="511">
        <v>45970.39643518518</v>
      </c>
      <c r="D13" s="510" t="s">
        <v>1435</v>
      </c>
      <c r="E13" s="510" t="b">
        <v>1</v>
      </c>
      <c r="F13" s="510" t="b">
        <v>1</v>
      </c>
      <c r="G13" s="510" t="s">
        <v>1436</v>
      </c>
      <c r="H13" s="510" t="b">
        <v>1</v>
      </c>
      <c r="I13" s="510" t="s">
        <v>1437</v>
      </c>
      <c r="J13" s="510" t="b">
        <v>1</v>
      </c>
      <c r="K13" s="494" t="s">
        <v>64</v>
      </c>
      <c r="L13" s="512" t="s">
        <v>42</v>
      </c>
      <c r="M13" s="510">
        <v>6.0</v>
      </c>
      <c r="N13" s="510">
        <v>7.0</v>
      </c>
      <c r="O13" s="510">
        <v>8.0</v>
      </c>
      <c r="P13" s="512" t="s">
        <v>1539</v>
      </c>
      <c r="Q13" s="510">
        <v>7.0</v>
      </c>
      <c r="R13" s="510">
        <v>6.0</v>
      </c>
      <c r="S13" s="510">
        <v>9.0</v>
      </c>
      <c r="T13" s="512" t="s">
        <v>1540</v>
      </c>
      <c r="U13" s="510">
        <v>7.0</v>
      </c>
      <c r="V13" s="510">
        <v>9.0</v>
      </c>
      <c r="W13" s="510">
        <v>6.0</v>
      </c>
      <c r="X13" s="512" t="s">
        <v>1541</v>
      </c>
      <c r="Y13" s="510">
        <v>7.0</v>
      </c>
      <c r="Z13" s="510">
        <v>9.0</v>
      </c>
      <c r="AA13" s="510">
        <v>7.0</v>
      </c>
      <c r="AB13" s="512" t="s">
        <v>1542</v>
      </c>
      <c r="AC13" s="512" t="s">
        <v>1543</v>
      </c>
      <c r="AD13" s="512" t="s">
        <v>1544</v>
      </c>
      <c r="AE13" s="512" t="s">
        <v>1545</v>
      </c>
      <c r="AF13" s="12"/>
      <c r="AG13" s="502">
        <f t="shared" si="2"/>
        <v>7.333333333</v>
      </c>
    </row>
    <row r="14">
      <c r="A14" s="510" t="s">
        <v>1546</v>
      </c>
      <c r="B14" s="510" t="s">
        <v>1547</v>
      </c>
      <c r="C14" s="511">
        <v>45998.28203703704</v>
      </c>
      <c r="D14" s="510" t="s">
        <v>1435</v>
      </c>
      <c r="E14" s="510" t="b">
        <v>1</v>
      </c>
      <c r="F14" s="510" t="b">
        <v>1</v>
      </c>
      <c r="G14" s="510" t="s">
        <v>1436</v>
      </c>
      <c r="H14" s="510" t="b">
        <v>1</v>
      </c>
      <c r="I14" s="510" t="s">
        <v>1437</v>
      </c>
      <c r="J14" s="510" t="b">
        <v>1</v>
      </c>
      <c r="K14" s="494" t="s">
        <v>1548</v>
      </c>
      <c r="L14" s="512" t="s">
        <v>42</v>
      </c>
      <c r="M14" s="510">
        <v>6.0</v>
      </c>
      <c r="N14" s="510">
        <v>6.0</v>
      </c>
      <c r="O14" s="510">
        <v>8.0</v>
      </c>
      <c r="P14" s="512" t="s">
        <v>1549</v>
      </c>
      <c r="Q14" s="510">
        <v>8.0</v>
      </c>
      <c r="R14" s="510">
        <v>7.0</v>
      </c>
      <c r="S14" s="510">
        <v>8.0</v>
      </c>
      <c r="T14" s="512" t="s">
        <v>1550</v>
      </c>
      <c r="U14" s="510">
        <v>7.0</v>
      </c>
      <c r="V14" s="510">
        <v>8.0</v>
      </c>
      <c r="W14" s="510">
        <v>6.0</v>
      </c>
      <c r="X14" s="512" t="s">
        <v>1551</v>
      </c>
      <c r="Y14" s="510">
        <v>7.0</v>
      </c>
      <c r="Z14" s="510">
        <v>7.0</v>
      </c>
      <c r="AA14" s="510">
        <v>8.0</v>
      </c>
      <c r="AB14" s="512" t="s">
        <v>1552</v>
      </c>
      <c r="AC14" s="512" t="s">
        <v>1553</v>
      </c>
      <c r="AD14" s="512" t="s">
        <v>1554</v>
      </c>
      <c r="AE14" s="513"/>
      <c r="AF14" s="12"/>
      <c r="AG14" s="502">
        <f t="shared" si="2"/>
        <v>7.166666667</v>
      </c>
    </row>
    <row r="15">
      <c r="A15" s="510" t="s">
        <v>1555</v>
      </c>
      <c r="B15" s="510" t="s">
        <v>1556</v>
      </c>
      <c r="C15" s="511">
        <v>45997.61729166667</v>
      </c>
      <c r="D15" s="510" t="s">
        <v>1435</v>
      </c>
      <c r="E15" s="510" t="b">
        <v>1</v>
      </c>
      <c r="F15" s="510" t="b">
        <v>1</v>
      </c>
      <c r="G15" s="510" t="s">
        <v>1436</v>
      </c>
      <c r="H15" s="510" t="b">
        <v>1</v>
      </c>
      <c r="I15" s="510" t="s">
        <v>1437</v>
      </c>
      <c r="J15" s="510" t="b">
        <v>1</v>
      </c>
      <c r="K15" s="494" t="s">
        <v>83</v>
      </c>
      <c r="L15" s="512" t="s">
        <v>42</v>
      </c>
      <c r="M15" s="510">
        <v>6.0</v>
      </c>
      <c r="N15" s="510">
        <v>6.0</v>
      </c>
      <c r="O15" s="510">
        <v>8.0</v>
      </c>
      <c r="P15" s="512" t="s">
        <v>1557</v>
      </c>
      <c r="Q15" s="510">
        <v>8.0</v>
      </c>
      <c r="R15" s="510">
        <v>6.0</v>
      </c>
      <c r="S15" s="510">
        <v>8.0</v>
      </c>
      <c r="T15" s="512" t="s">
        <v>1558</v>
      </c>
      <c r="U15" s="510">
        <v>6.0</v>
      </c>
      <c r="V15" s="510">
        <v>7.0</v>
      </c>
      <c r="W15" s="510">
        <v>7.0</v>
      </c>
      <c r="X15" s="512" t="s">
        <v>1559</v>
      </c>
      <c r="Y15" s="510">
        <v>8.0</v>
      </c>
      <c r="Z15" s="510">
        <v>5.0</v>
      </c>
      <c r="AA15" s="510">
        <v>8.0</v>
      </c>
      <c r="AB15" s="512" t="s">
        <v>1560</v>
      </c>
      <c r="AC15" s="512" t="s">
        <v>1561</v>
      </c>
      <c r="AD15" s="512" t="s">
        <v>1562</v>
      </c>
      <c r="AE15" s="501"/>
      <c r="AF15" s="12"/>
      <c r="AG15" s="502">
        <f t="shared" si="2"/>
        <v>6.916666667</v>
      </c>
    </row>
    <row r="16">
      <c r="A16" s="510" t="s">
        <v>1563</v>
      </c>
      <c r="B16" s="510" t="s">
        <v>1564</v>
      </c>
      <c r="C16" s="511">
        <v>46000.23689814815</v>
      </c>
      <c r="D16" s="510" t="s">
        <v>1435</v>
      </c>
      <c r="E16" s="510" t="b">
        <v>1</v>
      </c>
      <c r="F16" s="510" t="b">
        <v>1</v>
      </c>
      <c r="G16" s="510" t="s">
        <v>1436</v>
      </c>
      <c r="H16" s="510" t="b">
        <v>1</v>
      </c>
      <c r="I16" s="510" t="s">
        <v>1437</v>
      </c>
      <c r="J16" s="510" t="b">
        <v>1</v>
      </c>
      <c r="K16" s="494" t="s">
        <v>890</v>
      </c>
      <c r="L16" s="512" t="s">
        <v>42</v>
      </c>
      <c r="M16" s="510">
        <v>6.0</v>
      </c>
      <c r="N16" s="510">
        <v>4.0</v>
      </c>
      <c r="O16" s="510">
        <v>8.0</v>
      </c>
      <c r="P16" s="512" t="s">
        <v>1565</v>
      </c>
      <c r="Q16" s="510">
        <v>9.0</v>
      </c>
      <c r="R16" s="510">
        <v>8.0</v>
      </c>
      <c r="S16" s="510">
        <v>8.0</v>
      </c>
      <c r="T16" s="512" t="s">
        <v>1566</v>
      </c>
      <c r="U16" s="510">
        <v>5.0</v>
      </c>
      <c r="V16" s="510">
        <v>5.0</v>
      </c>
      <c r="W16" s="510">
        <v>5.0</v>
      </c>
      <c r="X16" s="512" t="s">
        <v>1567</v>
      </c>
      <c r="Y16" s="510">
        <v>6.0</v>
      </c>
      <c r="Z16" s="510">
        <v>6.0</v>
      </c>
      <c r="AA16" s="510">
        <v>9.0</v>
      </c>
      <c r="AB16" s="512" t="s">
        <v>1568</v>
      </c>
      <c r="AC16" s="512" t="s">
        <v>1569</v>
      </c>
      <c r="AD16" s="512" t="s">
        <v>1570</v>
      </c>
      <c r="AE16" s="513"/>
      <c r="AF16" s="12"/>
      <c r="AG16" s="502">
        <f t="shared" si="2"/>
        <v>6.583333333</v>
      </c>
    </row>
    <row r="17">
      <c r="A17" s="510" t="s">
        <v>1571</v>
      </c>
      <c r="B17" s="510" t="s">
        <v>1572</v>
      </c>
      <c r="C17" s="511">
        <v>45998.9753125</v>
      </c>
      <c r="D17" s="510" t="s">
        <v>1435</v>
      </c>
      <c r="E17" s="510" t="b">
        <v>1</v>
      </c>
      <c r="F17" s="510" t="b">
        <v>1</v>
      </c>
      <c r="G17" s="510" t="s">
        <v>1436</v>
      </c>
      <c r="H17" s="510" t="b">
        <v>1</v>
      </c>
      <c r="I17" s="510" t="s">
        <v>1437</v>
      </c>
      <c r="J17" s="510" t="b">
        <v>1</v>
      </c>
      <c r="K17" s="494" t="s">
        <v>1573</v>
      </c>
      <c r="L17" s="512" t="s">
        <v>42</v>
      </c>
      <c r="M17" s="510">
        <v>5.0</v>
      </c>
      <c r="N17" s="510">
        <v>6.0</v>
      </c>
      <c r="O17" s="510">
        <v>9.0</v>
      </c>
      <c r="P17" s="512" t="s">
        <v>1574</v>
      </c>
      <c r="Q17" s="510">
        <v>9.0</v>
      </c>
      <c r="R17" s="510">
        <v>5.0</v>
      </c>
      <c r="S17" s="510">
        <v>6.0</v>
      </c>
      <c r="T17" s="512" t="s">
        <v>1575</v>
      </c>
      <c r="U17" s="510">
        <v>8.0</v>
      </c>
      <c r="V17" s="510">
        <v>5.0</v>
      </c>
      <c r="W17" s="510">
        <v>7.0</v>
      </c>
      <c r="X17" s="512" t="s">
        <v>1576</v>
      </c>
      <c r="Y17" s="510">
        <v>6.0</v>
      </c>
      <c r="Z17" s="510">
        <v>1.0</v>
      </c>
      <c r="AA17" s="510">
        <v>9.0</v>
      </c>
      <c r="AB17" s="512" t="s">
        <v>1577</v>
      </c>
      <c r="AC17" s="512" t="s">
        <v>1578</v>
      </c>
      <c r="AD17" s="512" t="s">
        <v>1579</v>
      </c>
      <c r="AE17" s="512" t="s">
        <v>1580</v>
      </c>
      <c r="AF17" s="12"/>
      <c r="AG17" s="502">
        <f t="shared" si="2"/>
        <v>6.333333333</v>
      </c>
    </row>
    <row r="18">
      <c r="A18" s="510" t="s">
        <v>1581</v>
      </c>
      <c r="B18" s="510" t="s">
        <v>1582</v>
      </c>
      <c r="C18" s="511">
        <v>45998.35490740741</v>
      </c>
      <c r="D18" s="510" t="s">
        <v>1435</v>
      </c>
      <c r="E18" s="510" t="b">
        <v>1</v>
      </c>
      <c r="F18" s="510" t="b">
        <v>1</v>
      </c>
      <c r="G18" s="510" t="s">
        <v>1436</v>
      </c>
      <c r="H18" s="510" t="b">
        <v>1</v>
      </c>
      <c r="I18" s="510" t="s">
        <v>1437</v>
      </c>
      <c r="J18" s="510" t="b">
        <v>1</v>
      </c>
      <c r="K18" s="494" t="s">
        <v>1583</v>
      </c>
      <c r="L18" s="512" t="s">
        <v>42</v>
      </c>
      <c r="M18" s="510">
        <v>4.0</v>
      </c>
      <c r="N18" s="510">
        <v>4.0</v>
      </c>
      <c r="O18" s="510">
        <v>4.0</v>
      </c>
      <c r="P18" s="512" t="s">
        <v>1584</v>
      </c>
      <c r="Q18" s="510">
        <v>5.0</v>
      </c>
      <c r="R18" s="510">
        <v>4.0</v>
      </c>
      <c r="S18" s="510">
        <v>4.0</v>
      </c>
      <c r="T18" s="513"/>
      <c r="U18" s="510">
        <v>4.0</v>
      </c>
      <c r="V18" s="510">
        <v>4.0</v>
      </c>
      <c r="W18" s="510">
        <v>6.0</v>
      </c>
      <c r="X18" s="513"/>
      <c r="Y18" s="510">
        <v>6.0</v>
      </c>
      <c r="Z18" s="510">
        <v>4.0</v>
      </c>
      <c r="AA18" s="510">
        <v>5.0</v>
      </c>
      <c r="AB18" s="512" t="s">
        <v>1585</v>
      </c>
      <c r="AC18" s="512" t="s">
        <v>1586</v>
      </c>
      <c r="AD18" s="512" t="s">
        <v>1587</v>
      </c>
      <c r="AE18" s="513"/>
      <c r="AF18" s="12"/>
      <c r="AG18" s="502">
        <f t="shared" si="2"/>
        <v>4.5</v>
      </c>
    </row>
    <row r="19">
      <c r="A19" s="510" t="s">
        <v>1588</v>
      </c>
      <c r="B19" s="510" t="s">
        <v>1589</v>
      </c>
      <c r="C19" s="511">
        <v>45997.66981481481</v>
      </c>
      <c r="D19" s="510" t="s">
        <v>1435</v>
      </c>
      <c r="E19" s="510" t="b">
        <v>1</v>
      </c>
      <c r="F19" s="510" t="b">
        <v>1</v>
      </c>
      <c r="G19" s="510" t="s">
        <v>1436</v>
      </c>
      <c r="H19" s="510" t="b">
        <v>1</v>
      </c>
      <c r="I19" s="510" t="s">
        <v>1437</v>
      </c>
      <c r="J19" s="510" t="b">
        <v>1</v>
      </c>
      <c r="K19" s="494" t="s">
        <v>1590</v>
      </c>
      <c r="L19" s="512" t="s">
        <v>42</v>
      </c>
      <c r="M19" s="510">
        <v>5.0</v>
      </c>
      <c r="N19" s="510">
        <v>3.0</v>
      </c>
      <c r="O19" s="510">
        <v>6.0</v>
      </c>
      <c r="P19" s="512" t="s">
        <v>1591</v>
      </c>
      <c r="Q19" s="510">
        <v>5.0</v>
      </c>
      <c r="R19" s="510">
        <v>1.0</v>
      </c>
      <c r="S19" s="510">
        <v>7.0</v>
      </c>
      <c r="T19" s="512" t="s">
        <v>1592</v>
      </c>
      <c r="U19" s="510">
        <v>5.0</v>
      </c>
      <c r="V19" s="510">
        <v>3.0</v>
      </c>
      <c r="W19" s="510">
        <v>3.0</v>
      </c>
      <c r="X19" s="512" t="s">
        <v>1593</v>
      </c>
      <c r="Y19" s="510">
        <v>4.0</v>
      </c>
      <c r="Z19" s="510">
        <v>3.0</v>
      </c>
      <c r="AA19" s="510">
        <v>4.0</v>
      </c>
      <c r="AB19" s="512" t="s">
        <v>1594</v>
      </c>
      <c r="AC19" s="512" t="s">
        <v>1595</v>
      </c>
      <c r="AD19" s="512" t="s">
        <v>1596</v>
      </c>
      <c r="AE19" s="512" t="s">
        <v>1597</v>
      </c>
      <c r="AF19" s="12"/>
      <c r="AG19" s="502">
        <f t="shared" si="2"/>
        <v>4.083333333</v>
      </c>
    </row>
    <row r="20" hidden="1">
      <c r="A20" s="510" t="s">
        <v>1598</v>
      </c>
      <c r="B20" s="510" t="s">
        <v>1599</v>
      </c>
      <c r="C20" s="511">
        <v>45966.377430555556</v>
      </c>
      <c r="D20" s="510" t="s">
        <v>1435</v>
      </c>
      <c r="E20" s="510" t="b">
        <v>1</v>
      </c>
      <c r="F20" s="510" t="b">
        <v>1</v>
      </c>
      <c r="G20" s="510" t="s">
        <v>1436</v>
      </c>
      <c r="H20" s="510" t="b">
        <v>1</v>
      </c>
      <c r="I20" s="510" t="s">
        <v>1437</v>
      </c>
      <c r="J20" s="510" t="b">
        <v>1</v>
      </c>
      <c r="K20" s="494" t="s">
        <v>1377</v>
      </c>
      <c r="L20" s="512" t="s">
        <v>794</v>
      </c>
      <c r="M20" s="513"/>
      <c r="N20" s="513"/>
      <c r="O20" s="513"/>
      <c r="P20" s="512" t="s">
        <v>1600</v>
      </c>
      <c r="Q20" s="513"/>
      <c r="R20" s="513"/>
      <c r="S20" s="513"/>
      <c r="T20" s="512" t="s">
        <v>1601</v>
      </c>
      <c r="U20" s="513"/>
      <c r="V20" s="513"/>
      <c r="W20" s="513"/>
      <c r="X20" s="512" t="s">
        <v>1602</v>
      </c>
      <c r="Y20" s="513"/>
      <c r="Z20" s="513"/>
      <c r="AA20" s="513"/>
      <c r="AB20" s="512" t="s">
        <v>1603</v>
      </c>
      <c r="AC20" s="512" t="s">
        <v>1604</v>
      </c>
      <c r="AD20" s="512" t="s">
        <v>1605</v>
      </c>
      <c r="AE20" s="513"/>
      <c r="AF20" s="12"/>
      <c r="AG20" s="502"/>
    </row>
    <row r="21" hidden="1">
      <c r="A21" s="510" t="s">
        <v>1606</v>
      </c>
      <c r="B21" s="510" t="s">
        <v>1607</v>
      </c>
      <c r="C21" s="511">
        <v>45984.473333333335</v>
      </c>
      <c r="D21" s="510" t="s">
        <v>1435</v>
      </c>
      <c r="E21" s="510" t="b">
        <v>1</v>
      </c>
      <c r="F21" s="510" t="b">
        <v>1</v>
      </c>
      <c r="G21" s="510" t="s">
        <v>1436</v>
      </c>
      <c r="H21" s="510" t="b">
        <v>1</v>
      </c>
      <c r="I21" s="510" t="s">
        <v>1437</v>
      </c>
      <c r="J21" s="510" t="b">
        <v>1</v>
      </c>
      <c r="K21" s="494" t="s">
        <v>516</v>
      </c>
      <c r="L21" s="512" t="s">
        <v>794</v>
      </c>
      <c r="M21" s="510">
        <v>9.0</v>
      </c>
      <c r="N21" s="510">
        <v>9.0</v>
      </c>
      <c r="O21" s="510">
        <v>9.0</v>
      </c>
      <c r="P21" s="512" t="s">
        <v>1608</v>
      </c>
      <c r="Q21" s="510">
        <v>9.0</v>
      </c>
      <c r="R21" s="510">
        <v>9.0</v>
      </c>
      <c r="S21" s="510">
        <v>9.0</v>
      </c>
      <c r="T21" s="512" t="s">
        <v>1609</v>
      </c>
      <c r="U21" s="510">
        <v>9.0</v>
      </c>
      <c r="V21" s="510">
        <v>9.0</v>
      </c>
      <c r="W21" s="510">
        <v>9.0</v>
      </c>
      <c r="X21" s="512" t="s">
        <v>1610</v>
      </c>
      <c r="Y21" s="510">
        <v>9.0</v>
      </c>
      <c r="Z21" s="510">
        <v>9.0</v>
      </c>
      <c r="AA21" s="510">
        <v>9.0</v>
      </c>
      <c r="AB21" s="512" t="s">
        <v>1611</v>
      </c>
      <c r="AC21" s="512" t="s">
        <v>1612</v>
      </c>
      <c r="AD21" s="512" t="s">
        <v>1613</v>
      </c>
      <c r="AE21" s="18" t="s">
        <v>1614</v>
      </c>
      <c r="AF21" s="12"/>
      <c r="AG21" s="502">
        <f t="shared" ref="AG21:AG56" si="3">AVERAGE(AA21,Z21,Y21,W21,V21,U21,S21,R21,Q21,O21,N21,M21)</f>
        <v>9</v>
      </c>
    </row>
    <row r="22" hidden="1">
      <c r="A22" s="510" t="s">
        <v>1615</v>
      </c>
      <c r="B22" s="510" t="s">
        <v>1616</v>
      </c>
      <c r="C22" s="511">
        <v>45997.68780092592</v>
      </c>
      <c r="D22" s="510" t="s">
        <v>1435</v>
      </c>
      <c r="E22" s="510" t="b">
        <v>1</v>
      </c>
      <c r="F22" s="510" t="b">
        <v>1</v>
      </c>
      <c r="G22" s="510" t="s">
        <v>1436</v>
      </c>
      <c r="H22" s="510" t="b">
        <v>1</v>
      </c>
      <c r="I22" s="510" t="s">
        <v>1437</v>
      </c>
      <c r="J22" s="510" t="b">
        <v>1</v>
      </c>
      <c r="K22" s="494" t="s">
        <v>1617</v>
      </c>
      <c r="L22" s="512" t="s">
        <v>794</v>
      </c>
      <c r="M22" s="510">
        <v>9.0</v>
      </c>
      <c r="N22" s="510">
        <v>9.0</v>
      </c>
      <c r="O22" s="510">
        <v>9.0</v>
      </c>
      <c r="P22" s="512" t="s">
        <v>1618</v>
      </c>
      <c r="Q22" s="510">
        <v>9.0</v>
      </c>
      <c r="R22" s="510">
        <v>9.0</v>
      </c>
      <c r="S22" s="510">
        <v>9.0</v>
      </c>
      <c r="T22" s="512" t="s">
        <v>1619</v>
      </c>
      <c r="U22" s="510">
        <v>9.0</v>
      </c>
      <c r="V22" s="510">
        <v>9.0</v>
      </c>
      <c r="W22" s="510">
        <v>9.0</v>
      </c>
      <c r="X22" s="512" t="s">
        <v>1620</v>
      </c>
      <c r="Y22" s="510">
        <v>9.0</v>
      </c>
      <c r="Z22" s="510">
        <v>9.0</v>
      </c>
      <c r="AA22" s="510">
        <v>9.0</v>
      </c>
      <c r="AB22" s="512" t="s">
        <v>1621</v>
      </c>
      <c r="AC22" s="512" t="s">
        <v>1622</v>
      </c>
      <c r="AD22" s="512" t="s">
        <v>1623</v>
      </c>
      <c r="AE22" s="501"/>
      <c r="AF22" s="12"/>
      <c r="AG22" s="502">
        <f t="shared" si="3"/>
        <v>9</v>
      </c>
    </row>
    <row r="23" hidden="1">
      <c r="A23" s="510" t="s">
        <v>1624</v>
      </c>
      <c r="B23" s="510" t="s">
        <v>524</v>
      </c>
      <c r="C23" s="511">
        <v>45982.849814814814</v>
      </c>
      <c r="D23" s="510" t="s">
        <v>1435</v>
      </c>
      <c r="E23" s="510" t="b">
        <v>1</v>
      </c>
      <c r="F23" s="510" t="b">
        <v>1</v>
      </c>
      <c r="G23" s="510" t="s">
        <v>1436</v>
      </c>
      <c r="H23" s="510" t="b">
        <v>1</v>
      </c>
      <c r="I23" s="510" t="s">
        <v>1437</v>
      </c>
      <c r="J23" s="510" t="b">
        <v>1</v>
      </c>
      <c r="K23" s="494" t="s">
        <v>525</v>
      </c>
      <c r="L23" s="512" t="s">
        <v>794</v>
      </c>
      <c r="M23" s="510">
        <v>7.0</v>
      </c>
      <c r="N23" s="510">
        <v>6.0</v>
      </c>
      <c r="O23" s="510">
        <v>7.0</v>
      </c>
      <c r="P23" s="512" t="s">
        <v>1625</v>
      </c>
      <c r="Q23" s="510">
        <v>7.0</v>
      </c>
      <c r="R23" s="510">
        <v>8.0</v>
      </c>
      <c r="S23" s="510">
        <v>6.0</v>
      </c>
      <c r="T23" s="512" t="s">
        <v>1626</v>
      </c>
      <c r="U23" s="510">
        <v>6.0</v>
      </c>
      <c r="V23" s="510">
        <v>6.0</v>
      </c>
      <c r="W23" s="510">
        <v>6.0</v>
      </c>
      <c r="X23" s="512" t="s">
        <v>553</v>
      </c>
      <c r="Y23" s="510">
        <v>6.0</v>
      </c>
      <c r="Z23" s="510">
        <v>6.0</v>
      </c>
      <c r="AA23" s="510">
        <v>6.0</v>
      </c>
      <c r="AB23" s="512" t="s">
        <v>1627</v>
      </c>
      <c r="AC23" s="512" t="s">
        <v>1628</v>
      </c>
      <c r="AD23" s="512" t="s">
        <v>1629</v>
      </c>
      <c r="AE23" s="513"/>
      <c r="AF23" s="12"/>
      <c r="AG23" s="502">
        <f t="shared" si="3"/>
        <v>6.416666667</v>
      </c>
    </row>
    <row r="24" hidden="1">
      <c r="A24" s="510" t="s">
        <v>1630</v>
      </c>
      <c r="B24" s="510" t="s">
        <v>1631</v>
      </c>
      <c r="C24" s="511">
        <v>45997.60922453704</v>
      </c>
      <c r="D24" s="510" t="s">
        <v>1435</v>
      </c>
      <c r="E24" s="510" t="b">
        <v>1</v>
      </c>
      <c r="F24" s="510" t="b">
        <v>1</v>
      </c>
      <c r="G24" s="510" t="s">
        <v>1436</v>
      </c>
      <c r="H24" s="510" t="b">
        <v>1</v>
      </c>
      <c r="I24" s="510" t="s">
        <v>1437</v>
      </c>
      <c r="J24" s="510" t="b">
        <v>1</v>
      </c>
      <c r="K24" s="494" t="s">
        <v>731</v>
      </c>
      <c r="L24" s="512" t="s">
        <v>794</v>
      </c>
      <c r="M24" s="510">
        <v>4.0</v>
      </c>
      <c r="N24" s="510">
        <v>3.0</v>
      </c>
      <c r="O24" s="510">
        <v>2.0</v>
      </c>
      <c r="P24" s="512" t="s">
        <v>1632</v>
      </c>
      <c r="Q24" s="510">
        <v>8.0</v>
      </c>
      <c r="R24" s="510">
        <v>2.0</v>
      </c>
      <c r="S24" s="510">
        <v>6.0</v>
      </c>
      <c r="T24" s="512" t="s">
        <v>1633</v>
      </c>
      <c r="U24" s="510">
        <v>2.0</v>
      </c>
      <c r="V24" s="510">
        <v>2.0</v>
      </c>
      <c r="W24" s="510">
        <v>7.0</v>
      </c>
      <c r="X24" s="512" t="s">
        <v>1634</v>
      </c>
      <c r="Y24" s="510">
        <v>8.0</v>
      </c>
      <c r="Z24" s="510">
        <v>2.0</v>
      </c>
      <c r="AA24" s="510">
        <v>2.0</v>
      </c>
      <c r="AB24" s="512" t="s">
        <v>1635</v>
      </c>
      <c r="AC24" s="512" t="s">
        <v>1636</v>
      </c>
      <c r="AD24" s="512" t="s">
        <v>1637</v>
      </c>
      <c r="AE24" s="18" t="s">
        <v>1638</v>
      </c>
      <c r="AF24" s="12"/>
      <c r="AG24" s="502">
        <f t="shared" si="3"/>
        <v>4</v>
      </c>
    </row>
    <row r="25" hidden="1">
      <c r="A25" s="510" t="s">
        <v>1639</v>
      </c>
      <c r="B25" s="510" t="s">
        <v>1640</v>
      </c>
      <c r="C25" s="511">
        <v>45979.30806712963</v>
      </c>
      <c r="D25" s="510" t="s">
        <v>1435</v>
      </c>
      <c r="E25" s="510" t="b">
        <v>1</v>
      </c>
      <c r="F25" s="510" t="b">
        <v>1</v>
      </c>
      <c r="G25" s="510" t="s">
        <v>1436</v>
      </c>
      <c r="H25" s="510" t="b">
        <v>1</v>
      </c>
      <c r="I25" s="510" t="s">
        <v>1437</v>
      </c>
      <c r="J25" s="510" t="b">
        <v>1</v>
      </c>
      <c r="K25" s="494" t="s">
        <v>1641</v>
      </c>
      <c r="L25" s="512" t="s">
        <v>1642</v>
      </c>
      <c r="M25" s="510">
        <v>9.0</v>
      </c>
      <c r="N25" s="510">
        <v>9.0</v>
      </c>
      <c r="O25" s="510">
        <v>9.0</v>
      </c>
      <c r="P25" s="512" t="s">
        <v>1643</v>
      </c>
      <c r="Q25" s="510">
        <v>9.0</v>
      </c>
      <c r="R25" s="510">
        <v>6.0</v>
      </c>
      <c r="S25" s="510">
        <v>8.0</v>
      </c>
      <c r="T25" s="512" t="s">
        <v>1644</v>
      </c>
      <c r="U25" s="510">
        <v>9.0</v>
      </c>
      <c r="V25" s="510">
        <v>9.0</v>
      </c>
      <c r="W25" s="510">
        <v>9.0</v>
      </c>
      <c r="X25" s="512" t="s">
        <v>1645</v>
      </c>
      <c r="Y25" s="510">
        <v>9.0</v>
      </c>
      <c r="Z25" s="510">
        <v>9.0</v>
      </c>
      <c r="AA25" s="510">
        <v>9.0</v>
      </c>
      <c r="AB25" s="512" t="s">
        <v>1646</v>
      </c>
      <c r="AC25" s="512" t="s">
        <v>1647</v>
      </c>
      <c r="AD25" s="512" t="s">
        <v>1648</v>
      </c>
      <c r="AE25" s="501"/>
      <c r="AF25" s="12"/>
      <c r="AG25" s="502">
        <f t="shared" si="3"/>
        <v>8.666666667</v>
      </c>
    </row>
    <row r="26" hidden="1">
      <c r="A26" s="510" t="s">
        <v>1649</v>
      </c>
      <c r="B26" s="510" t="s">
        <v>413</v>
      </c>
      <c r="C26" s="511">
        <v>45997.60273148148</v>
      </c>
      <c r="D26" s="510" t="s">
        <v>1435</v>
      </c>
      <c r="E26" s="510" t="b">
        <v>1</v>
      </c>
      <c r="F26" s="510" t="b">
        <v>1</v>
      </c>
      <c r="G26" s="510" t="s">
        <v>1436</v>
      </c>
      <c r="H26" s="510" t="b">
        <v>1</v>
      </c>
      <c r="I26" s="510" t="s">
        <v>1437</v>
      </c>
      <c r="J26" s="510" t="b">
        <v>1</v>
      </c>
      <c r="K26" s="494" t="s">
        <v>414</v>
      </c>
      <c r="L26" s="512" t="s">
        <v>1642</v>
      </c>
      <c r="M26" s="510">
        <v>9.0</v>
      </c>
      <c r="N26" s="510">
        <v>8.0</v>
      </c>
      <c r="O26" s="510">
        <v>7.0</v>
      </c>
      <c r="P26" s="512" t="s">
        <v>1650</v>
      </c>
      <c r="Q26" s="510">
        <v>9.0</v>
      </c>
      <c r="R26" s="510">
        <v>8.0</v>
      </c>
      <c r="S26" s="510">
        <v>9.0</v>
      </c>
      <c r="T26" s="512" t="s">
        <v>1651</v>
      </c>
      <c r="U26" s="510">
        <v>7.0</v>
      </c>
      <c r="V26" s="510">
        <v>9.0</v>
      </c>
      <c r="W26" s="510">
        <v>9.0</v>
      </c>
      <c r="X26" s="512" t="s">
        <v>1652</v>
      </c>
      <c r="Y26" s="510">
        <v>9.0</v>
      </c>
      <c r="Z26" s="510">
        <v>7.0</v>
      </c>
      <c r="AA26" s="510">
        <v>9.0</v>
      </c>
      <c r="AB26" s="512" t="s">
        <v>1653</v>
      </c>
      <c r="AC26" s="512" t="s">
        <v>1654</v>
      </c>
      <c r="AD26" s="512" t="s">
        <v>1655</v>
      </c>
      <c r="AE26" s="501"/>
      <c r="AF26" s="12"/>
      <c r="AG26" s="502">
        <f t="shared" si="3"/>
        <v>8.333333333</v>
      </c>
    </row>
    <row r="27" hidden="1">
      <c r="A27" s="510" t="s">
        <v>1656</v>
      </c>
      <c r="B27" s="510" t="s">
        <v>1657</v>
      </c>
      <c r="C27" s="511">
        <v>45981.59936342593</v>
      </c>
      <c r="D27" s="510" t="s">
        <v>1435</v>
      </c>
      <c r="E27" s="510" t="b">
        <v>1</v>
      </c>
      <c r="F27" s="510" t="b">
        <v>1</v>
      </c>
      <c r="G27" s="510" t="s">
        <v>1436</v>
      </c>
      <c r="H27" s="510" t="b">
        <v>1</v>
      </c>
      <c r="I27" s="510" t="s">
        <v>1437</v>
      </c>
      <c r="J27" s="510" t="b">
        <v>1</v>
      </c>
      <c r="K27" s="494" t="s">
        <v>1260</v>
      </c>
      <c r="L27" s="512" t="s">
        <v>1642</v>
      </c>
      <c r="M27" s="510">
        <v>7.0</v>
      </c>
      <c r="N27" s="510">
        <v>7.0</v>
      </c>
      <c r="O27" s="510">
        <v>9.0</v>
      </c>
      <c r="P27" s="512" t="s">
        <v>1658</v>
      </c>
      <c r="Q27" s="510">
        <v>9.0</v>
      </c>
      <c r="R27" s="510">
        <v>9.0</v>
      </c>
      <c r="S27" s="510">
        <v>9.0</v>
      </c>
      <c r="T27" s="512" t="s">
        <v>1659</v>
      </c>
      <c r="U27" s="510">
        <v>9.0</v>
      </c>
      <c r="V27" s="510">
        <v>9.0</v>
      </c>
      <c r="W27" s="510">
        <v>6.0</v>
      </c>
      <c r="X27" s="512" t="s">
        <v>1660</v>
      </c>
      <c r="Y27" s="510">
        <v>9.0</v>
      </c>
      <c r="Z27" s="510">
        <v>8.0</v>
      </c>
      <c r="AA27" s="510">
        <v>9.0</v>
      </c>
      <c r="AB27" s="512" t="s">
        <v>1661</v>
      </c>
      <c r="AC27" s="512" t="s">
        <v>1662</v>
      </c>
      <c r="AD27" s="512" t="s">
        <v>1663</v>
      </c>
      <c r="AE27" s="512" t="s">
        <v>38</v>
      </c>
      <c r="AF27" s="12"/>
      <c r="AG27" s="502">
        <f t="shared" si="3"/>
        <v>8.333333333</v>
      </c>
    </row>
    <row r="28" hidden="1">
      <c r="A28" s="510" t="s">
        <v>1664</v>
      </c>
      <c r="B28" s="510" t="s">
        <v>1665</v>
      </c>
      <c r="C28" s="511">
        <v>45982.55432870371</v>
      </c>
      <c r="D28" s="510" t="s">
        <v>1435</v>
      </c>
      <c r="E28" s="510" t="b">
        <v>1</v>
      </c>
      <c r="F28" s="510" t="b">
        <v>1</v>
      </c>
      <c r="G28" s="510" t="s">
        <v>1436</v>
      </c>
      <c r="H28" s="510" t="b">
        <v>1</v>
      </c>
      <c r="I28" s="510" t="s">
        <v>1437</v>
      </c>
      <c r="J28" s="510" t="b">
        <v>1</v>
      </c>
      <c r="K28" s="494" t="s">
        <v>380</v>
      </c>
      <c r="L28" s="512" t="s">
        <v>1642</v>
      </c>
      <c r="M28" s="510">
        <v>8.0</v>
      </c>
      <c r="N28" s="510">
        <v>8.0</v>
      </c>
      <c r="O28" s="510">
        <v>9.0</v>
      </c>
      <c r="P28" s="512" t="s">
        <v>1666</v>
      </c>
      <c r="Q28" s="510">
        <v>8.0</v>
      </c>
      <c r="R28" s="510">
        <v>9.0</v>
      </c>
      <c r="S28" s="510">
        <v>9.0</v>
      </c>
      <c r="T28" s="512" t="s">
        <v>1667</v>
      </c>
      <c r="U28" s="510">
        <v>8.0</v>
      </c>
      <c r="V28" s="510">
        <v>8.0</v>
      </c>
      <c r="W28" s="510">
        <v>8.0</v>
      </c>
      <c r="X28" s="512" t="s">
        <v>1668</v>
      </c>
      <c r="Y28" s="510">
        <v>8.0</v>
      </c>
      <c r="Z28" s="510">
        <v>8.0</v>
      </c>
      <c r="AA28" s="510">
        <v>8.0</v>
      </c>
      <c r="AB28" s="512" t="s">
        <v>1245</v>
      </c>
      <c r="AC28" s="512" t="s">
        <v>1669</v>
      </c>
      <c r="AD28" s="512" t="s">
        <v>1670</v>
      </c>
      <c r="AE28" s="18" t="s">
        <v>1671</v>
      </c>
      <c r="AF28" s="12"/>
      <c r="AG28" s="502">
        <f t="shared" si="3"/>
        <v>8.25</v>
      </c>
    </row>
    <row r="29" hidden="1">
      <c r="A29" s="510" t="s">
        <v>1672</v>
      </c>
      <c r="B29" s="510" t="s">
        <v>409</v>
      </c>
      <c r="C29" s="511">
        <v>45998.52402777778</v>
      </c>
      <c r="D29" s="510" t="s">
        <v>1435</v>
      </c>
      <c r="E29" s="510" t="b">
        <v>1</v>
      </c>
      <c r="F29" s="510" t="b">
        <v>1</v>
      </c>
      <c r="G29" s="510" t="s">
        <v>1436</v>
      </c>
      <c r="H29" s="510" t="b">
        <v>1</v>
      </c>
      <c r="I29" s="510" t="s">
        <v>1437</v>
      </c>
      <c r="J29" s="510" t="b">
        <v>1</v>
      </c>
      <c r="K29" s="494" t="s">
        <v>410</v>
      </c>
      <c r="L29" s="512" t="s">
        <v>1642</v>
      </c>
      <c r="M29" s="510">
        <v>8.0</v>
      </c>
      <c r="N29" s="510">
        <v>9.0</v>
      </c>
      <c r="O29" s="510">
        <v>7.0</v>
      </c>
      <c r="P29" s="512" t="s">
        <v>1673</v>
      </c>
      <c r="Q29" s="510">
        <v>9.0</v>
      </c>
      <c r="R29" s="510">
        <v>9.0</v>
      </c>
      <c r="S29" s="510">
        <v>8.0</v>
      </c>
      <c r="T29" s="512" t="s">
        <v>1674</v>
      </c>
      <c r="U29" s="510">
        <v>6.0</v>
      </c>
      <c r="V29" s="510">
        <v>6.0</v>
      </c>
      <c r="W29" s="510">
        <v>9.0</v>
      </c>
      <c r="X29" s="512" t="s">
        <v>1675</v>
      </c>
      <c r="Y29" s="510">
        <v>9.0</v>
      </c>
      <c r="Z29" s="510">
        <v>7.0</v>
      </c>
      <c r="AA29" s="510">
        <v>9.0</v>
      </c>
      <c r="AB29" s="512" t="s">
        <v>553</v>
      </c>
      <c r="AC29" s="512" t="s">
        <v>1676</v>
      </c>
      <c r="AD29" s="512" t="s">
        <v>1677</v>
      </c>
      <c r="AE29" s="513"/>
      <c r="AF29" s="12"/>
      <c r="AG29" s="502">
        <f t="shared" si="3"/>
        <v>8</v>
      </c>
    </row>
    <row r="30" hidden="1">
      <c r="A30" s="510" t="s">
        <v>1678</v>
      </c>
      <c r="B30" s="510" t="s">
        <v>1679</v>
      </c>
      <c r="C30" s="511">
        <v>45967.339050925926</v>
      </c>
      <c r="D30" s="510" t="s">
        <v>1435</v>
      </c>
      <c r="E30" s="510" t="b">
        <v>1</v>
      </c>
      <c r="F30" s="510" t="b">
        <v>1</v>
      </c>
      <c r="G30" s="510" t="s">
        <v>1436</v>
      </c>
      <c r="H30" s="510" t="b">
        <v>1</v>
      </c>
      <c r="I30" s="510" t="s">
        <v>1437</v>
      </c>
      <c r="J30" s="510" t="b">
        <v>1</v>
      </c>
      <c r="K30" s="494" t="s">
        <v>401</v>
      </c>
      <c r="L30" s="512" t="s">
        <v>1642</v>
      </c>
      <c r="M30" s="510">
        <v>9.0</v>
      </c>
      <c r="N30" s="510">
        <v>6.0</v>
      </c>
      <c r="O30" s="510">
        <v>7.0</v>
      </c>
      <c r="P30" s="512" t="s">
        <v>1680</v>
      </c>
      <c r="Q30" s="510">
        <v>9.0</v>
      </c>
      <c r="R30" s="510">
        <v>8.0</v>
      </c>
      <c r="S30" s="510">
        <v>9.0</v>
      </c>
      <c r="T30" s="512" t="s">
        <v>1681</v>
      </c>
      <c r="U30" s="510">
        <v>9.0</v>
      </c>
      <c r="V30" s="510">
        <v>8.0</v>
      </c>
      <c r="W30" s="510">
        <v>9.0</v>
      </c>
      <c r="X30" s="512" t="s">
        <v>1682</v>
      </c>
      <c r="Y30" s="510">
        <v>7.0</v>
      </c>
      <c r="Z30" s="510">
        <v>6.0</v>
      </c>
      <c r="AA30" s="510">
        <v>6.0</v>
      </c>
      <c r="AB30" s="512" t="s">
        <v>1683</v>
      </c>
      <c r="AC30" s="512" t="s">
        <v>1684</v>
      </c>
      <c r="AD30" s="512" t="s">
        <v>1685</v>
      </c>
      <c r="AE30" s="18" t="s">
        <v>1686</v>
      </c>
      <c r="AF30" s="12"/>
      <c r="AG30" s="502">
        <f t="shared" si="3"/>
        <v>7.75</v>
      </c>
    </row>
    <row r="31" hidden="1">
      <c r="A31" s="510" t="s">
        <v>1687</v>
      </c>
      <c r="B31" s="510" t="s">
        <v>1688</v>
      </c>
      <c r="C31" s="511">
        <v>45997.66520833333</v>
      </c>
      <c r="D31" s="510" t="s">
        <v>1435</v>
      </c>
      <c r="E31" s="510" t="b">
        <v>1</v>
      </c>
      <c r="F31" s="510" t="b">
        <v>1</v>
      </c>
      <c r="G31" s="510" t="s">
        <v>1436</v>
      </c>
      <c r="H31" s="510" t="b">
        <v>1</v>
      </c>
      <c r="I31" s="510" t="s">
        <v>1437</v>
      </c>
      <c r="J31" s="510" t="b">
        <v>1</v>
      </c>
      <c r="K31" s="494" t="s">
        <v>774</v>
      </c>
      <c r="L31" s="512" t="s">
        <v>1642</v>
      </c>
      <c r="M31" s="510">
        <v>7.0</v>
      </c>
      <c r="N31" s="510">
        <v>8.0</v>
      </c>
      <c r="O31" s="510">
        <v>8.0</v>
      </c>
      <c r="P31" s="512" t="s">
        <v>1689</v>
      </c>
      <c r="Q31" s="510">
        <v>8.0</v>
      </c>
      <c r="R31" s="510">
        <v>8.0</v>
      </c>
      <c r="S31" s="510">
        <v>8.0</v>
      </c>
      <c r="T31" s="512" t="s">
        <v>1690</v>
      </c>
      <c r="U31" s="510">
        <v>6.0</v>
      </c>
      <c r="V31" s="510">
        <v>7.0</v>
      </c>
      <c r="W31" s="510">
        <v>6.0</v>
      </c>
      <c r="X31" s="512" t="s">
        <v>1691</v>
      </c>
      <c r="Y31" s="510">
        <v>7.0</v>
      </c>
      <c r="Z31" s="510">
        <v>8.0</v>
      </c>
      <c r="AA31" s="510">
        <v>8.0</v>
      </c>
      <c r="AB31" s="512" t="s">
        <v>1692</v>
      </c>
      <c r="AC31" s="512" t="s">
        <v>1693</v>
      </c>
      <c r="AD31" s="512" t="s">
        <v>1694</v>
      </c>
      <c r="AE31" s="512" t="s">
        <v>1695</v>
      </c>
      <c r="AF31" s="12"/>
      <c r="AG31" s="502">
        <f t="shared" si="3"/>
        <v>7.416666667</v>
      </c>
    </row>
    <row r="32" hidden="1">
      <c r="A32" s="510" t="s">
        <v>1696</v>
      </c>
      <c r="B32" s="510" t="s">
        <v>1697</v>
      </c>
      <c r="C32" s="511">
        <v>45973.60324074074</v>
      </c>
      <c r="D32" s="510" t="s">
        <v>1435</v>
      </c>
      <c r="E32" s="510" t="b">
        <v>1</v>
      </c>
      <c r="F32" s="510" t="b">
        <v>1</v>
      </c>
      <c r="G32" s="510" t="s">
        <v>1436</v>
      </c>
      <c r="H32" s="510" t="b">
        <v>1</v>
      </c>
      <c r="I32" s="510" t="s">
        <v>1437</v>
      </c>
      <c r="J32" s="510" t="b">
        <v>1</v>
      </c>
      <c r="K32" s="494" t="s">
        <v>1698</v>
      </c>
      <c r="L32" s="512" t="s">
        <v>1642</v>
      </c>
      <c r="M32" s="510">
        <v>7.0</v>
      </c>
      <c r="N32" s="510">
        <v>6.0</v>
      </c>
      <c r="O32" s="510">
        <v>6.0</v>
      </c>
      <c r="P32" s="512" t="s">
        <v>1699</v>
      </c>
      <c r="Q32" s="510">
        <v>6.0</v>
      </c>
      <c r="R32" s="510">
        <v>8.0</v>
      </c>
      <c r="S32" s="510">
        <v>7.0</v>
      </c>
      <c r="T32" s="512" t="s">
        <v>1700</v>
      </c>
      <c r="U32" s="510">
        <v>8.0</v>
      </c>
      <c r="V32" s="510">
        <v>7.0</v>
      </c>
      <c r="W32" s="510">
        <v>9.0</v>
      </c>
      <c r="X32" s="512" t="s">
        <v>1701</v>
      </c>
      <c r="Y32" s="510">
        <v>7.0</v>
      </c>
      <c r="Z32" s="510">
        <v>7.0</v>
      </c>
      <c r="AA32" s="510">
        <v>9.0</v>
      </c>
      <c r="AB32" s="512" t="s">
        <v>1702</v>
      </c>
      <c r="AC32" s="512" t="s">
        <v>1703</v>
      </c>
      <c r="AD32" s="512" t="s">
        <v>1704</v>
      </c>
      <c r="AE32" s="512" t="s">
        <v>1705</v>
      </c>
      <c r="AF32" s="12"/>
      <c r="AG32" s="502">
        <f t="shared" si="3"/>
        <v>7.25</v>
      </c>
    </row>
    <row r="33" hidden="1">
      <c r="A33" s="510" t="s">
        <v>1706</v>
      </c>
      <c r="B33" s="510" t="s">
        <v>1707</v>
      </c>
      <c r="C33" s="511">
        <v>45974.30121527778</v>
      </c>
      <c r="D33" s="510" t="s">
        <v>1435</v>
      </c>
      <c r="E33" s="510" t="b">
        <v>1</v>
      </c>
      <c r="F33" s="510" t="b">
        <v>1</v>
      </c>
      <c r="G33" s="510" t="s">
        <v>1436</v>
      </c>
      <c r="H33" s="510" t="b">
        <v>1</v>
      </c>
      <c r="I33" s="510" t="s">
        <v>1437</v>
      </c>
      <c r="J33" s="510" t="b">
        <v>1</v>
      </c>
      <c r="K33" s="494" t="s">
        <v>1275</v>
      </c>
      <c r="L33" s="512" t="s">
        <v>1642</v>
      </c>
      <c r="M33" s="510">
        <v>7.0</v>
      </c>
      <c r="N33" s="510">
        <v>6.0</v>
      </c>
      <c r="O33" s="510">
        <v>6.0</v>
      </c>
      <c r="P33" s="512" t="s">
        <v>1708</v>
      </c>
      <c r="Q33" s="510">
        <v>7.0</v>
      </c>
      <c r="R33" s="510">
        <v>6.0</v>
      </c>
      <c r="S33" s="510">
        <v>7.0</v>
      </c>
      <c r="T33" s="512" t="s">
        <v>1709</v>
      </c>
      <c r="U33" s="510">
        <v>8.0</v>
      </c>
      <c r="V33" s="510">
        <v>7.0</v>
      </c>
      <c r="W33" s="510">
        <v>8.0</v>
      </c>
      <c r="X33" s="512" t="s">
        <v>1709</v>
      </c>
      <c r="Y33" s="510">
        <v>7.0</v>
      </c>
      <c r="Z33" s="510">
        <v>6.0</v>
      </c>
      <c r="AA33" s="510">
        <v>9.0</v>
      </c>
      <c r="AB33" s="512" t="s">
        <v>1709</v>
      </c>
      <c r="AC33" s="512" t="s">
        <v>1710</v>
      </c>
      <c r="AD33" s="512" t="s">
        <v>1711</v>
      </c>
      <c r="AE33" s="512" t="s">
        <v>1712</v>
      </c>
      <c r="AF33" s="12"/>
      <c r="AG33" s="502">
        <f t="shared" si="3"/>
        <v>7</v>
      </c>
    </row>
    <row r="34" hidden="1">
      <c r="A34" s="510" t="s">
        <v>1713</v>
      </c>
      <c r="B34" s="510" t="s">
        <v>1714</v>
      </c>
      <c r="C34" s="511">
        <v>45998.85574074074</v>
      </c>
      <c r="D34" s="510" t="s">
        <v>1435</v>
      </c>
      <c r="E34" s="510" t="b">
        <v>1</v>
      </c>
      <c r="F34" s="510" t="b">
        <v>1</v>
      </c>
      <c r="G34" s="510" t="s">
        <v>1436</v>
      </c>
      <c r="H34" s="510" t="b">
        <v>1</v>
      </c>
      <c r="I34" s="510" t="s">
        <v>1437</v>
      </c>
      <c r="J34" s="510" t="b">
        <v>1</v>
      </c>
      <c r="K34" s="494" t="s">
        <v>1715</v>
      </c>
      <c r="L34" s="512" t="s">
        <v>1642</v>
      </c>
      <c r="M34" s="510">
        <v>7.0</v>
      </c>
      <c r="N34" s="510">
        <v>7.0</v>
      </c>
      <c r="O34" s="510">
        <v>6.0</v>
      </c>
      <c r="P34" s="512" t="s">
        <v>1716</v>
      </c>
      <c r="Q34" s="510">
        <v>6.0</v>
      </c>
      <c r="R34" s="510">
        <v>8.0</v>
      </c>
      <c r="S34" s="510">
        <v>8.0</v>
      </c>
      <c r="T34" s="512" t="s">
        <v>1717</v>
      </c>
      <c r="U34" s="510">
        <v>7.0</v>
      </c>
      <c r="V34" s="510">
        <v>6.0</v>
      </c>
      <c r="W34" s="510">
        <v>8.0</v>
      </c>
      <c r="X34" s="512" t="s">
        <v>1718</v>
      </c>
      <c r="Y34" s="510">
        <v>7.0</v>
      </c>
      <c r="Z34" s="510">
        <v>7.0</v>
      </c>
      <c r="AA34" s="510">
        <v>7.0</v>
      </c>
      <c r="AB34" s="512" t="s">
        <v>1719</v>
      </c>
      <c r="AC34" s="512" t="s">
        <v>1720</v>
      </c>
      <c r="AD34" s="512" t="s">
        <v>1721</v>
      </c>
      <c r="AE34" s="512" t="s">
        <v>1722</v>
      </c>
      <c r="AF34" s="12"/>
      <c r="AG34" s="502">
        <f t="shared" si="3"/>
        <v>7</v>
      </c>
    </row>
    <row r="35" hidden="1">
      <c r="A35" s="510" t="s">
        <v>1723</v>
      </c>
      <c r="B35" s="510" t="s">
        <v>1724</v>
      </c>
      <c r="C35" s="511">
        <v>45997.63710648148</v>
      </c>
      <c r="D35" s="510" t="s">
        <v>1435</v>
      </c>
      <c r="E35" s="510" t="b">
        <v>1</v>
      </c>
      <c r="F35" s="510" t="b">
        <v>1</v>
      </c>
      <c r="G35" s="510" t="s">
        <v>1436</v>
      </c>
      <c r="H35" s="510" t="b">
        <v>1</v>
      </c>
      <c r="I35" s="510" t="s">
        <v>1437</v>
      </c>
      <c r="J35" s="510" t="b">
        <v>1</v>
      </c>
      <c r="K35" s="494" t="s">
        <v>1725</v>
      </c>
      <c r="L35" s="512" t="s">
        <v>1642</v>
      </c>
      <c r="M35" s="510">
        <v>7.0</v>
      </c>
      <c r="N35" s="510">
        <v>7.0</v>
      </c>
      <c r="O35" s="510">
        <v>7.0</v>
      </c>
      <c r="P35" s="512" t="s">
        <v>1726</v>
      </c>
      <c r="Q35" s="510">
        <v>7.0</v>
      </c>
      <c r="R35" s="510">
        <v>5.0</v>
      </c>
      <c r="S35" s="510">
        <v>7.0</v>
      </c>
      <c r="T35" s="512" t="s">
        <v>1727</v>
      </c>
      <c r="U35" s="510">
        <v>4.0</v>
      </c>
      <c r="V35" s="510">
        <v>6.0</v>
      </c>
      <c r="W35" s="510">
        <v>6.0</v>
      </c>
      <c r="X35" s="512" t="s">
        <v>1728</v>
      </c>
      <c r="Y35" s="510">
        <v>6.0</v>
      </c>
      <c r="Z35" s="510">
        <v>6.0</v>
      </c>
      <c r="AA35" s="510">
        <v>6.0</v>
      </c>
      <c r="AB35" s="512" t="s">
        <v>1729</v>
      </c>
      <c r="AC35" s="512" t="s">
        <v>1730</v>
      </c>
      <c r="AD35" s="512" t="s">
        <v>1731</v>
      </c>
      <c r="AE35" s="501"/>
      <c r="AF35" s="12"/>
      <c r="AG35" s="502">
        <f t="shared" si="3"/>
        <v>6.166666667</v>
      </c>
    </row>
    <row r="36" hidden="1">
      <c r="A36" s="514" t="s">
        <v>1732</v>
      </c>
      <c r="B36" s="513" t="s">
        <v>41</v>
      </c>
      <c r="C36" s="515">
        <v>46005.45155092593</v>
      </c>
      <c r="D36" s="513" t="s">
        <v>1435</v>
      </c>
      <c r="E36" s="513" t="b">
        <v>1</v>
      </c>
      <c r="F36" s="513" t="b">
        <v>1</v>
      </c>
      <c r="G36" s="513" t="s">
        <v>1436</v>
      </c>
      <c r="H36" s="513" t="b">
        <v>1</v>
      </c>
      <c r="I36" s="513" t="s">
        <v>1437</v>
      </c>
      <c r="J36" s="513" t="b">
        <v>1</v>
      </c>
      <c r="K36" s="513" t="s">
        <v>42</v>
      </c>
      <c r="L36" s="513" t="s">
        <v>241</v>
      </c>
      <c r="M36" s="513">
        <v>6.0</v>
      </c>
      <c r="N36" s="513">
        <v>3.0</v>
      </c>
      <c r="O36" s="516">
        <v>8.0</v>
      </c>
      <c r="P36" s="513" t="s">
        <v>1733</v>
      </c>
      <c r="Q36" s="513">
        <v>4.0</v>
      </c>
      <c r="R36" s="516">
        <v>7.0</v>
      </c>
      <c r="S36" s="513">
        <v>2.0</v>
      </c>
      <c r="T36" s="513" t="s">
        <v>1734</v>
      </c>
      <c r="U36" s="513">
        <v>5.0</v>
      </c>
      <c r="V36" s="513">
        <v>5.0</v>
      </c>
      <c r="W36" s="516">
        <v>7.0</v>
      </c>
      <c r="X36" s="513" t="s">
        <v>1735</v>
      </c>
      <c r="Y36" s="513">
        <v>4.0</v>
      </c>
      <c r="Z36" s="513">
        <v>7.0</v>
      </c>
      <c r="AA36" s="516">
        <v>8.0</v>
      </c>
      <c r="AB36" s="513" t="s">
        <v>1736</v>
      </c>
      <c r="AC36" s="513" t="s">
        <v>1737</v>
      </c>
      <c r="AD36" s="513" t="s">
        <v>1738</v>
      </c>
      <c r="AE36" s="513"/>
      <c r="AF36" s="501"/>
      <c r="AG36" s="502">
        <f t="shared" si="3"/>
        <v>5.5</v>
      </c>
    </row>
    <row r="37" hidden="1">
      <c r="A37" s="510" t="s">
        <v>1739</v>
      </c>
      <c r="B37" s="510" t="s">
        <v>1740</v>
      </c>
      <c r="C37" s="511">
        <v>45966.37824074074</v>
      </c>
      <c r="D37" s="510" t="s">
        <v>1435</v>
      </c>
      <c r="E37" s="510" t="b">
        <v>1</v>
      </c>
      <c r="F37" s="510" t="b">
        <v>1</v>
      </c>
      <c r="G37" s="510" t="s">
        <v>1436</v>
      </c>
      <c r="H37" s="510" t="b">
        <v>1</v>
      </c>
      <c r="I37" s="510" t="s">
        <v>1437</v>
      </c>
      <c r="J37" s="510" t="b">
        <v>1</v>
      </c>
      <c r="K37" s="494" t="s">
        <v>1741</v>
      </c>
      <c r="L37" s="512" t="s">
        <v>241</v>
      </c>
      <c r="M37" s="510">
        <v>7.0</v>
      </c>
      <c r="N37" s="510">
        <v>6.0</v>
      </c>
      <c r="O37" s="510">
        <v>9.0</v>
      </c>
      <c r="P37" s="512" t="s">
        <v>1742</v>
      </c>
      <c r="Q37" s="510">
        <v>7.0</v>
      </c>
      <c r="R37" s="510">
        <v>6.0</v>
      </c>
      <c r="S37" s="510">
        <v>7.0</v>
      </c>
      <c r="T37" s="512" t="s">
        <v>1743</v>
      </c>
      <c r="U37" s="510">
        <v>7.0</v>
      </c>
      <c r="V37" s="510">
        <v>9.0</v>
      </c>
      <c r="W37" s="510">
        <v>8.0</v>
      </c>
      <c r="X37" s="512" t="s">
        <v>1743</v>
      </c>
      <c r="Y37" s="510">
        <v>7.0</v>
      </c>
      <c r="Z37" s="510">
        <v>7.0</v>
      </c>
      <c r="AA37" s="510">
        <v>7.0</v>
      </c>
      <c r="AB37" s="512" t="s">
        <v>1744</v>
      </c>
      <c r="AC37" s="512" t="s">
        <v>1745</v>
      </c>
      <c r="AD37" s="512" t="s">
        <v>1746</v>
      </c>
      <c r="AE37" s="512" t="s">
        <v>1747</v>
      </c>
      <c r="AF37" s="12"/>
      <c r="AG37" s="502">
        <f t="shared" si="3"/>
        <v>7.25</v>
      </c>
    </row>
    <row r="38" hidden="1">
      <c r="A38" s="510" t="s">
        <v>1748</v>
      </c>
      <c r="B38" s="510" t="s">
        <v>1749</v>
      </c>
      <c r="C38" s="511">
        <v>45998.40201388889</v>
      </c>
      <c r="D38" s="510" t="s">
        <v>1435</v>
      </c>
      <c r="E38" s="510" t="b">
        <v>1</v>
      </c>
      <c r="F38" s="510" t="b">
        <v>1</v>
      </c>
      <c r="G38" s="510" t="s">
        <v>1436</v>
      </c>
      <c r="H38" s="510" t="b">
        <v>1</v>
      </c>
      <c r="I38" s="510" t="s">
        <v>1437</v>
      </c>
      <c r="J38" s="510" t="b">
        <v>1</v>
      </c>
      <c r="K38" s="494" t="s">
        <v>1750</v>
      </c>
      <c r="L38" s="512" t="s">
        <v>241</v>
      </c>
      <c r="M38" s="510">
        <v>7.0</v>
      </c>
      <c r="N38" s="510">
        <v>6.0</v>
      </c>
      <c r="O38" s="510">
        <v>9.0</v>
      </c>
      <c r="P38" s="512" t="s">
        <v>1751</v>
      </c>
      <c r="Q38" s="510">
        <v>5.0</v>
      </c>
      <c r="R38" s="510">
        <v>9.0</v>
      </c>
      <c r="S38" s="510">
        <v>9.0</v>
      </c>
      <c r="T38" s="512" t="s">
        <v>1752</v>
      </c>
      <c r="U38" s="510">
        <v>8.0</v>
      </c>
      <c r="V38" s="510">
        <v>8.0</v>
      </c>
      <c r="W38" s="510">
        <v>6.0</v>
      </c>
      <c r="X38" s="512" t="s">
        <v>1753</v>
      </c>
      <c r="Y38" s="510">
        <v>8.0</v>
      </c>
      <c r="Z38" s="510">
        <v>6.0</v>
      </c>
      <c r="AA38" s="510">
        <v>5.0</v>
      </c>
      <c r="AB38" s="512" t="s">
        <v>1754</v>
      </c>
      <c r="AC38" s="512" t="s">
        <v>1755</v>
      </c>
      <c r="AD38" s="512" t="s">
        <v>1756</v>
      </c>
      <c r="AE38" s="18" t="s">
        <v>65</v>
      </c>
      <c r="AF38" s="12"/>
      <c r="AG38" s="502">
        <f t="shared" si="3"/>
        <v>7.166666667</v>
      </c>
    </row>
    <row r="39" hidden="1">
      <c r="A39" s="510" t="s">
        <v>1757</v>
      </c>
      <c r="B39" s="510" t="s">
        <v>1758</v>
      </c>
      <c r="C39" s="511">
        <v>45997.774733796294</v>
      </c>
      <c r="D39" s="510" t="s">
        <v>1435</v>
      </c>
      <c r="E39" s="510" t="b">
        <v>1</v>
      </c>
      <c r="F39" s="510" t="b">
        <v>1</v>
      </c>
      <c r="G39" s="510" t="s">
        <v>1436</v>
      </c>
      <c r="H39" s="510" t="b">
        <v>1</v>
      </c>
      <c r="I39" s="510" t="s">
        <v>1437</v>
      </c>
      <c r="J39" s="510" t="b">
        <v>1</v>
      </c>
      <c r="K39" s="494" t="s">
        <v>91</v>
      </c>
      <c r="L39" s="512" t="s">
        <v>241</v>
      </c>
      <c r="M39" s="510">
        <v>6.0</v>
      </c>
      <c r="N39" s="510">
        <v>4.0</v>
      </c>
      <c r="O39" s="510">
        <v>8.0</v>
      </c>
      <c r="P39" s="512" t="s">
        <v>1759</v>
      </c>
      <c r="Q39" s="510">
        <v>9.0</v>
      </c>
      <c r="R39" s="510">
        <v>9.0</v>
      </c>
      <c r="S39" s="510">
        <v>7.0</v>
      </c>
      <c r="T39" s="512" t="s">
        <v>1760</v>
      </c>
      <c r="U39" s="510">
        <v>6.0</v>
      </c>
      <c r="V39" s="510">
        <v>6.0</v>
      </c>
      <c r="W39" s="510">
        <v>6.0</v>
      </c>
      <c r="X39" s="512" t="s">
        <v>1761</v>
      </c>
      <c r="Y39" s="510">
        <v>6.0</v>
      </c>
      <c r="Z39" s="510">
        <v>6.0</v>
      </c>
      <c r="AA39" s="510">
        <v>9.0</v>
      </c>
      <c r="AB39" s="512" t="s">
        <v>1762</v>
      </c>
      <c r="AC39" s="512" t="s">
        <v>1763</v>
      </c>
      <c r="AD39" s="512" t="s">
        <v>1764</v>
      </c>
      <c r="AE39" s="513"/>
      <c r="AF39" s="12"/>
      <c r="AG39" s="502">
        <f t="shared" si="3"/>
        <v>6.833333333</v>
      </c>
    </row>
    <row r="40" hidden="1">
      <c r="A40" s="510" t="s">
        <v>1765</v>
      </c>
      <c r="B40" s="510" t="s">
        <v>1766</v>
      </c>
      <c r="C40" s="511">
        <v>45998.631064814814</v>
      </c>
      <c r="D40" s="510" t="s">
        <v>1435</v>
      </c>
      <c r="E40" s="510" t="b">
        <v>1</v>
      </c>
      <c r="F40" s="510" t="b">
        <v>1</v>
      </c>
      <c r="G40" s="510" t="s">
        <v>1436</v>
      </c>
      <c r="H40" s="510" t="b">
        <v>1</v>
      </c>
      <c r="I40" s="510" t="s">
        <v>1437</v>
      </c>
      <c r="J40" s="510" t="b">
        <v>1</v>
      </c>
      <c r="K40" s="494" t="s">
        <v>1767</v>
      </c>
      <c r="L40" s="512" t="s">
        <v>774</v>
      </c>
      <c r="M40" s="510">
        <v>9.0</v>
      </c>
      <c r="N40" s="510">
        <v>6.0</v>
      </c>
      <c r="O40" s="510">
        <v>7.0</v>
      </c>
      <c r="P40" s="512" t="s">
        <v>1768</v>
      </c>
      <c r="Q40" s="510">
        <v>9.0</v>
      </c>
      <c r="R40" s="510">
        <v>6.0</v>
      </c>
      <c r="S40" s="510">
        <v>6.0</v>
      </c>
      <c r="T40" s="512" t="s">
        <v>1769</v>
      </c>
      <c r="U40" s="510">
        <v>9.0</v>
      </c>
      <c r="V40" s="510">
        <v>9.0</v>
      </c>
      <c r="W40" s="510">
        <v>6.0</v>
      </c>
      <c r="X40" s="512" t="s">
        <v>1770</v>
      </c>
      <c r="Y40" s="510">
        <v>9.0</v>
      </c>
      <c r="Z40" s="510">
        <v>5.0</v>
      </c>
      <c r="AA40" s="510">
        <v>9.0</v>
      </c>
      <c r="AB40" s="512" t="s">
        <v>1771</v>
      </c>
      <c r="AC40" s="512" t="s">
        <v>1772</v>
      </c>
      <c r="AD40" s="512" t="s">
        <v>1773</v>
      </c>
      <c r="AE40" s="513"/>
      <c r="AF40" s="12"/>
      <c r="AG40" s="502">
        <f t="shared" si="3"/>
        <v>7.5</v>
      </c>
    </row>
    <row r="41" hidden="1">
      <c r="A41" s="517" t="s">
        <v>1774</v>
      </c>
      <c r="B41" s="518" t="s">
        <v>964</v>
      </c>
      <c r="C41" s="519">
        <v>46012.44751157407</v>
      </c>
      <c r="D41" s="520" t="s">
        <v>1435</v>
      </c>
      <c r="E41" s="518" t="b">
        <v>1</v>
      </c>
      <c r="F41" s="518" t="b">
        <v>1</v>
      </c>
      <c r="G41" s="520" t="s">
        <v>1436</v>
      </c>
      <c r="H41" s="518" t="b">
        <v>1</v>
      </c>
      <c r="I41" s="520" t="s">
        <v>1437</v>
      </c>
      <c r="J41" s="518" t="b">
        <v>1</v>
      </c>
      <c r="K41" s="521" t="s">
        <v>1095</v>
      </c>
      <c r="L41" s="520" t="s">
        <v>717</v>
      </c>
      <c r="M41" s="518">
        <v>9.0</v>
      </c>
      <c r="N41" s="518">
        <v>7.0</v>
      </c>
      <c r="O41" s="518">
        <v>7.0</v>
      </c>
      <c r="P41" s="520" t="s">
        <v>1775</v>
      </c>
      <c r="Q41" s="518">
        <v>9.0</v>
      </c>
      <c r="R41" s="518">
        <v>9.0</v>
      </c>
      <c r="S41" s="518">
        <v>8.0</v>
      </c>
      <c r="T41" s="520" t="s">
        <v>1776</v>
      </c>
      <c r="U41" s="518">
        <v>8.0</v>
      </c>
      <c r="V41" s="518">
        <v>8.0</v>
      </c>
      <c r="W41" s="518">
        <v>8.0</v>
      </c>
      <c r="X41" s="520" t="s">
        <v>1777</v>
      </c>
      <c r="Y41" s="518">
        <v>8.0</v>
      </c>
      <c r="Z41" s="518">
        <v>6.0</v>
      </c>
      <c r="AA41" s="518">
        <v>7.0</v>
      </c>
      <c r="AB41" s="520" t="s">
        <v>1778</v>
      </c>
      <c r="AC41" s="520" t="s">
        <v>1779</v>
      </c>
      <c r="AD41" s="520" t="s">
        <v>1780</v>
      </c>
      <c r="AE41" s="513"/>
      <c r="AF41" s="501"/>
      <c r="AG41" s="502">
        <f t="shared" si="3"/>
        <v>7.833333333</v>
      </c>
    </row>
    <row r="42" hidden="1">
      <c r="A42" s="517" t="s">
        <v>1781</v>
      </c>
      <c r="B42" s="518" t="s">
        <v>1306</v>
      </c>
      <c r="C42" s="519">
        <v>46015.59474537037</v>
      </c>
      <c r="D42" s="520" t="s">
        <v>1435</v>
      </c>
      <c r="E42" s="518" t="b">
        <v>1</v>
      </c>
      <c r="F42" s="518" t="b">
        <v>1</v>
      </c>
      <c r="G42" s="520" t="s">
        <v>1436</v>
      </c>
      <c r="H42" s="518" t="b">
        <v>1</v>
      </c>
      <c r="I42" s="520" t="s">
        <v>1437</v>
      </c>
      <c r="J42" s="518" t="b">
        <v>1</v>
      </c>
      <c r="K42" s="521" t="s">
        <v>722</v>
      </c>
      <c r="L42" s="520" t="s">
        <v>717</v>
      </c>
      <c r="M42" s="518">
        <v>8.0</v>
      </c>
      <c r="N42" s="518">
        <v>7.0</v>
      </c>
      <c r="O42" s="518">
        <v>2.0</v>
      </c>
      <c r="P42" s="520" t="s">
        <v>1782</v>
      </c>
      <c r="Q42" s="518">
        <v>8.0</v>
      </c>
      <c r="R42" s="518">
        <v>9.0</v>
      </c>
      <c r="S42" s="518">
        <v>6.0</v>
      </c>
      <c r="T42" s="520" t="s">
        <v>1783</v>
      </c>
      <c r="U42" s="518">
        <v>7.0</v>
      </c>
      <c r="V42" s="518">
        <v>7.0</v>
      </c>
      <c r="W42" s="518">
        <v>8.0</v>
      </c>
      <c r="X42" s="520" t="s">
        <v>1784</v>
      </c>
      <c r="Y42" s="518">
        <v>8.0</v>
      </c>
      <c r="Z42" s="518">
        <v>5.0</v>
      </c>
      <c r="AA42" s="518">
        <v>7.0</v>
      </c>
      <c r="AB42" s="520" t="s">
        <v>1785</v>
      </c>
      <c r="AC42" s="520" t="s">
        <v>1786</v>
      </c>
      <c r="AD42" s="520" t="s">
        <v>1787</v>
      </c>
      <c r="AE42" s="513"/>
      <c r="AF42" s="501"/>
      <c r="AG42" s="502">
        <f t="shared" si="3"/>
        <v>6.833333333</v>
      </c>
    </row>
    <row r="43" hidden="1">
      <c r="A43" s="510" t="s">
        <v>1788</v>
      </c>
      <c r="B43" s="510" t="s">
        <v>557</v>
      </c>
      <c r="C43" s="511">
        <v>45970.30912037037</v>
      </c>
      <c r="D43" s="510" t="s">
        <v>1435</v>
      </c>
      <c r="E43" s="510" t="b">
        <v>1</v>
      </c>
      <c r="F43" s="510" t="b">
        <v>1</v>
      </c>
      <c r="G43" s="510" t="s">
        <v>1436</v>
      </c>
      <c r="H43" s="510" t="b">
        <v>1</v>
      </c>
      <c r="I43" s="510" t="s">
        <v>1437</v>
      </c>
      <c r="J43" s="510" t="b">
        <v>1</v>
      </c>
      <c r="K43" s="494" t="s">
        <v>558</v>
      </c>
      <c r="L43" s="512" t="s">
        <v>717</v>
      </c>
      <c r="M43" s="510">
        <v>8.0</v>
      </c>
      <c r="N43" s="510">
        <v>6.0</v>
      </c>
      <c r="O43" s="510">
        <v>4.0</v>
      </c>
      <c r="P43" s="512" t="s">
        <v>1789</v>
      </c>
      <c r="Q43" s="510">
        <v>6.0</v>
      </c>
      <c r="R43" s="510">
        <v>9.0</v>
      </c>
      <c r="S43" s="510">
        <v>8.0</v>
      </c>
      <c r="T43" s="512" t="s">
        <v>1790</v>
      </c>
      <c r="U43" s="510">
        <v>7.0</v>
      </c>
      <c r="V43" s="510">
        <v>6.0</v>
      </c>
      <c r="W43" s="510">
        <v>7.0</v>
      </c>
      <c r="X43" s="512" t="s">
        <v>1791</v>
      </c>
      <c r="Y43" s="510">
        <v>7.0</v>
      </c>
      <c r="Z43" s="510">
        <v>5.0</v>
      </c>
      <c r="AA43" s="510">
        <v>6.0</v>
      </c>
      <c r="AB43" s="512" t="s">
        <v>1792</v>
      </c>
      <c r="AC43" s="512" t="s">
        <v>1793</v>
      </c>
      <c r="AD43" s="512" t="s">
        <v>1794</v>
      </c>
      <c r="AE43" s="513"/>
      <c r="AF43" s="12"/>
      <c r="AG43" s="502">
        <f t="shared" si="3"/>
        <v>6.583333333</v>
      </c>
    </row>
    <row r="44" hidden="1">
      <c r="A44" s="510" t="s">
        <v>1795</v>
      </c>
      <c r="B44" s="510" t="s">
        <v>1796</v>
      </c>
      <c r="C44" s="511">
        <v>45998.518541666665</v>
      </c>
      <c r="D44" s="510" t="s">
        <v>1435</v>
      </c>
      <c r="E44" s="510" t="b">
        <v>1</v>
      </c>
      <c r="F44" s="510" t="b">
        <v>1</v>
      </c>
      <c r="G44" s="510" t="s">
        <v>1436</v>
      </c>
      <c r="H44" s="510" t="b">
        <v>1</v>
      </c>
      <c r="I44" s="510" t="s">
        <v>1437</v>
      </c>
      <c r="J44" s="510" t="b">
        <v>1</v>
      </c>
      <c r="K44" s="494" t="s">
        <v>1797</v>
      </c>
      <c r="L44" s="512" t="s">
        <v>918</v>
      </c>
      <c r="M44" s="510">
        <v>9.0</v>
      </c>
      <c r="N44" s="510">
        <v>9.0</v>
      </c>
      <c r="O44" s="510">
        <v>9.0</v>
      </c>
      <c r="P44" s="512" t="s">
        <v>1798</v>
      </c>
      <c r="Q44" s="510">
        <v>9.0</v>
      </c>
      <c r="R44" s="510">
        <v>9.0</v>
      </c>
      <c r="S44" s="510">
        <v>9.0</v>
      </c>
      <c r="T44" s="512" t="s">
        <v>1799</v>
      </c>
      <c r="U44" s="510">
        <v>9.0</v>
      </c>
      <c r="V44" s="510">
        <v>9.0</v>
      </c>
      <c r="W44" s="510">
        <v>9.0</v>
      </c>
      <c r="X44" s="512" t="s">
        <v>1800</v>
      </c>
      <c r="Y44" s="510">
        <v>9.0</v>
      </c>
      <c r="Z44" s="510">
        <v>9.0</v>
      </c>
      <c r="AA44" s="510">
        <v>9.0</v>
      </c>
      <c r="AB44" s="512" t="s">
        <v>1801</v>
      </c>
      <c r="AC44" s="512" t="s">
        <v>1802</v>
      </c>
      <c r="AD44" s="512" t="s">
        <v>1803</v>
      </c>
      <c r="AE44" s="18" t="s">
        <v>1804</v>
      </c>
      <c r="AF44" s="12"/>
      <c r="AG44" s="502">
        <f t="shared" si="3"/>
        <v>9</v>
      </c>
    </row>
    <row r="45" hidden="1">
      <c r="A45" s="510" t="s">
        <v>1805</v>
      </c>
      <c r="B45" s="510" t="s">
        <v>1806</v>
      </c>
      <c r="C45" s="511">
        <v>45997.62275462963</v>
      </c>
      <c r="D45" s="510" t="s">
        <v>1807</v>
      </c>
      <c r="E45" s="510" t="b">
        <v>1</v>
      </c>
      <c r="F45" s="510" t="b">
        <v>0</v>
      </c>
      <c r="G45" s="510" t="s">
        <v>1436</v>
      </c>
      <c r="H45" s="510" t="b">
        <v>1</v>
      </c>
      <c r="I45" s="510" t="s">
        <v>1437</v>
      </c>
      <c r="J45" s="510" t="b">
        <v>1</v>
      </c>
      <c r="K45" s="494" t="s">
        <v>1808</v>
      </c>
      <c r="L45" s="512" t="s">
        <v>918</v>
      </c>
      <c r="M45" s="510">
        <v>7.0</v>
      </c>
      <c r="N45" s="510">
        <v>9.0</v>
      </c>
      <c r="O45" s="510">
        <v>9.0</v>
      </c>
      <c r="P45" s="512" t="s">
        <v>1809</v>
      </c>
      <c r="Q45" s="510">
        <v>9.0</v>
      </c>
      <c r="R45" s="510">
        <v>9.0</v>
      </c>
      <c r="S45" s="510">
        <v>9.0</v>
      </c>
      <c r="T45" s="512" t="s">
        <v>1810</v>
      </c>
      <c r="U45" s="510">
        <v>9.0</v>
      </c>
      <c r="V45" s="510">
        <v>9.0</v>
      </c>
      <c r="W45" s="510">
        <v>7.0</v>
      </c>
      <c r="X45" s="512" t="s">
        <v>553</v>
      </c>
      <c r="Y45" s="510">
        <v>9.0</v>
      </c>
      <c r="Z45" s="510">
        <v>6.0</v>
      </c>
      <c r="AA45" s="510">
        <v>9.0</v>
      </c>
      <c r="AB45" s="512" t="s">
        <v>1811</v>
      </c>
      <c r="AC45" s="512" t="s">
        <v>1812</v>
      </c>
      <c r="AD45" s="512" t="s">
        <v>553</v>
      </c>
      <c r="AE45" s="512" t="s">
        <v>1813</v>
      </c>
      <c r="AF45" s="12"/>
      <c r="AG45" s="502">
        <f t="shared" si="3"/>
        <v>8.416666667</v>
      </c>
    </row>
    <row r="46" hidden="1">
      <c r="A46" s="510" t="s">
        <v>1814</v>
      </c>
      <c r="B46" s="510" t="s">
        <v>1815</v>
      </c>
      <c r="C46" s="511">
        <v>45976.911875</v>
      </c>
      <c r="D46" s="510" t="s">
        <v>1435</v>
      </c>
      <c r="E46" s="510" t="b">
        <v>1</v>
      </c>
      <c r="F46" s="510" t="b">
        <v>1</v>
      </c>
      <c r="G46" s="510" t="s">
        <v>1436</v>
      </c>
      <c r="H46" s="510" t="b">
        <v>1</v>
      </c>
      <c r="I46" s="510" t="s">
        <v>1437</v>
      </c>
      <c r="J46" s="510" t="b">
        <v>1</v>
      </c>
      <c r="K46" s="494" t="s">
        <v>1816</v>
      </c>
      <c r="L46" s="512" t="s">
        <v>918</v>
      </c>
      <c r="M46" s="510">
        <v>8.0</v>
      </c>
      <c r="N46" s="510">
        <v>8.0</v>
      </c>
      <c r="O46" s="510">
        <v>8.0</v>
      </c>
      <c r="P46" s="512" t="s">
        <v>1817</v>
      </c>
      <c r="Q46" s="510">
        <v>8.0</v>
      </c>
      <c r="R46" s="510">
        <v>8.0</v>
      </c>
      <c r="S46" s="510">
        <v>8.0</v>
      </c>
      <c r="T46" s="512" t="s">
        <v>1818</v>
      </c>
      <c r="U46" s="510">
        <v>8.0</v>
      </c>
      <c r="V46" s="510">
        <v>8.0</v>
      </c>
      <c r="W46" s="510">
        <v>8.0</v>
      </c>
      <c r="X46" s="512" t="s">
        <v>1819</v>
      </c>
      <c r="Y46" s="510">
        <v>8.0</v>
      </c>
      <c r="Z46" s="510">
        <v>8.0</v>
      </c>
      <c r="AA46" s="510">
        <v>8.0</v>
      </c>
      <c r="AB46" s="512" t="s">
        <v>1820</v>
      </c>
      <c r="AC46" s="512" t="s">
        <v>1821</v>
      </c>
      <c r="AD46" s="512" t="s">
        <v>1822</v>
      </c>
      <c r="AE46" s="18" t="s">
        <v>1823</v>
      </c>
      <c r="AF46" s="12"/>
      <c r="AG46" s="502">
        <f t="shared" si="3"/>
        <v>8</v>
      </c>
    </row>
    <row r="47" hidden="1">
      <c r="A47" s="510" t="s">
        <v>1824</v>
      </c>
      <c r="B47" s="510" t="s">
        <v>1825</v>
      </c>
      <c r="C47" s="511">
        <v>45999.34520833333</v>
      </c>
      <c r="D47" s="510" t="s">
        <v>1435</v>
      </c>
      <c r="E47" s="510" t="b">
        <v>1</v>
      </c>
      <c r="F47" s="510" t="b">
        <v>1</v>
      </c>
      <c r="G47" s="510" t="s">
        <v>1436</v>
      </c>
      <c r="H47" s="510" t="b">
        <v>1</v>
      </c>
      <c r="I47" s="510" t="s">
        <v>1437</v>
      </c>
      <c r="J47" s="510" t="b">
        <v>1</v>
      </c>
      <c r="K47" s="494" t="s">
        <v>1826</v>
      </c>
      <c r="L47" s="512" t="s">
        <v>918</v>
      </c>
      <c r="M47" s="510">
        <v>8.0</v>
      </c>
      <c r="N47" s="510">
        <v>8.0</v>
      </c>
      <c r="O47" s="510">
        <v>8.0</v>
      </c>
      <c r="P47" s="512" t="s">
        <v>1827</v>
      </c>
      <c r="Q47" s="510">
        <v>8.0</v>
      </c>
      <c r="R47" s="510">
        <v>9.0</v>
      </c>
      <c r="S47" s="510">
        <v>7.0</v>
      </c>
      <c r="T47" s="512" t="s">
        <v>1828</v>
      </c>
      <c r="U47" s="510">
        <v>8.0</v>
      </c>
      <c r="V47" s="510">
        <v>8.0</v>
      </c>
      <c r="W47" s="510">
        <v>8.0</v>
      </c>
      <c r="X47" s="512" t="s">
        <v>1829</v>
      </c>
      <c r="Y47" s="510">
        <v>8.0</v>
      </c>
      <c r="Z47" s="510">
        <v>7.0</v>
      </c>
      <c r="AA47" s="510">
        <v>8.0</v>
      </c>
      <c r="AB47" s="512" t="s">
        <v>1830</v>
      </c>
      <c r="AC47" s="512" t="s">
        <v>1831</v>
      </c>
      <c r="AD47" s="512" t="s">
        <v>1832</v>
      </c>
      <c r="AE47" s="501"/>
      <c r="AF47" s="12"/>
      <c r="AG47" s="502">
        <f t="shared" si="3"/>
        <v>7.916666667</v>
      </c>
    </row>
    <row r="48" hidden="1">
      <c r="A48" s="510" t="s">
        <v>1833</v>
      </c>
      <c r="B48" s="510" t="s">
        <v>1834</v>
      </c>
      <c r="C48" s="511">
        <v>45970.50678240741</v>
      </c>
      <c r="D48" s="510" t="s">
        <v>1435</v>
      </c>
      <c r="E48" s="510" t="b">
        <v>1</v>
      </c>
      <c r="F48" s="510" t="b">
        <v>1</v>
      </c>
      <c r="G48" s="510" t="s">
        <v>1436</v>
      </c>
      <c r="H48" s="510" t="b">
        <v>1</v>
      </c>
      <c r="I48" s="510" t="s">
        <v>1437</v>
      </c>
      <c r="J48" s="510" t="b">
        <v>1</v>
      </c>
      <c r="K48" s="494" t="s">
        <v>1835</v>
      </c>
      <c r="L48" s="512" t="s">
        <v>918</v>
      </c>
      <c r="M48" s="510">
        <v>6.0</v>
      </c>
      <c r="N48" s="510">
        <v>4.0</v>
      </c>
      <c r="O48" s="510">
        <v>8.0</v>
      </c>
      <c r="P48" s="512" t="s">
        <v>1836</v>
      </c>
      <c r="Q48" s="510">
        <v>9.0</v>
      </c>
      <c r="R48" s="510">
        <v>9.0</v>
      </c>
      <c r="S48" s="510">
        <v>7.0</v>
      </c>
      <c r="T48" s="512" t="s">
        <v>1837</v>
      </c>
      <c r="U48" s="510">
        <v>9.0</v>
      </c>
      <c r="V48" s="510">
        <v>9.0</v>
      </c>
      <c r="W48" s="510">
        <v>5.0</v>
      </c>
      <c r="X48" s="512" t="s">
        <v>1838</v>
      </c>
      <c r="Y48" s="510">
        <v>9.0</v>
      </c>
      <c r="Z48" s="510">
        <v>3.0</v>
      </c>
      <c r="AA48" s="510">
        <v>7.0</v>
      </c>
      <c r="AB48" s="512" t="s">
        <v>1839</v>
      </c>
      <c r="AC48" s="512" t="s">
        <v>1840</v>
      </c>
      <c r="AD48" s="512" t="s">
        <v>1841</v>
      </c>
      <c r="AE48" s="501"/>
      <c r="AF48" s="12"/>
      <c r="AG48" s="502">
        <f t="shared" si="3"/>
        <v>7.083333333</v>
      </c>
    </row>
    <row r="49" hidden="1">
      <c r="A49" s="510" t="s">
        <v>1842</v>
      </c>
      <c r="B49" s="510" t="s">
        <v>1843</v>
      </c>
      <c r="C49" s="511">
        <v>45997.65064814815</v>
      </c>
      <c r="D49" s="510" t="s">
        <v>1435</v>
      </c>
      <c r="E49" s="510" t="b">
        <v>1</v>
      </c>
      <c r="F49" s="510" t="b">
        <v>1</v>
      </c>
      <c r="G49" s="510" t="s">
        <v>1436</v>
      </c>
      <c r="H49" s="510" t="b">
        <v>1</v>
      </c>
      <c r="I49" s="510" t="s">
        <v>1437</v>
      </c>
      <c r="J49" s="510" t="b">
        <v>1</v>
      </c>
      <c r="K49" s="494" t="s">
        <v>1844</v>
      </c>
      <c r="L49" s="512" t="s">
        <v>918</v>
      </c>
      <c r="M49" s="510">
        <v>6.0</v>
      </c>
      <c r="N49" s="510">
        <v>3.0</v>
      </c>
      <c r="O49" s="510">
        <v>6.0</v>
      </c>
      <c r="P49" s="512" t="s">
        <v>1845</v>
      </c>
      <c r="Q49" s="510">
        <v>7.0</v>
      </c>
      <c r="R49" s="510">
        <v>9.0</v>
      </c>
      <c r="S49" s="510">
        <v>6.0</v>
      </c>
      <c r="T49" s="512" t="s">
        <v>1846</v>
      </c>
      <c r="U49" s="510">
        <v>6.0</v>
      </c>
      <c r="V49" s="510">
        <v>3.0</v>
      </c>
      <c r="W49" s="510">
        <v>5.0</v>
      </c>
      <c r="X49" s="512" t="s">
        <v>1847</v>
      </c>
      <c r="Y49" s="510">
        <v>6.0</v>
      </c>
      <c r="Z49" s="510">
        <v>5.0</v>
      </c>
      <c r="AA49" s="510">
        <v>5.0</v>
      </c>
      <c r="AB49" s="512" t="s">
        <v>1848</v>
      </c>
      <c r="AC49" s="512" t="s">
        <v>1849</v>
      </c>
      <c r="AD49" s="512" t="s">
        <v>1850</v>
      </c>
      <c r="AE49" s="512" t="s">
        <v>1851</v>
      </c>
      <c r="AF49" s="12"/>
      <c r="AG49" s="502">
        <f t="shared" si="3"/>
        <v>5.583333333</v>
      </c>
    </row>
    <row r="50" hidden="1">
      <c r="A50" s="510" t="s">
        <v>1852</v>
      </c>
      <c r="B50" s="510" t="s">
        <v>1853</v>
      </c>
      <c r="C50" s="511">
        <v>45998.69590277778</v>
      </c>
      <c r="D50" s="510" t="s">
        <v>1435</v>
      </c>
      <c r="E50" s="510" t="b">
        <v>1</v>
      </c>
      <c r="F50" s="510" t="b">
        <v>1</v>
      </c>
      <c r="G50" s="510" t="s">
        <v>1436</v>
      </c>
      <c r="H50" s="510" t="b">
        <v>1</v>
      </c>
      <c r="I50" s="510" t="s">
        <v>1437</v>
      </c>
      <c r="J50" s="510" t="b">
        <v>1</v>
      </c>
      <c r="K50" s="494" t="s">
        <v>1854</v>
      </c>
      <c r="L50" s="512" t="s">
        <v>918</v>
      </c>
      <c r="M50" s="510">
        <v>3.0</v>
      </c>
      <c r="N50" s="510">
        <v>3.0</v>
      </c>
      <c r="O50" s="510">
        <v>3.0</v>
      </c>
      <c r="P50" s="513"/>
      <c r="Q50" s="510">
        <v>3.0</v>
      </c>
      <c r="R50" s="510">
        <v>4.0</v>
      </c>
      <c r="S50" s="510">
        <v>3.0</v>
      </c>
      <c r="T50" s="513"/>
      <c r="U50" s="510">
        <v>3.0</v>
      </c>
      <c r="V50" s="510">
        <v>3.0</v>
      </c>
      <c r="W50" s="510">
        <v>3.0</v>
      </c>
      <c r="X50" s="513"/>
      <c r="Y50" s="510">
        <v>3.0</v>
      </c>
      <c r="Z50" s="510">
        <v>3.0</v>
      </c>
      <c r="AA50" s="510">
        <v>3.0</v>
      </c>
      <c r="AB50" s="513"/>
      <c r="AC50" s="513"/>
      <c r="AD50" s="512" t="s">
        <v>1855</v>
      </c>
      <c r="AE50" s="501"/>
      <c r="AF50" s="12"/>
      <c r="AG50" s="502">
        <f t="shared" si="3"/>
        <v>3.083333333</v>
      </c>
    </row>
    <row r="51" hidden="1">
      <c r="A51" s="517" t="s">
        <v>1856</v>
      </c>
      <c r="B51" s="518" t="s">
        <v>1306</v>
      </c>
      <c r="C51" s="519">
        <v>46015.60170138889</v>
      </c>
      <c r="D51" s="520" t="s">
        <v>1435</v>
      </c>
      <c r="E51" s="518" t="b">
        <v>1</v>
      </c>
      <c r="F51" s="518" t="b">
        <v>1</v>
      </c>
      <c r="G51" s="520" t="s">
        <v>1436</v>
      </c>
      <c r="H51" s="518" t="b">
        <v>1</v>
      </c>
      <c r="I51" s="520" t="s">
        <v>1437</v>
      </c>
      <c r="J51" s="518" t="b">
        <v>1</v>
      </c>
      <c r="K51" s="521" t="s">
        <v>722</v>
      </c>
      <c r="L51" s="520" t="s">
        <v>1095</v>
      </c>
      <c r="M51" s="518">
        <v>7.0</v>
      </c>
      <c r="N51" s="518">
        <v>6.0</v>
      </c>
      <c r="O51" s="518">
        <v>7.0</v>
      </c>
      <c r="P51" s="520" t="s">
        <v>1857</v>
      </c>
      <c r="Q51" s="518">
        <v>5.0</v>
      </c>
      <c r="R51" s="518">
        <v>7.0</v>
      </c>
      <c r="S51" s="518">
        <v>7.0</v>
      </c>
      <c r="T51" s="520" t="s">
        <v>1858</v>
      </c>
      <c r="U51" s="518">
        <v>4.0</v>
      </c>
      <c r="V51" s="518">
        <v>5.0</v>
      </c>
      <c r="W51" s="518">
        <v>5.0</v>
      </c>
      <c r="X51" s="520" t="s">
        <v>1859</v>
      </c>
      <c r="Y51" s="518">
        <v>7.0</v>
      </c>
      <c r="Z51" s="518">
        <v>6.0</v>
      </c>
      <c r="AA51" s="518">
        <v>7.0</v>
      </c>
      <c r="AB51" s="520" t="s">
        <v>1860</v>
      </c>
      <c r="AC51" s="520" t="s">
        <v>1861</v>
      </c>
      <c r="AD51" s="520" t="s">
        <v>1862</v>
      </c>
      <c r="AE51" s="513"/>
      <c r="AF51" s="501"/>
      <c r="AG51" s="502">
        <f t="shared" si="3"/>
        <v>6.083333333</v>
      </c>
    </row>
    <row r="52" hidden="1">
      <c r="A52" s="510" t="s">
        <v>1863</v>
      </c>
      <c r="B52" s="510" t="s">
        <v>1864</v>
      </c>
      <c r="C52" s="511">
        <v>45998.70278935185</v>
      </c>
      <c r="D52" s="510" t="s">
        <v>1435</v>
      </c>
      <c r="E52" s="510" t="b">
        <v>1</v>
      </c>
      <c r="F52" s="510" t="b">
        <v>1</v>
      </c>
      <c r="G52" s="510" t="s">
        <v>1436</v>
      </c>
      <c r="H52" s="510" t="b">
        <v>1</v>
      </c>
      <c r="I52" s="510" t="s">
        <v>1437</v>
      </c>
      <c r="J52" s="510" t="b">
        <v>1</v>
      </c>
      <c r="K52" s="494" t="s">
        <v>1086</v>
      </c>
      <c r="L52" s="512" t="s">
        <v>1095</v>
      </c>
      <c r="M52" s="510">
        <v>7.0</v>
      </c>
      <c r="N52" s="510">
        <v>7.0</v>
      </c>
      <c r="O52" s="510">
        <v>7.0</v>
      </c>
      <c r="P52" s="512" t="s">
        <v>1865</v>
      </c>
      <c r="Q52" s="510">
        <v>7.0</v>
      </c>
      <c r="R52" s="510">
        <v>8.0</v>
      </c>
      <c r="S52" s="510">
        <v>7.0</v>
      </c>
      <c r="T52" s="512" t="s">
        <v>1866</v>
      </c>
      <c r="U52" s="510">
        <v>7.0</v>
      </c>
      <c r="V52" s="510">
        <v>7.0</v>
      </c>
      <c r="W52" s="510">
        <v>7.0</v>
      </c>
      <c r="X52" s="512" t="s">
        <v>1867</v>
      </c>
      <c r="Y52" s="510">
        <v>7.0</v>
      </c>
      <c r="Z52" s="510">
        <v>7.0</v>
      </c>
      <c r="AA52" s="510">
        <v>7.0</v>
      </c>
      <c r="AB52" s="512" t="s">
        <v>1868</v>
      </c>
      <c r="AC52" s="512" t="s">
        <v>1869</v>
      </c>
      <c r="AD52" s="512" t="s">
        <v>1870</v>
      </c>
      <c r="AE52" s="18" t="s">
        <v>1871</v>
      </c>
      <c r="AF52" s="12"/>
      <c r="AG52" s="502">
        <f t="shared" si="3"/>
        <v>7.083333333</v>
      </c>
    </row>
    <row r="53" hidden="1">
      <c r="A53" s="510" t="s">
        <v>1872</v>
      </c>
      <c r="B53" s="510" t="s">
        <v>1873</v>
      </c>
      <c r="C53" s="511">
        <v>45974.76025462963</v>
      </c>
      <c r="D53" s="510" t="s">
        <v>1435</v>
      </c>
      <c r="E53" s="510" t="b">
        <v>1</v>
      </c>
      <c r="F53" s="510" t="b">
        <v>1</v>
      </c>
      <c r="G53" s="510" t="s">
        <v>1436</v>
      </c>
      <c r="H53" s="510" t="b">
        <v>1</v>
      </c>
      <c r="I53" s="510" t="s">
        <v>1437</v>
      </c>
      <c r="J53" s="510" t="b">
        <v>1</v>
      </c>
      <c r="K53" s="494" t="s">
        <v>1874</v>
      </c>
      <c r="L53" s="512" t="s">
        <v>1095</v>
      </c>
      <c r="M53" s="510">
        <v>7.0</v>
      </c>
      <c r="N53" s="510">
        <v>5.0</v>
      </c>
      <c r="O53" s="510">
        <v>8.0</v>
      </c>
      <c r="P53" s="512" t="s">
        <v>1875</v>
      </c>
      <c r="Q53" s="510">
        <v>9.0</v>
      </c>
      <c r="R53" s="510">
        <v>6.0</v>
      </c>
      <c r="S53" s="510">
        <v>7.0</v>
      </c>
      <c r="T53" s="512" t="s">
        <v>1876</v>
      </c>
      <c r="U53" s="510">
        <v>9.0</v>
      </c>
      <c r="V53" s="510">
        <v>6.0</v>
      </c>
      <c r="W53" s="510">
        <v>7.0</v>
      </c>
      <c r="X53" s="512" t="s">
        <v>1877</v>
      </c>
      <c r="Y53" s="510">
        <v>7.0</v>
      </c>
      <c r="Z53" s="510">
        <v>7.0</v>
      </c>
      <c r="AA53" s="510">
        <v>6.0</v>
      </c>
      <c r="AB53" s="512" t="s">
        <v>1878</v>
      </c>
      <c r="AC53" s="512" t="s">
        <v>1879</v>
      </c>
      <c r="AD53" s="512" t="s">
        <v>1880</v>
      </c>
      <c r="AE53" s="513"/>
      <c r="AF53" s="12"/>
      <c r="AG53" s="502">
        <f t="shared" si="3"/>
        <v>7</v>
      </c>
    </row>
    <row r="54" hidden="1">
      <c r="A54" s="510" t="s">
        <v>1881</v>
      </c>
      <c r="B54" s="510" t="s">
        <v>1882</v>
      </c>
      <c r="C54" s="511">
        <v>45997.62275462963</v>
      </c>
      <c r="D54" s="510" t="s">
        <v>1435</v>
      </c>
      <c r="E54" s="510" t="b">
        <v>1</v>
      </c>
      <c r="F54" s="510" t="b">
        <v>1</v>
      </c>
      <c r="G54" s="510" t="s">
        <v>1436</v>
      </c>
      <c r="H54" s="510" t="b">
        <v>1</v>
      </c>
      <c r="I54" s="510" t="s">
        <v>1437</v>
      </c>
      <c r="J54" s="510" t="b">
        <v>1</v>
      </c>
      <c r="K54" s="494" t="s">
        <v>1883</v>
      </c>
      <c r="L54" s="512" t="s">
        <v>1884</v>
      </c>
      <c r="M54" s="510">
        <v>9.0</v>
      </c>
      <c r="N54" s="510">
        <v>9.0</v>
      </c>
      <c r="O54" s="510">
        <v>9.0</v>
      </c>
      <c r="P54" s="512" t="s">
        <v>1885</v>
      </c>
      <c r="Q54" s="510">
        <v>9.0</v>
      </c>
      <c r="R54" s="510">
        <v>9.0</v>
      </c>
      <c r="S54" s="510">
        <v>9.0</v>
      </c>
      <c r="T54" s="512" t="s">
        <v>1886</v>
      </c>
      <c r="U54" s="510">
        <v>9.0</v>
      </c>
      <c r="V54" s="510">
        <v>9.0</v>
      </c>
      <c r="W54" s="510">
        <v>9.0</v>
      </c>
      <c r="X54" s="512" t="s">
        <v>1887</v>
      </c>
      <c r="Y54" s="510">
        <v>9.0</v>
      </c>
      <c r="Z54" s="510">
        <v>9.0</v>
      </c>
      <c r="AA54" s="510">
        <v>9.0</v>
      </c>
      <c r="AB54" s="512" t="s">
        <v>1888</v>
      </c>
      <c r="AC54" s="512" t="s">
        <v>1889</v>
      </c>
      <c r="AD54" s="512" t="s">
        <v>1890</v>
      </c>
      <c r="AE54" s="512" t="s">
        <v>1891</v>
      </c>
      <c r="AF54" s="12"/>
      <c r="AG54" s="502">
        <f t="shared" si="3"/>
        <v>9</v>
      </c>
    </row>
    <row r="55" hidden="1">
      <c r="A55" s="510" t="s">
        <v>1892</v>
      </c>
      <c r="B55" s="510" t="s">
        <v>1893</v>
      </c>
      <c r="C55" s="511">
        <v>45998.90736111111</v>
      </c>
      <c r="D55" s="510" t="s">
        <v>1435</v>
      </c>
      <c r="E55" s="510" t="b">
        <v>1</v>
      </c>
      <c r="F55" s="510" t="b">
        <v>1</v>
      </c>
      <c r="G55" s="510" t="s">
        <v>1436</v>
      </c>
      <c r="H55" s="510" t="b">
        <v>1</v>
      </c>
      <c r="I55" s="510" t="s">
        <v>1437</v>
      </c>
      <c r="J55" s="510" t="b">
        <v>1</v>
      </c>
      <c r="K55" s="494" t="s">
        <v>325</v>
      </c>
      <c r="L55" s="512" t="s">
        <v>1884</v>
      </c>
      <c r="M55" s="510">
        <v>9.0</v>
      </c>
      <c r="N55" s="510">
        <v>9.0</v>
      </c>
      <c r="O55" s="510">
        <v>8.0</v>
      </c>
      <c r="P55" s="512" t="s">
        <v>1894</v>
      </c>
      <c r="Q55" s="510">
        <v>9.0</v>
      </c>
      <c r="R55" s="510">
        <v>9.0</v>
      </c>
      <c r="S55" s="510">
        <v>8.0</v>
      </c>
      <c r="T55" s="512" t="s">
        <v>1895</v>
      </c>
      <c r="U55" s="510">
        <v>8.0</v>
      </c>
      <c r="V55" s="510">
        <v>9.0</v>
      </c>
      <c r="W55" s="510">
        <v>7.0</v>
      </c>
      <c r="X55" s="512" t="s">
        <v>1896</v>
      </c>
      <c r="Y55" s="510">
        <v>9.0</v>
      </c>
      <c r="Z55" s="510">
        <v>7.0</v>
      </c>
      <c r="AA55" s="510">
        <v>8.0</v>
      </c>
      <c r="AB55" s="512" t="s">
        <v>1897</v>
      </c>
      <c r="AC55" s="512" t="s">
        <v>1898</v>
      </c>
      <c r="AD55" s="512" t="s">
        <v>1899</v>
      </c>
      <c r="AE55" s="513"/>
      <c r="AF55" s="12"/>
      <c r="AG55" s="502">
        <f t="shared" si="3"/>
        <v>8.333333333</v>
      </c>
    </row>
    <row r="56" hidden="1">
      <c r="A56" s="510" t="s">
        <v>1900</v>
      </c>
      <c r="B56" s="510" t="s">
        <v>1901</v>
      </c>
      <c r="C56" s="511">
        <v>45966.48303240741</v>
      </c>
      <c r="D56" s="510" t="s">
        <v>1435</v>
      </c>
      <c r="E56" s="510" t="b">
        <v>1</v>
      </c>
      <c r="F56" s="510" t="b">
        <v>1</v>
      </c>
      <c r="G56" s="510" t="s">
        <v>1436</v>
      </c>
      <c r="H56" s="510" t="b">
        <v>1</v>
      </c>
      <c r="I56" s="510" t="s">
        <v>1437</v>
      </c>
      <c r="J56" s="510" t="b">
        <v>1</v>
      </c>
      <c r="K56" s="494" t="s">
        <v>1902</v>
      </c>
      <c r="L56" s="512" t="s">
        <v>1377</v>
      </c>
      <c r="M56" s="510">
        <v>7.0</v>
      </c>
      <c r="N56" s="510">
        <v>9.0</v>
      </c>
      <c r="O56" s="510">
        <v>9.0</v>
      </c>
      <c r="P56" s="512" t="s">
        <v>1903</v>
      </c>
      <c r="Q56" s="510">
        <v>8.0</v>
      </c>
      <c r="R56" s="510">
        <v>9.0</v>
      </c>
      <c r="S56" s="510">
        <v>7.0</v>
      </c>
      <c r="T56" s="512" t="s">
        <v>1904</v>
      </c>
      <c r="U56" s="510">
        <v>8.0</v>
      </c>
      <c r="V56" s="510">
        <v>9.0</v>
      </c>
      <c r="W56" s="510">
        <v>7.0</v>
      </c>
      <c r="X56" s="512" t="s">
        <v>1905</v>
      </c>
      <c r="Y56" s="510">
        <v>8.0</v>
      </c>
      <c r="Z56" s="510">
        <v>6.0</v>
      </c>
      <c r="AA56" s="510">
        <v>8.0</v>
      </c>
      <c r="AB56" s="512" t="s">
        <v>1906</v>
      </c>
      <c r="AC56" s="512" t="s">
        <v>1907</v>
      </c>
      <c r="AD56" s="512" t="s">
        <v>1908</v>
      </c>
      <c r="AE56" s="18" t="s">
        <v>1909</v>
      </c>
      <c r="AF56" s="12"/>
      <c r="AG56" s="502">
        <f t="shared" si="3"/>
        <v>7.916666667</v>
      </c>
    </row>
    <row r="57" hidden="1">
      <c r="A57" s="510" t="s">
        <v>1910</v>
      </c>
      <c r="B57" s="510" t="s">
        <v>1911</v>
      </c>
      <c r="C57" s="511">
        <v>45998.030706018515</v>
      </c>
      <c r="D57" s="510" t="s">
        <v>1435</v>
      </c>
      <c r="E57" s="510" t="b">
        <v>1</v>
      </c>
      <c r="F57" s="510" t="b">
        <v>1</v>
      </c>
      <c r="G57" s="510" t="s">
        <v>1436</v>
      </c>
      <c r="H57" s="510" t="b">
        <v>1</v>
      </c>
      <c r="I57" s="510" t="s">
        <v>1437</v>
      </c>
      <c r="J57" s="510" t="b">
        <v>1</v>
      </c>
      <c r="K57" s="494" t="s">
        <v>1912</v>
      </c>
      <c r="L57" s="512" t="s">
        <v>1913</v>
      </c>
      <c r="M57" s="513"/>
      <c r="N57" s="513"/>
      <c r="O57" s="513"/>
      <c r="P57" s="512" t="s">
        <v>1914</v>
      </c>
      <c r="Q57" s="513"/>
      <c r="R57" s="513"/>
      <c r="S57" s="513"/>
      <c r="T57" s="512" t="s">
        <v>1915</v>
      </c>
      <c r="U57" s="513"/>
      <c r="V57" s="513"/>
      <c r="W57" s="513"/>
      <c r="X57" s="512" t="s">
        <v>1916</v>
      </c>
      <c r="Y57" s="513"/>
      <c r="Z57" s="513"/>
      <c r="AA57" s="513"/>
      <c r="AB57" s="512" t="s">
        <v>1917</v>
      </c>
      <c r="AC57" s="512" t="s">
        <v>1918</v>
      </c>
      <c r="AD57" s="512" t="s">
        <v>1919</v>
      </c>
      <c r="AE57" s="512" t="s">
        <v>1920</v>
      </c>
      <c r="AF57" s="12"/>
      <c r="AG57" s="502"/>
    </row>
    <row r="58" hidden="1">
      <c r="A58" s="510" t="s">
        <v>1921</v>
      </c>
      <c r="B58" s="510" t="s">
        <v>1922</v>
      </c>
      <c r="C58" s="511">
        <v>45970.56123842593</v>
      </c>
      <c r="D58" s="510" t="s">
        <v>1435</v>
      </c>
      <c r="E58" s="510" t="b">
        <v>1</v>
      </c>
      <c r="F58" s="510" t="b">
        <v>1</v>
      </c>
      <c r="G58" s="510" t="s">
        <v>1436</v>
      </c>
      <c r="H58" s="510" t="b">
        <v>1</v>
      </c>
      <c r="I58" s="510" t="s">
        <v>1437</v>
      </c>
      <c r="J58" s="510" t="b">
        <v>1</v>
      </c>
      <c r="K58" s="494" t="s">
        <v>1923</v>
      </c>
      <c r="L58" s="512" t="s">
        <v>1913</v>
      </c>
      <c r="M58" s="510">
        <v>9.0</v>
      </c>
      <c r="N58" s="510">
        <v>9.0</v>
      </c>
      <c r="O58" s="510">
        <v>9.0</v>
      </c>
      <c r="P58" s="512" t="s">
        <v>1924</v>
      </c>
      <c r="Q58" s="510">
        <v>9.0</v>
      </c>
      <c r="R58" s="510">
        <v>9.0</v>
      </c>
      <c r="S58" s="510">
        <v>9.0</v>
      </c>
      <c r="T58" s="512" t="s">
        <v>1925</v>
      </c>
      <c r="U58" s="510">
        <v>9.0</v>
      </c>
      <c r="V58" s="510">
        <v>9.0</v>
      </c>
      <c r="W58" s="510">
        <v>8.0</v>
      </c>
      <c r="X58" s="512" t="s">
        <v>1926</v>
      </c>
      <c r="Y58" s="510">
        <v>7.0</v>
      </c>
      <c r="Z58" s="510">
        <v>9.0</v>
      </c>
      <c r="AA58" s="510">
        <v>9.0</v>
      </c>
      <c r="AB58" s="512" t="s">
        <v>1927</v>
      </c>
      <c r="AC58" s="512" t="s">
        <v>1928</v>
      </c>
      <c r="AD58" s="512" t="s">
        <v>1929</v>
      </c>
      <c r="AE58" s="501"/>
      <c r="AF58" s="12"/>
      <c r="AG58" s="502">
        <f t="shared" ref="AG58:AG119" si="4">AVERAGE(AA58,Z58,Y58,W58,V58,U58,S58,R58,Q58,O58,N58,M58)</f>
        <v>8.75</v>
      </c>
    </row>
    <row r="59" hidden="1">
      <c r="A59" s="510" t="s">
        <v>1930</v>
      </c>
      <c r="B59" s="510" t="s">
        <v>1931</v>
      </c>
      <c r="C59" s="511">
        <v>45997.93467592593</v>
      </c>
      <c r="D59" s="510" t="s">
        <v>1435</v>
      </c>
      <c r="E59" s="510" t="b">
        <v>1</v>
      </c>
      <c r="F59" s="510" t="b">
        <v>1</v>
      </c>
      <c r="G59" s="510" t="s">
        <v>1436</v>
      </c>
      <c r="H59" s="510" t="b">
        <v>1</v>
      </c>
      <c r="I59" s="510" t="s">
        <v>1437</v>
      </c>
      <c r="J59" s="510" t="b">
        <v>1</v>
      </c>
      <c r="K59" s="494" t="s">
        <v>1932</v>
      </c>
      <c r="L59" s="512" t="s">
        <v>1913</v>
      </c>
      <c r="M59" s="510">
        <v>8.0</v>
      </c>
      <c r="N59" s="510">
        <v>9.0</v>
      </c>
      <c r="O59" s="510">
        <v>9.0</v>
      </c>
      <c r="P59" s="512" t="s">
        <v>1933</v>
      </c>
      <c r="Q59" s="510">
        <v>9.0</v>
      </c>
      <c r="R59" s="510">
        <v>8.0</v>
      </c>
      <c r="S59" s="510">
        <v>9.0</v>
      </c>
      <c r="T59" s="512" t="s">
        <v>1934</v>
      </c>
      <c r="U59" s="510">
        <v>9.0</v>
      </c>
      <c r="V59" s="510">
        <v>7.0</v>
      </c>
      <c r="W59" s="510">
        <v>9.0</v>
      </c>
      <c r="X59" s="512" t="s">
        <v>1935</v>
      </c>
      <c r="Y59" s="510">
        <v>9.0</v>
      </c>
      <c r="Z59" s="510">
        <v>8.0</v>
      </c>
      <c r="AA59" s="510">
        <v>9.0</v>
      </c>
      <c r="AB59" s="512" t="s">
        <v>1936</v>
      </c>
      <c r="AC59" s="512" t="s">
        <v>1937</v>
      </c>
      <c r="AD59" s="512" t="s">
        <v>1938</v>
      </c>
      <c r="AE59" s="18" t="s">
        <v>1939</v>
      </c>
      <c r="AF59" s="12"/>
      <c r="AG59" s="502">
        <f t="shared" si="4"/>
        <v>8.583333333</v>
      </c>
    </row>
    <row r="60" hidden="1">
      <c r="A60" s="510" t="s">
        <v>1940</v>
      </c>
      <c r="B60" s="510" t="s">
        <v>1941</v>
      </c>
      <c r="C60" s="511">
        <v>45983.78560185185</v>
      </c>
      <c r="D60" s="510" t="s">
        <v>1435</v>
      </c>
      <c r="E60" s="510" t="b">
        <v>1</v>
      </c>
      <c r="F60" s="510" t="b">
        <v>1</v>
      </c>
      <c r="G60" s="510" t="s">
        <v>1436</v>
      </c>
      <c r="H60" s="510" t="b">
        <v>1</v>
      </c>
      <c r="I60" s="510" t="s">
        <v>1437</v>
      </c>
      <c r="J60" s="510" t="b">
        <v>1</v>
      </c>
      <c r="K60" s="494" t="s">
        <v>1942</v>
      </c>
      <c r="L60" s="512" t="s">
        <v>1017</v>
      </c>
      <c r="M60" s="510">
        <v>7.0</v>
      </c>
      <c r="N60" s="510">
        <v>8.0</v>
      </c>
      <c r="O60" s="510">
        <v>9.0</v>
      </c>
      <c r="P60" s="512" t="s">
        <v>1943</v>
      </c>
      <c r="Q60" s="510">
        <v>9.0</v>
      </c>
      <c r="R60" s="510">
        <v>9.0</v>
      </c>
      <c r="S60" s="510">
        <v>9.0</v>
      </c>
      <c r="T60" s="512" t="s">
        <v>1944</v>
      </c>
      <c r="U60" s="510">
        <v>9.0</v>
      </c>
      <c r="V60" s="510">
        <v>9.0</v>
      </c>
      <c r="W60" s="510">
        <v>9.0</v>
      </c>
      <c r="X60" s="512" t="s">
        <v>1945</v>
      </c>
      <c r="Y60" s="510">
        <v>9.0</v>
      </c>
      <c r="Z60" s="510">
        <v>9.0</v>
      </c>
      <c r="AA60" s="510">
        <v>9.0</v>
      </c>
      <c r="AB60" s="512" t="s">
        <v>1946</v>
      </c>
      <c r="AC60" s="512" t="s">
        <v>1947</v>
      </c>
      <c r="AD60" s="512" t="s">
        <v>1948</v>
      </c>
      <c r="AE60" s="501"/>
      <c r="AF60" s="12"/>
      <c r="AG60" s="502">
        <f t="shared" si="4"/>
        <v>8.75</v>
      </c>
    </row>
    <row r="61" hidden="1">
      <c r="A61" s="510" t="s">
        <v>1949</v>
      </c>
      <c r="B61" s="510" t="s">
        <v>1950</v>
      </c>
      <c r="C61" s="511">
        <v>45984.369467592594</v>
      </c>
      <c r="D61" s="510" t="s">
        <v>1435</v>
      </c>
      <c r="E61" s="510" t="b">
        <v>1</v>
      </c>
      <c r="F61" s="510" t="b">
        <v>1</v>
      </c>
      <c r="G61" s="510" t="s">
        <v>1436</v>
      </c>
      <c r="H61" s="510" t="b">
        <v>1</v>
      </c>
      <c r="I61" s="510" t="s">
        <v>1437</v>
      </c>
      <c r="J61" s="510" t="b">
        <v>1</v>
      </c>
      <c r="K61" s="494" t="s">
        <v>1951</v>
      </c>
      <c r="L61" s="512" t="s">
        <v>1017</v>
      </c>
      <c r="M61" s="510">
        <v>8.0</v>
      </c>
      <c r="N61" s="510">
        <v>8.0</v>
      </c>
      <c r="O61" s="510">
        <v>8.0</v>
      </c>
      <c r="P61" s="512" t="s">
        <v>1952</v>
      </c>
      <c r="Q61" s="510">
        <v>8.0</v>
      </c>
      <c r="R61" s="510">
        <v>8.0</v>
      </c>
      <c r="S61" s="510">
        <v>8.0</v>
      </c>
      <c r="T61" s="512" t="s">
        <v>1953</v>
      </c>
      <c r="U61" s="510">
        <v>8.0</v>
      </c>
      <c r="V61" s="510">
        <v>8.0</v>
      </c>
      <c r="W61" s="510">
        <v>8.0</v>
      </c>
      <c r="X61" s="512" t="s">
        <v>1954</v>
      </c>
      <c r="Y61" s="510">
        <v>8.0</v>
      </c>
      <c r="Z61" s="510">
        <v>8.0</v>
      </c>
      <c r="AA61" s="510">
        <v>8.0</v>
      </c>
      <c r="AB61" s="512" t="s">
        <v>1955</v>
      </c>
      <c r="AC61" s="512" t="s">
        <v>1956</v>
      </c>
      <c r="AD61" s="512" t="s">
        <v>1957</v>
      </c>
      <c r="AE61" s="501"/>
      <c r="AF61" s="12"/>
      <c r="AG61" s="502">
        <f t="shared" si="4"/>
        <v>8</v>
      </c>
    </row>
    <row r="62" hidden="1">
      <c r="A62" s="510" t="s">
        <v>1958</v>
      </c>
      <c r="B62" s="510" t="s">
        <v>1959</v>
      </c>
      <c r="C62" s="511">
        <v>45984.89983796296</v>
      </c>
      <c r="D62" s="510" t="s">
        <v>1435</v>
      </c>
      <c r="E62" s="510" t="b">
        <v>1</v>
      </c>
      <c r="F62" s="510" t="b">
        <v>1</v>
      </c>
      <c r="G62" s="510" t="s">
        <v>1436</v>
      </c>
      <c r="H62" s="510" t="b">
        <v>1</v>
      </c>
      <c r="I62" s="510" t="s">
        <v>1437</v>
      </c>
      <c r="J62" s="510" t="b">
        <v>1</v>
      </c>
      <c r="K62" s="494" t="s">
        <v>1960</v>
      </c>
      <c r="L62" s="512" t="s">
        <v>1017</v>
      </c>
      <c r="M62" s="510">
        <v>7.0</v>
      </c>
      <c r="N62" s="510">
        <v>6.0</v>
      </c>
      <c r="O62" s="510">
        <v>6.0</v>
      </c>
      <c r="P62" s="512" t="s">
        <v>1961</v>
      </c>
      <c r="Q62" s="510">
        <v>4.0</v>
      </c>
      <c r="R62" s="510">
        <v>8.0</v>
      </c>
      <c r="S62" s="510">
        <v>7.0</v>
      </c>
      <c r="T62" s="512" t="s">
        <v>1962</v>
      </c>
      <c r="U62" s="510">
        <v>9.0</v>
      </c>
      <c r="V62" s="510">
        <v>7.0</v>
      </c>
      <c r="W62" s="510">
        <v>6.0</v>
      </c>
      <c r="X62" s="512" t="s">
        <v>1963</v>
      </c>
      <c r="Y62" s="510">
        <v>8.0</v>
      </c>
      <c r="Z62" s="510">
        <v>6.0</v>
      </c>
      <c r="AA62" s="510">
        <v>7.0</v>
      </c>
      <c r="AB62" s="512" t="s">
        <v>1964</v>
      </c>
      <c r="AC62" s="512" t="s">
        <v>1965</v>
      </c>
      <c r="AD62" s="512" t="s">
        <v>1966</v>
      </c>
      <c r="AE62" s="501"/>
      <c r="AF62" s="12"/>
      <c r="AG62" s="502">
        <f t="shared" si="4"/>
        <v>6.75</v>
      </c>
    </row>
    <row r="63" hidden="1">
      <c r="A63" s="510" t="s">
        <v>1967</v>
      </c>
      <c r="B63" s="510" t="s">
        <v>1968</v>
      </c>
      <c r="C63" s="511">
        <v>45997.62243055556</v>
      </c>
      <c r="D63" s="510" t="s">
        <v>1435</v>
      </c>
      <c r="E63" s="510" t="b">
        <v>1</v>
      </c>
      <c r="F63" s="510" t="b">
        <v>1</v>
      </c>
      <c r="G63" s="510" t="s">
        <v>1436</v>
      </c>
      <c r="H63" s="510" t="b">
        <v>1</v>
      </c>
      <c r="I63" s="510" t="s">
        <v>1437</v>
      </c>
      <c r="J63" s="510" t="b">
        <v>1</v>
      </c>
      <c r="K63" s="494" t="s">
        <v>1969</v>
      </c>
      <c r="L63" s="512" t="s">
        <v>1211</v>
      </c>
      <c r="M63" s="510">
        <v>9.0</v>
      </c>
      <c r="N63" s="510">
        <v>9.0</v>
      </c>
      <c r="O63" s="510">
        <v>9.0</v>
      </c>
      <c r="P63" s="512" t="s">
        <v>1970</v>
      </c>
      <c r="Q63" s="510">
        <v>9.0</v>
      </c>
      <c r="R63" s="510">
        <v>9.0</v>
      </c>
      <c r="S63" s="510">
        <v>9.0</v>
      </c>
      <c r="T63" s="512" t="s">
        <v>1971</v>
      </c>
      <c r="U63" s="510">
        <v>9.0</v>
      </c>
      <c r="V63" s="510">
        <v>9.0</v>
      </c>
      <c r="W63" s="510">
        <v>9.0</v>
      </c>
      <c r="X63" s="512" t="s">
        <v>1972</v>
      </c>
      <c r="Y63" s="510">
        <v>9.0</v>
      </c>
      <c r="Z63" s="510">
        <v>9.0</v>
      </c>
      <c r="AA63" s="510">
        <v>9.0</v>
      </c>
      <c r="AB63" s="512" t="s">
        <v>1973</v>
      </c>
      <c r="AC63" s="512" t="s">
        <v>1974</v>
      </c>
      <c r="AD63" s="512" t="s">
        <v>1975</v>
      </c>
      <c r="AE63" s="501"/>
      <c r="AF63" s="12"/>
      <c r="AG63" s="502">
        <f t="shared" si="4"/>
        <v>9</v>
      </c>
    </row>
    <row r="64" hidden="1">
      <c r="A64" s="510" t="s">
        <v>1976</v>
      </c>
      <c r="B64" s="510" t="s">
        <v>1665</v>
      </c>
      <c r="C64" s="511">
        <v>45982.55978009259</v>
      </c>
      <c r="D64" s="510" t="s">
        <v>1435</v>
      </c>
      <c r="E64" s="510" t="b">
        <v>1</v>
      </c>
      <c r="F64" s="510" t="b">
        <v>1</v>
      </c>
      <c r="G64" s="510" t="s">
        <v>1436</v>
      </c>
      <c r="H64" s="510" t="b">
        <v>1</v>
      </c>
      <c r="I64" s="510" t="s">
        <v>1437</v>
      </c>
      <c r="J64" s="510" t="b">
        <v>1</v>
      </c>
      <c r="K64" s="494" t="s">
        <v>380</v>
      </c>
      <c r="L64" s="512" t="s">
        <v>1211</v>
      </c>
      <c r="M64" s="510">
        <v>8.0</v>
      </c>
      <c r="N64" s="510">
        <v>9.0</v>
      </c>
      <c r="O64" s="510">
        <v>9.0</v>
      </c>
      <c r="P64" s="512" t="s">
        <v>1977</v>
      </c>
      <c r="Q64" s="510">
        <v>8.0</v>
      </c>
      <c r="R64" s="510">
        <v>8.0</v>
      </c>
      <c r="S64" s="510">
        <v>9.0</v>
      </c>
      <c r="T64" s="512" t="s">
        <v>1978</v>
      </c>
      <c r="U64" s="510">
        <v>9.0</v>
      </c>
      <c r="V64" s="510">
        <v>9.0</v>
      </c>
      <c r="W64" s="510">
        <v>9.0</v>
      </c>
      <c r="X64" s="512" t="s">
        <v>1979</v>
      </c>
      <c r="Y64" s="510">
        <v>8.0</v>
      </c>
      <c r="Z64" s="510">
        <v>8.0</v>
      </c>
      <c r="AA64" s="510">
        <v>8.0</v>
      </c>
      <c r="AB64" s="512" t="s">
        <v>1980</v>
      </c>
      <c r="AC64" s="512" t="s">
        <v>1981</v>
      </c>
      <c r="AD64" s="512" t="s">
        <v>1980</v>
      </c>
      <c r="AE64" s="501"/>
      <c r="AF64" s="12"/>
      <c r="AG64" s="502">
        <f t="shared" si="4"/>
        <v>8.5</v>
      </c>
    </row>
    <row r="65" hidden="1">
      <c r="A65" s="510" t="s">
        <v>1982</v>
      </c>
      <c r="B65" s="510" t="s">
        <v>1983</v>
      </c>
      <c r="C65" s="511">
        <v>45970.53497685185</v>
      </c>
      <c r="D65" s="510" t="s">
        <v>1435</v>
      </c>
      <c r="E65" s="510" t="b">
        <v>1</v>
      </c>
      <c r="F65" s="510" t="b">
        <v>1</v>
      </c>
      <c r="G65" s="510" t="s">
        <v>1436</v>
      </c>
      <c r="H65" s="510" t="b">
        <v>1</v>
      </c>
      <c r="I65" s="510" t="s">
        <v>1437</v>
      </c>
      <c r="J65" s="510" t="b">
        <v>1</v>
      </c>
      <c r="K65" s="494" t="s">
        <v>958</v>
      </c>
      <c r="L65" s="512" t="s">
        <v>1211</v>
      </c>
      <c r="M65" s="510">
        <v>8.0</v>
      </c>
      <c r="N65" s="510">
        <v>6.0</v>
      </c>
      <c r="O65" s="510">
        <v>8.0</v>
      </c>
      <c r="P65" s="512" t="s">
        <v>1984</v>
      </c>
      <c r="Q65" s="510">
        <v>9.0</v>
      </c>
      <c r="R65" s="510">
        <v>9.0</v>
      </c>
      <c r="S65" s="510">
        <v>9.0</v>
      </c>
      <c r="T65" s="512" t="s">
        <v>1985</v>
      </c>
      <c r="U65" s="510">
        <v>9.0</v>
      </c>
      <c r="V65" s="510">
        <v>8.0</v>
      </c>
      <c r="W65" s="510">
        <v>7.0</v>
      </c>
      <c r="X65" s="512" t="s">
        <v>396</v>
      </c>
      <c r="Y65" s="510">
        <v>8.0</v>
      </c>
      <c r="Z65" s="510">
        <v>9.0</v>
      </c>
      <c r="AA65" s="510">
        <v>9.0</v>
      </c>
      <c r="AB65" s="512" t="s">
        <v>396</v>
      </c>
      <c r="AC65" s="512" t="s">
        <v>1986</v>
      </c>
      <c r="AD65" s="512" t="s">
        <v>1987</v>
      </c>
      <c r="AE65" s="513"/>
      <c r="AF65" s="12"/>
      <c r="AG65" s="502">
        <f t="shared" si="4"/>
        <v>8.25</v>
      </c>
    </row>
    <row r="66" hidden="1">
      <c r="A66" s="510" t="s">
        <v>1988</v>
      </c>
      <c r="B66" s="510" t="s">
        <v>1989</v>
      </c>
      <c r="C66" s="511">
        <v>45978.54046296296</v>
      </c>
      <c r="D66" s="510" t="s">
        <v>1435</v>
      </c>
      <c r="E66" s="510" t="b">
        <v>1</v>
      </c>
      <c r="F66" s="510" t="b">
        <v>1</v>
      </c>
      <c r="G66" s="510" t="s">
        <v>1436</v>
      </c>
      <c r="H66" s="510" t="b">
        <v>1</v>
      </c>
      <c r="I66" s="510" t="s">
        <v>1437</v>
      </c>
      <c r="J66" s="510" t="b">
        <v>1</v>
      </c>
      <c r="K66" s="494" t="s">
        <v>393</v>
      </c>
      <c r="L66" s="512" t="s">
        <v>1211</v>
      </c>
      <c r="M66" s="510">
        <v>7.0</v>
      </c>
      <c r="N66" s="510">
        <v>9.0</v>
      </c>
      <c r="O66" s="510">
        <v>9.0</v>
      </c>
      <c r="P66" s="512" t="s">
        <v>1990</v>
      </c>
      <c r="Q66" s="510">
        <v>6.0</v>
      </c>
      <c r="R66" s="510">
        <v>9.0</v>
      </c>
      <c r="S66" s="510">
        <v>9.0</v>
      </c>
      <c r="T66" s="512" t="s">
        <v>1991</v>
      </c>
      <c r="U66" s="510">
        <v>9.0</v>
      </c>
      <c r="V66" s="510">
        <v>7.0</v>
      </c>
      <c r="W66" s="510">
        <v>7.0</v>
      </c>
      <c r="X66" s="512" t="s">
        <v>1992</v>
      </c>
      <c r="Y66" s="510">
        <v>7.0</v>
      </c>
      <c r="Z66" s="510">
        <v>6.0</v>
      </c>
      <c r="AA66" s="510">
        <v>6.0</v>
      </c>
      <c r="AB66" s="512" t="s">
        <v>1993</v>
      </c>
      <c r="AC66" s="512" t="s">
        <v>1994</v>
      </c>
      <c r="AD66" s="512" t="s">
        <v>1995</v>
      </c>
      <c r="AE66" s="512" t="s">
        <v>1996</v>
      </c>
      <c r="AF66" s="12"/>
      <c r="AG66" s="502">
        <f t="shared" si="4"/>
        <v>7.583333333</v>
      </c>
    </row>
    <row r="67" hidden="1">
      <c r="A67" s="510" t="s">
        <v>1997</v>
      </c>
      <c r="B67" s="510" t="s">
        <v>535</v>
      </c>
      <c r="C67" s="511">
        <v>45967.681076388886</v>
      </c>
      <c r="D67" s="510" t="s">
        <v>1435</v>
      </c>
      <c r="E67" s="510" t="b">
        <v>1</v>
      </c>
      <c r="F67" s="510" t="b">
        <v>1</v>
      </c>
      <c r="G67" s="510" t="s">
        <v>1436</v>
      </c>
      <c r="H67" s="510" t="b">
        <v>1</v>
      </c>
      <c r="I67" s="510" t="s">
        <v>1437</v>
      </c>
      <c r="J67" s="510" t="b">
        <v>1</v>
      </c>
      <c r="K67" s="494" t="s">
        <v>1998</v>
      </c>
      <c r="L67" s="512" t="s">
        <v>1211</v>
      </c>
      <c r="M67" s="510">
        <v>6.0</v>
      </c>
      <c r="N67" s="510">
        <v>7.0</v>
      </c>
      <c r="O67" s="510">
        <v>6.0</v>
      </c>
      <c r="P67" s="512" t="s">
        <v>1999</v>
      </c>
      <c r="Q67" s="510">
        <v>6.0</v>
      </c>
      <c r="R67" s="510">
        <v>7.0</v>
      </c>
      <c r="S67" s="510">
        <v>7.0</v>
      </c>
      <c r="T67" s="512" t="s">
        <v>2000</v>
      </c>
      <c r="U67" s="510">
        <v>7.0</v>
      </c>
      <c r="V67" s="510">
        <v>7.0</v>
      </c>
      <c r="W67" s="510">
        <v>6.0</v>
      </c>
      <c r="X67" s="512" t="s">
        <v>2001</v>
      </c>
      <c r="Y67" s="510">
        <v>7.0</v>
      </c>
      <c r="Z67" s="510">
        <v>6.0</v>
      </c>
      <c r="AA67" s="510">
        <v>6.0</v>
      </c>
      <c r="AB67" s="512" t="s">
        <v>2002</v>
      </c>
      <c r="AC67" s="512" t="s">
        <v>2003</v>
      </c>
      <c r="AD67" s="512" t="s">
        <v>2004</v>
      </c>
      <c r="AE67" s="18" t="s">
        <v>2005</v>
      </c>
      <c r="AF67" s="12"/>
      <c r="AG67" s="502">
        <f t="shared" si="4"/>
        <v>6.5</v>
      </c>
    </row>
    <row r="68" hidden="1">
      <c r="A68" s="510" t="s">
        <v>2006</v>
      </c>
      <c r="B68" s="510" t="s">
        <v>2007</v>
      </c>
      <c r="C68" s="511">
        <v>45967.84900462963</v>
      </c>
      <c r="D68" s="510" t="s">
        <v>1435</v>
      </c>
      <c r="E68" s="510" t="b">
        <v>1</v>
      </c>
      <c r="F68" s="510" t="b">
        <v>1</v>
      </c>
      <c r="G68" s="510" t="s">
        <v>1436</v>
      </c>
      <c r="H68" s="510" t="b">
        <v>1</v>
      </c>
      <c r="I68" s="510" t="s">
        <v>1437</v>
      </c>
      <c r="J68" s="510" t="b">
        <v>1</v>
      </c>
      <c r="K68" s="494" t="s">
        <v>2008</v>
      </c>
      <c r="L68" s="512" t="s">
        <v>2009</v>
      </c>
      <c r="M68" s="510">
        <v>6.0</v>
      </c>
      <c r="N68" s="510">
        <v>9.0</v>
      </c>
      <c r="O68" s="510">
        <v>6.0</v>
      </c>
      <c r="P68" s="512" t="s">
        <v>2010</v>
      </c>
      <c r="Q68" s="510">
        <v>6.0</v>
      </c>
      <c r="R68" s="510">
        <v>9.0</v>
      </c>
      <c r="S68" s="510">
        <v>9.0</v>
      </c>
      <c r="T68" s="512" t="s">
        <v>2011</v>
      </c>
      <c r="U68" s="510">
        <v>9.0</v>
      </c>
      <c r="V68" s="510">
        <v>6.0</v>
      </c>
      <c r="W68" s="510">
        <v>5.0</v>
      </c>
      <c r="X68" s="512" t="s">
        <v>2012</v>
      </c>
      <c r="Y68" s="510">
        <v>9.0</v>
      </c>
      <c r="Z68" s="510">
        <v>9.0</v>
      </c>
      <c r="AA68" s="510">
        <v>9.0</v>
      </c>
      <c r="AB68" s="512" t="s">
        <v>2013</v>
      </c>
      <c r="AC68" s="512" t="s">
        <v>2014</v>
      </c>
      <c r="AD68" s="512" t="s">
        <v>2015</v>
      </c>
      <c r="AE68" s="513"/>
      <c r="AF68" s="12"/>
      <c r="AG68" s="502">
        <f t="shared" si="4"/>
        <v>7.666666667</v>
      </c>
    </row>
    <row r="69" hidden="1">
      <c r="A69" s="510" t="s">
        <v>2016</v>
      </c>
      <c r="B69" s="510" t="s">
        <v>2017</v>
      </c>
      <c r="C69" s="511">
        <v>45966.61388888889</v>
      </c>
      <c r="D69" s="510" t="s">
        <v>1435</v>
      </c>
      <c r="E69" s="510" t="b">
        <v>1</v>
      </c>
      <c r="F69" s="510" t="b">
        <v>1</v>
      </c>
      <c r="G69" s="510" t="s">
        <v>1436</v>
      </c>
      <c r="H69" s="510" t="b">
        <v>1</v>
      </c>
      <c r="I69" s="510" t="s">
        <v>1437</v>
      </c>
      <c r="J69" s="510" t="b">
        <v>1</v>
      </c>
      <c r="K69" s="494" t="s">
        <v>2018</v>
      </c>
      <c r="L69" s="512" t="s">
        <v>2009</v>
      </c>
      <c r="M69" s="510">
        <v>9.0</v>
      </c>
      <c r="N69" s="510">
        <v>8.0</v>
      </c>
      <c r="O69" s="510">
        <v>8.0</v>
      </c>
      <c r="P69" s="512" t="s">
        <v>2019</v>
      </c>
      <c r="Q69" s="510">
        <v>7.0</v>
      </c>
      <c r="R69" s="510">
        <v>9.0</v>
      </c>
      <c r="S69" s="510">
        <v>7.0</v>
      </c>
      <c r="T69" s="512" t="s">
        <v>2020</v>
      </c>
      <c r="U69" s="510">
        <v>7.0</v>
      </c>
      <c r="V69" s="510">
        <v>6.0</v>
      </c>
      <c r="W69" s="510">
        <v>3.0</v>
      </c>
      <c r="X69" s="512" t="s">
        <v>2021</v>
      </c>
      <c r="Y69" s="510">
        <v>6.0</v>
      </c>
      <c r="Z69" s="510">
        <v>9.0</v>
      </c>
      <c r="AA69" s="510">
        <v>9.0</v>
      </c>
      <c r="AB69" s="512" t="s">
        <v>2022</v>
      </c>
      <c r="AC69" s="512" t="s">
        <v>2023</v>
      </c>
      <c r="AD69" s="512" t="s">
        <v>2024</v>
      </c>
      <c r="AE69" s="512" t="s">
        <v>2025</v>
      </c>
      <c r="AF69" s="12"/>
      <c r="AG69" s="502">
        <f t="shared" si="4"/>
        <v>7.333333333</v>
      </c>
    </row>
    <row r="70" hidden="1">
      <c r="A70" s="510" t="s">
        <v>2026</v>
      </c>
      <c r="B70" s="510" t="s">
        <v>2027</v>
      </c>
      <c r="C70" s="511">
        <v>45966.695</v>
      </c>
      <c r="D70" s="510" t="s">
        <v>1435</v>
      </c>
      <c r="E70" s="510" t="b">
        <v>1</v>
      </c>
      <c r="F70" s="510" t="b">
        <v>1</v>
      </c>
      <c r="G70" s="510" t="s">
        <v>1436</v>
      </c>
      <c r="H70" s="510" t="b">
        <v>1</v>
      </c>
      <c r="I70" s="510" t="s">
        <v>1437</v>
      </c>
      <c r="J70" s="510" t="b">
        <v>1</v>
      </c>
      <c r="K70" s="494" t="s">
        <v>2028</v>
      </c>
      <c r="L70" s="512" t="s">
        <v>2009</v>
      </c>
      <c r="M70" s="510">
        <v>7.0</v>
      </c>
      <c r="N70" s="510">
        <v>7.0</v>
      </c>
      <c r="O70" s="510">
        <v>6.0</v>
      </c>
      <c r="P70" s="512" t="s">
        <v>2029</v>
      </c>
      <c r="Q70" s="510">
        <v>6.0</v>
      </c>
      <c r="R70" s="510">
        <v>9.0</v>
      </c>
      <c r="S70" s="510">
        <v>6.0</v>
      </c>
      <c r="T70" s="512" t="s">
        <v>2030</v>
      </c>
      <c r="U70" s="510">
        <v>5.0</v>
      </c>
      <c r="V70" s="510">
        <v>6.0</v>
      </c>
      <c r="W70" s="510">
        <v>7.0</v>
      </c>
      <c r="X70" s="512" t="s">
        <v>2031</v>
      </c>
      <c r="Y70" s="510">
        <v>6.0</v>
      </c>
      <c r="Z70" s="510">
        <v>5.0</v>
      </c>
      <c r="AA70" s="510">
        <v>7.0</v>
      </c>
      <c r="AB70" s="512" t="s">
        <v>2032</v>
      </c>
      <c r="AC70" s="512" t="s">
        <v>2033</v>
      </c>
      <c r="AD70" s="512" t="s">
        <v>2034</v>
      </c>
      <c r="AE70" s="512" t="s">
        <v>2035</v>
      </c>
      <c r="AF70" s="12"/>
      <c r="AG70" s="502">
        <f t="shared" si="4"/>
        <v>6.416666667</v>
      </c>
    </row>
    <row r="71" hidden="1">
      <c r="A71" s="510" t="s">
        <v>2036</v>
      </c>
      <c r="B71" s="510" t="s">
        <v>2037</v>
      </c>
      <c r="C71" s="511">
        <v>45966.462546296294</v>
      </c>
      <c r="D71" s="510" t="s">
        <v>1435</v>
      </c>
      <c r="E71" s="510" t="b">
        <v>1</v>
      </c>
      <c r="F71" s="510" t="b">
        <v>1</v>
      </c>
      <c r="G71" s="510" t="s">
        <v>1436</v>
      </c>
      <c r="H71" s="510" t="b">
        <v>1</v>
      </c>
      <c r="I71" s="510" t="s">
        <v>1437</v>
      </c>
      <c r="J71" s="510" t="b">
        <v>1</v>
      </c>
      <c r="K71" s="494" t="s">
        <v>2038</v>
      </c>
      <c r="L71" s="512" t="s">
        <v>2009</v>
      </c>
      <c r="M71" s="510">
        <v>3.0</v>
      </c>
      <c r="N71" s="510">
        <v>3.0</v>
      </c>
      <c r="O71" s="510">
        <v>3.0</v>
      </c>
      <c r="P71" s="512" t="s">
        <v>2039</v>
      </c>
      <c r="Q71" s="510">
        <v>3.0</v>
      </c>
      <c r="R71" s="510">
        <v>6.0</v>
      </c>
      <c r="S71" s="510">
        <v>6.0</v>
      </c>
      <c r="T71" s="512" t="s">
        <v>2040</v>
      </c>
      <c r="U71" s="510">
        <v>5.0</v>
      </c>
      <c r="V71" s="510">
        <v>2.0</v>
      </c>
      <c r="W71" s="510">
        <v>3.0</v>
      </c>
      <c r="X71" s="512" t="s">
        <v>2041</v>
      </c>
      <c r="Y71" s="510">
        <v>6.0</v>
      </c>
      <c r="Z71" s="510">
        <v>6.0</v>
      </c>
      <c r="AA71" s="510">
        <v>3.0</v>
      </c>
      <c r="AB71" s="512" t="s">
        <v>2042</v>
      </c>
      <c r="AC71" s="512" t="s">
        <v>2043</v>
      </c>
      <c r="AD71" s="512" t="s">
        <v>2044</v>
      </c>
      <c r="AE71" s="512" t="s">
        <v>2045</v>
      </c>
      <c r="AF71" s="12"/>
      <c r="AG71" s="502">
        <f t="shared" si="4"/>
        <v>4.083333333</v>
      </c>
    </row>
    <row r="72" hidden="1">
      <c r="A72" s="510" t="s">
        <v>2046</v>
      </c>
      <c r="B72" s="510" t="s">
        <v>2047</v>
      </c>
      <c r="C72" s="511">
        <v>45967.08347222222</v>
      </c>
      <c r="D72" s="510" t="s">
        <v>1435</v>
      </c>
      <c r="E72" s="510" t="b">
        <v>1</v>
      </c>
      <c r="F72" s="510" t="b">
        <v>1</v>
      </c>
      <c r="G72" s="510" t="s">
        <v>1436</v>
      </c>
      <c r="H72" s="510" t="b">
        <v>1</v>
      </c>
      <c r="I72" s="510" t="s">
        <v>1437</v>
      </c>
      <c r="J72" s="510" t="b">
        <v>1</v>
      </c>
      <c r="K72" s="494" t="s">
        <v>2048</v>
      </c>
      <c r="L72" s="512" t="s">
        <v>2009</v>
      </c>
      <c r="M72" s="510">
        <v>3.0</v>
      </c>
      <c r="N72" s="510">
        <v>3.0</v>
      </c>
      <c r="O72" s="510">
        <v>3.0</v>
      </c>
      <c r="P72" s="512" t="s">
        <v>2049</v>
      </c>
      <c r="Q72" s="510">
        <v>3.0</v>
      </c>
      <c r="R72" s="510">
        <v>4.0</v>
      </c>
      <c r="S72" s="510">
        <v>3.0</v>
      </c>
      <c r="T72" s="512" t="s">
        <v>2050</v>
      </c>
      <c r="U72" s="510">
        <v>3.0</v>
      </c>
      <c r="V72" s="510">
        <v>3.0</v>
      </c>
      <c r="W72" s="510">
        <v>3.0</v>
      </c>
      <c r="X72" s="512" t="s">
        <v>2051</v>
      </c>
      <c r="Y72" s="510">
        <v>3.0</v>
      </c>
      <c r="Z72" s="510">
        <v>3.0</v>
      </c>
      <c r="AA72" s="510">
        <v>3.0</v>
      </c>
      <c r="AB72" s="512" t="s">
        <v>2052</v>
      </c>
      <c r="AC72" s="512" t="s">
        <v>2053</v>
      </c>
      <c r="AD72" s="512" t="s">
        <v>2054</v>
      </c>
      <c r="AE72" s="512" t="s">
        <v>2055</v>
      </c>
      <c r="AF72" s="12"/>
      <c r="AG72" s="502">
        <f t="shared" si="4"/>
        <v>3.083333333</v>
      </c>
    </row>
    <row r="73" hidden="1">
      <c r="A73" s="510" t="s">
        <v>2056</v>
      </c>
      <c r="B73" s="510" t="s">
        <v>2057</v>
      </c>
      <c r="C73" s="511">
        <v>45998.587476851855</v>
      </c>
      <c r="D73" s="510" t="s">
        <v>1435</v>
      </c>
      <c r="E73" s="510" t="b">
        <v>1</v>
      </c>
      <c r="F73" s="510" t="b">
        <v>1</v>
      </c>
      <c r="G73" s="510" t="s">
        <v>1436</v>
      </c>
      <c r="H73" s="510" t="b">
        <v>1</v>
      </c>
      <c r="I73" s="510" t="s">
        <v>1437</v>
      </c>
      <c r="J73" s="510" t="b">
        <v>1</v>
      </c>
      <c r="K73" s="494" t="s">
        <v>2058</v>
      </c>
      <c r="L73" s="512" t="s">
        <v>720</v>
      </c>
      <c r="M73" s="510">
        <v>6.0</v>
      </c>
      <c r="N73" s="510">
        <v>7.0</v>
      </c>
      <c r="O73" s="510">
        <v>8.0</v>
      </c>
      <c r="P73" s="512" t="s">
        <v>2059</v>
      </c>
      <c r="Q73" s="510">
        <v>8.0</v>
      </c>
      <c r="R73" s="510">
        <v>6.0</v>
      </c>
      <c r="S73" s="510">
        <v>9.0</v>
      </c>
      <c r="T73" s="512" t="s">
        <v>2060</v>
      </c>
      <c r="U73" s="510">
        <v>7.0</v>
      </c>
      <c r="V73" s="510">
        <v>9.0</v>
      </c>
      <c r="W73" s="510">
        <v>7.0</v>
      </c>
      <c r="X73" s="512" t="s">
        <v>2061</v>
      </c>
      <c r="Y73" s="510">
        <v>8.0</v>
      </c>
      <c r="Z73" s="510">
        <v>9.0</v>
      </c>
      <c r="AA73" s="510">
        <v>7.0</v>
      </c>
      <c r="AB73" s="512" t="s">
        <v>2062</v>
      </c>
      <c r="AC73" s="512" t="s">
        <v>2063</v>
      </c>
      <c r="AD73" s="512" t="s">
        <v>2064</v>
      </c>
      <c r="AE73" s="512" t="s">
        <v>154</v>
      </c>
      <c r="AF73" s="12"/>
      <c r="AG73" s="502">
        <f t="shared" si="4"/>
        <v>7.583333333</v>
      </c>
    </row>
    <row r="74" hidden="1">
      <c r="A74" s="510" t="s">
        <v>2065</v>
      </c>
      <c r="B74" s="510" t="s">
        <v>2066</v>
      </c>
      <c r="C74" s="511">
        <v>45970.47002314815</v>
      </c>
      <c r="D74" s="510" t="s">
        <v>1435</v>
      </c>
      <c r="E74" s="510" t="b">
        <v>1</v>
      </c>
      <c r="F74" s="510" t="b">
        <v>1</v>
      </c>
      <c r="G74" s="510" t="s">
        <v>1436</v>
      </c>
      <c r="H74" s="510" t="b">
        <v>1</v>
      </c>
      <c r="I74" s="510" t="s">
        <v>1437</v>
      </c>
      <c r="J74" s="510" t="b">
        <v>1</v>
      </c>
      <c r="K74" s="494" t="s">
        <v>2067</v>
      </c>
      <c r="L74" s="512" t="s">
        <v>91</v>
      </c>
      <c r="M74" s="510">
        <v>9.0</v>
      </c>
      <c r="N74" s="510">
        <v>9.0</v>
      </c>
      <c r="O74" s="510">
        <v>9.0</v>
      </c>
      <c r="P74" s="512" t="s">
        <v>2068</v>
      </c>
      <c r="Q74" s="510">
        <v>9.0</v>
      </c>
      <c r="R74" s="510">
        <v>9.0</v>
      </c>
      <c r="S74" s="510">
        <v>9.0</v>
      </c>
      <c r="T74" s="512" t="s">
        <v>2069</v>
      </c>
      <c r="U74" s="510">
        <v>9.0</v>
      </c>
      <c r="V74" s="510">
        <v>9.0</v>
      </c>
      <c r="W74" s="510">
        <v>9.0</v>
      </c>
      <c r="X74" s="512" t="s">
        <v>2070</v>
      </c>
      <c r="Y74" s="510">
        <v>9.0</v>
      </c>
      <c r="Z74" s="510">
        <v>9.0</v>
      </c>
      <c r="AA74" s="510">
        <v>9.0</v>
      </c>
      <c r="AB74" s="512" t="s">
        <v>2071</v>
      </c>
      <c r="AC74" s="512" t="s">
        <v>2072</v>
      </c>
      <c r="AD74" s="512" t="s">
        <v>2073</v>
      </c>
      <c r="AE74" s="512" t="s">
        <v>2074</v>
      </c>
      <c r="AF74" s="12"/>
      <c r="AG74" s="502">
        <f t="shared" si="4"/>
        <v>9</v>
      </c>
    </row>
    <row r="75" hidden="1">
      <c r="A75" s="510" t="s">
        <v>2075</v>
      </c>
      <c r="B75" s="510" t="s">
        <v>2076</v>
      </c>
      <c r="C75" s="511">
        <v>45967.3915625</v>
      </c>
      <c r="D75" s="510" t="s">
        <v>1435</v>
      </c>
      <c r="E75" s="510" t="b">
        <v>1</v>
      </c>
      <c r="F75" s="510" t="b">
        <v>1</v>
      </c>
      <c r="G75" s="510" t="s">
        <v>1436</v>
      </c>
      <c r="H75" s="510" t="b">
        <v>1</v>
      </c>
      <c r="I75" s="510" t="s">
        <v>1437</v>
      </c>
      <c r="J75" s="510" t="b">
        <v>1</v>
      </c>
      <c r="K75" s="494" t="s">
        <v>2077</v>
      </c>
      <c r="L75" s="512" t="s">
        <v>91</v>
      </c>
      <c r="M75" s="510">
        <v>9.0</v>
      </c>
      <c r="N75" s="510">
        <v>9.0</v>
      </c>
      <c r="O75" s="510">
        <v>9.0</v>
      </c>
      <c r="P75" s="512" t="s">
        <v>2078</v>
      </c>
      <c r="Q75" s="510">
        <v>9.0</v>
      </c>
      <c r="R75" s="510">
        <v>9.0</v>
      </c>
      <c r="S75" s="510">
        <v>9.0</v>
      </c>
      <c r="T75" s="512" t="s">
        <v>2079</v>
      </c>
      <c r="U75" s="510">
        <v>8.0</v>
      </c>
      <c r="V75" s="510">
        <v>8.0</v>
      </c>
      <c r="W75" s="510">
        <v>8.0</v>
      </c>
      <c r="X75" s="512" t="s">
        <v>2080</v>
      </c>
      <c r="Y75" s="510">
        <v>9.0</v>
      </c>
      <c r="Z75" s="510">
        <v>9.0</v>
      </c>
      <c r="AA75" s="510">
        <v>9.0</v>
      </c>
      <c r="AB75" s="512" t="s">
        <v>2081</v>
      </c>
      <c r="AC75" s="512" t="s">
        <v>2082</v>
      </c>
      <c r="AD75" s="512" t="s">
        <v>2083</v>
      </c>
      <c r="AE75" s="501"/>
      <c r="AF75" s="12"/>
      <c r="AG75" s="502">
        <f t="shared" si="4"/>
        <v>8.75</v>
      </c>
    </row>
    <row r="76" hidden="1">
      <c r="A76" s="510" t="s">
        <v>2084</v>
      </c>
      <c r="B76" s="510" t="s">
        <v>2085</v>
      </c>
      <c r="C76" s="511">
        <v>45972.61918981482</v>
      </c>
      <c r="D76" s="510" t="s">
        <v>1435</v>
      </c>
      <c r="E76" s="510" t="b">
        <v>1</v>
      </c>
      <c r="F76" s="510" t="b">
        <v>1</v>
      </c>
      <c r="G76" s="510" t="s">
        <v>1436</v>
      </c>
      <c r="H76" s="510" t="b">
        <v>1</v>
      </c>
      <c r="I76" s="510" t="s">
        <v>1437</v>
      </c>
      <c r="J76" s="510" t="b">
        <v>1</v>
      </c>
      <c r="K76" s="494" t="s">
        <v>2086</v>
      </c>
      <c r="L76" s="512" t="s">
        <v>91</v>
      </c>
      <c r="M76" s="510">
        <v>9.0</v>
      </c>
      <c r="N76" s="510">
        <v>9.0</v>
      </c>
      <c r="O76" s="510">
        <v>9.0</v>
      </c>
      <c r="P76" s="512" t="s">
        <v>2087</v>
      </c>
      <c r="Q76" s="510">
        <v>7.0</v>
      </c>
      <c r="R76" s="510">
        <v>7.0</v>
      </c>
      <c r="S76" s="510">
        <v>6.0</v>
      </c>
      <c r="T76" s="512" t="s">
        <v>2088</v>
      </c>
      <c r="U76" s="510">
        <v>9.0</v>
      </c>
      <c r="V76" s="510">
        <v>9.0</v>
      </c>
      <c r="W76" s="510">
        <v>9.0</v>
      </c>
      <c r="X76" s="512" t="s">
        <v>2089</v>
      </c>
      <c r="Y76" s="510">
        <v>9.0</v>
      </c>
      <c r="Z76" s="510">
        <v>7.0</v>
      </c>
      <c r="AA76" s="510">
        <v>9.0</v>
      </c>
      <c r="AB76" s="512" t="s">
        <v>2090</v>
      </c>
      <c r="AC76" s="512" t="s">
        <v>2091</v>
      </c>
      <c r="AD76" s="512" t="s">
        <v>2092</v>
      </c>
      <c r="AE76" s="512" t="s">
        <v>2093</v>
      </c>
      <c r="AF76" s="12"/>
      <c r="AG76" s="502">
        <f t="shared" si="4"/>
        <v>8.25</v>
      </c>
    </row>
    <row r="77" hidden="1">
      <c r="A77" s="522" t="s">
        <v>2094</v>
      </c>
      <c r="B77" s="523" t="s">
        <v>107</v>
      </c>
      <c r="C77" s="524">
        <v>46009.350752314815</v>
      </c>
      <c r="D77" s="525" t="s">
        <v>1435</v>
      </c>
      <c r="E77" s="523" t="b">
        <v>1</v>
      </c>
      <c r="F77" s="523" t="b">
        <v>1</v>
      </c>
      <c r="G77" s="525" t="s">
        <v>1436</v>
      </c>
      <c r="H77" s="523" t="b">
        <v>1</v>
      </c>
      <c r="I77" s="525" t="s">
        <v>1437</v>
      </c>
      <c r="J77" s="523" t="b">
        <v>1</v>
      </c>
      <c r="K77" s="526" t="s">
        <v>242</v>
      </c>
      <c r="L77" s="525" t="s">
        <v>109</v>
      </c>
      <c r="M77" s="523">
        <v>7.0</v>
      </c>
      <c r="N77" s="523">
        <v>7.0</v>
      </c>
      <c r="O77" s="523">
        <v>7.0</v>
      </c>
      <c r="P77" s="525" t="s">
        <v>2095</v>
      </c>
      <c r="Q77" s="523">
        <v>7.0</v>
      </c>
      <c r="R77" s="523">
        <v>8.0</v>
      </c>
      <c r="S77" s="523">
        <v>6.0</v>
      </c>
      <c r="T77" s="525" t="s">
        <v>2096</v>
      </c>
      <c r="U77" s="523">
        <v>8.0</v>
      </c>
      <c r="V77" s="523">
        <v>8.0</v>
      </c>
      <c r="W77" s="523">
        <v>9.0</v>
      </c>
      <c r="X77" s="525" t="s">
        <v>2097</v>
      </c>
      <c r="Y77" s="523">
        <v>7.0</v>
      </c>
      <c r="Z77" s="523">
        <v>6.0</v>
      </c>
      <c r="AA77" s="523">
        <v>6.0</v>
      </c>
      <c r="AB77" s="523" t="s">
        <v>110</v>
      </c>
      <c r="AC77" s="525" t="s">
        <v>2098</v>
      </c>
      <c r="AD77" s="525" t="s">
        <v>2099</v>
      </c>
      <c r="AE77" s="512"/>
      <c r="AF77" s="18"/>
      <c r="AG77" s="495">
        <f t="shared" si="4"/>
        <v>7.166666667</v>
      </c>
    </row>
    <row r="78" hidden="1">
      <c r="A78" s="522" t="s">
        <v>2100</v>
      </c>
      <c r="B78" s="523" t="s">
        <v>1306</v>
      </c>
      <c r="C78" s="524">
        <v>46015.609560185185</v>
      </c>
      <c r="D78" s="525" t="s">
        <v>1435</v>
      </c>
      <c r="E78" s="523" t="b">
        <v>1</v>
      </c>
      <c r="F78" s="523" t="b">
        <v>1</v>
      </c>
      <c r="G78" s="525" t="s">
        <v>1436</v>
      </c>
      <c r="H78" s="523" t="b">
        <v>1</v>
      </c>
      <c r="I78" s="525" t="s">
        <v>1437</v>
      </c>
      <c r="J78" s="523" t="b">
        <v>1</v>
      </c>
      <c r="K78" s="526" t="s">
        <v>722</v>
      </c>
      <c r="L78" s="525" t="s">
        <v>109</v>
      </c>
      <c r="M78" s="523">
        <v>5.0</v>
      </c>
      <c r="N78" s="523">
        <v>5.0</v>
      </c>
      <c r="O78" s="523">
        <v>8.0</v>
      </c>
      <c r="P78" s="525" t="s">
        <v>2101</v>
      </c>
      <c r="Q78" s="523">
        <v>9.0</v>
      </c>
      <c r="R78" s="523">
        <v>2.0</v>
      </c>
      <c r="S78" s="523">
        <v>3.0</v>
      </c>
      <c r="T78" s="525" t="s">
        <v>2102</v>
      </c>
      <c r="U78" s="523">
        <v>8.0</v>
      </c>
      <c r="V78" s="523">
        <v>8.0</v>
      </c>
      <c r="W78" s="523">
        <v>6.0</v>
      </c>
      <c r="X78" s="525" t="s">
        <v>2103</v>
      </c>
      <c r="Y78" s="523">
        <v>3.0</v>
      </c>
      <c r="Z78" s="523">
        <v>3.0</v>
      </c>
      <c r="AA78" s="523">
        <v>9.0</v>
      </c>
      <c r="AB78" s="525" t="s">
        <v>2104</v>
      </c>
      <c r="AC78" s="525" t="s">
        <v>2105</v>
      </c>
      <c r="AD78" s="525" t="s">
        <v>2106</v>
      </c>
      <c r="AE78" s="512"/>
      <c r="AF78" s="18"/>
      <c r="AG78" s="495">
        <f t="shared" si="4"/>
        <v>5.75</v>
      </c>
    </row>
    <row r="79" hidden="1">
      <c r="A79" s="512" t="s">
        <v>2107</v>
      </c>
      <c r="B79" s="512" t="s">
        <v>2108</v>
      </c>
      <c r="C79" s="527">
        <v>45969.57224537037</v>
      </c>
      <c r="D79" s="512" t="s">
        <v>1435</v>
      </c>
      <c r="E79" s="512" t="b">
        <v>1</v>
      </c>
      <c r="F79" s="512" t="b">
        <v>1</v>
      </c>
      <c r="G79" s="512" t="s">
        <v>1436</v>
      </c>
      <c r="H79" s="512" t="b">
        <v>1</v>
      </c>
      <c r="I79" s="512" t="s">
        <v>1437</v>
      </c>
      <c r="J79" s="512" t="b">
        <v>1</v>
      </c>
      <c r="K79" s="494" t="s">
        <v>113</v>
      </c>
      <c r="L79" s="512" t="s">
        <v>109</v>
      </c>
      <c r="M79" s="512">
        <v>9.0</v>
      </c>
      <c r="N79" s="512">
        <v>7.0</v>
      </c>
      <c r="O79" s="512">
        <v>9.0</v>
      </c>
      <c r="P79" s="512" t="s">
        <v>2109</v>
      </c>
      <c r="Q79" s="512">
        <v>9.0</v>
      </c>
      <c r="R79" s="512">
        <v>9.0</v>
      </c>
      <c r="S79" s="512">
        <v>6.0</v>
      </c>
      <c r="T79" s="512" t="s">
        <v>2110</v>
      </c>
      <c r="U79" s="512">
        <v>7.0</v>
      </c>
      <c r="V79" s="512">
        <v>7.0</v>
      </c>
      <c r="W79" s="512">
        <v>7.0</v>
      </c>
      <c r="X79" s="512" t="s">
        <v>2111</v>
      </c>
      <c r="Y79" s="512">
        <v>9.0</v>
      </c>
      <c r="Z79" s="512">
        <v>9.0</v>
      </c>
      <c r="AA79" s="512">
        <v>9.0</v>
      </c>
      <c r="AB79" s="512" t="s">
        <v>2112</v>
      </c>
      <c r="AC79" s="512" t="s">
        <v>2113</v>
      </c>
      <c r="AD79" s="512" t="s">
        <v>2114</v>
      </c>
      <c r="AE79" s="512"/>
      <c r="AF79" s="18"/>
      <c r="AG79" s="495">
        <f t="shared" si="4"/>
        <v>8.083333333</v>
      </c>
    </row>
    <row r="80" hidden="1">
      <c r="A80" s="512" t="s">
        <v>2115</v>
      </c>
      <c r="B80" s="512" t="s">
        <v>2116</v>
      </c>
      <c r="C80" s="527">
        <v>45999.73070601852</v>
      </c>
      <c r="D80" s="512" t="s">
        <v>1435</v>
      </c>
      <c r="E80" s="512" t="b">
        <v>1</v>
      </c>
      <c r="F80" s="512" t="b">
        <v>1</v>
      </c>
      <c r="G80" s="512" t="s">
        <v>1436</v>
      </c>
      <c r="H80" s="512" t="b">
        <v>1</v>
      </c>
      <c r="I80" s="512" t="s">
        <v>1437</v>
      </c>
      <c r="J80" s="512" t="b">
        <v>1</v>
      </c>
      <c r="K80" s="494" t="s">
        <v>241</v>
      </c>
      <c r="L80" s="512" t="s">
        <v>109</v>
      </c>
      <c r="M80" s="512">
        <v>6.0</v>
      </c>
      <c r="N80" s="512">
        <v>4.0</v>
      </c>
      <c r="O80" s="512">
        <v>7.0</v>
      </c>
      <c r="P80" s="512" t="s">
        <v>2117</v>
      </c>
      <c r="Q80" s="512">
        <v>7.0</v>
      </c>
      <c r="R80" s="512">
        <v>8.0</v>
      </c>
      <c r="S80" s="512">
        <v>6.0</v>
      </c>
      <c r="T80" s="512" t="s">
        <v>2118</v>
      </c>
      <c r="U80" s="512">
        <v>7.0</v>
      </c>
      <c r="V80" s="512">
        <v>7.0</v>
      </c>
      <c r="W80" s="512">
        <v>8.0</v>
      </c>
      <c r="X80" s="512" t="s">
        <v>2119</v>
      </c>
      <c r="Y80" s="512">
        <v>4.0</v>
      </c>
      <c r="Z80" s="512">
        <v>5.0</v>
      </c>
      <c r="AA80" s="512">
        <v>8.0</v>
      </c>
      <c r="AB80" s="512" t="s">
        <v>2120</v>
      </c>
      <c r="AC80" s="512" t="s">
        <v>2121</v>
      </c>
      <c r="AD80" s="512" t="s">
        <v>2122</v>
      </c>
      <c r="AE80" s="512" t="s">
        <v>65</v>
      </c>
      <c r="AF80" s="18"/>
      <c r="AG80" s="495">
        <f t="shared" si="4"/>
        <v>6.416666667</v>
      </c>
    </row>
    <row r="81" hidden="1">
      <c r="A81" s="512" t="s">
        <v>2123</v>
      </c>
      <c r="B81" s="512" t="s">
        <v>133</v>
      </c>
      <c r="C81" s="527">
        <v>45966.68329861111</v>
      </c>
      <c r="D81" s="512" t="s">
        <v>1435</v>
      </c>
      <c r="E81" s="512" t="b">
        <v>1</v>
      </c>
      <c r="F81" s="512" t="b">
        <v>1</v>
      </c>
      <c r="G81" s="512" t="s">
        <v>1436</v>
      </c>
      <c r="H81" s="512" t="b">
        <v>1</v>
      </c>
      <c r="I81" s="512" t="s">
        <v>1437</v>
      </c>
      <c r="J81" s="512" t="b">
        <v>1</v>
      </c>
      <c r="K81" s="494" t="s">
        <v>134</v>
      </c>
      <c r="L81" s="512" t="s">
        <v>109</v>
      </c>
      <c r="M81" s="512">
        <v>6.0</v>
      </c>
      <c r="N81" s="512">
        <v>6.0</v>
      </c>
      <c r="O81" s="512">
        <v>5.0</v>
      </c>
      <c r="P81" s="512" t="s">
        <v>2124</v>
      </c>
      <c r="Q81" s="512">
        <v>7.0</v>
      </c>
      <c r="R81" s="512">
        <v>7.0</v>
      </c>
      <c r="S81" s="512">
        <v>7.0</v>
      </c>
      <c r="T81" s="512" t="s">
        <v>2125</v>
      </c>
      <c r="U81" s="512">
        <v>6.0</v>
      </c>
      <c r="V81" s="512">
        <v>7.0</v>
      </c>
      <c r="W81" s="512">
        <v>6.0</v>
      </c>
      <c r="X81" s="512" t="s">
        <v>2126</v>
      </c>
      <c r="Y81" s="512">
        <v>5.0</v>
      </c>
      <c r="Z81" s="512">
        <v>5.0</v>
      </c>
      <c r="AA81" s="512">
        <v>7.0</v>
      </c>
      <c r="AB81" s="512" t="s">
        <v>2127</v>
      </c>
      <c r="AC81" s="512" t="s">
        <v>2128</v>
      </c>
      <c r="AD81" s="512" t="s">
        <v>2129</v>
      </c>
      <c r="AE81" s="18"/>
      <c r="AF81" s="18"/>
      <c r="AG81" s="495">
        <f t="shared" si="4"/>
        <v>6.166666667</v>
      </c>
    </row>
    <row r="82" hidden="1">
      <c r="A82" s="512" t="s">
        <v>2130</v>
      </c>
      <c r="B82" s="512" t="s">
        <v>119</v>
      </c>
      <c r="C82" s="527">
        <v>45972.38280092592</v>
      </c>
      <c r="D82" s="512" t="s">
        <v>1435</v>
      </c>
      <c r="E82" s="512" t="b">
        <v>1</v>
      </c>
      <c r="F82" s="512" t="b">
        <v>1</v>
      </c>
      <c r="G82" s="512" t="s">
        <v>1436</v>
      </c>
      <c r="H82" s="512" t="b">
        <v>1</v>
      </c>
      <c r="I82" s="512" t="s">
        <v>1437</v>
      </c>
      <c r="J82" s="512" t="b">
        <v>1</v>
      </c>
      <c r="K82" s="494" t="s">
        <v>120</v>
      </c>
      <c r="L82" s="512" t="s">
        <v>109</v>
      </c>
      <c r="M82" s="512">
        <v>6.0</v>
      </c>
      <c r="N82" s="512">
        <v>6.0</v>
      </c>
      <c r="O82" s="512">
        <v>7.0</v>
      </c>
      <c r="P82" s="512" t="s">
        <v>2131</v>
      </c>
      <c r="Q82" s="512">
        <v>7.0</v>
      </c>
      <c r="R82" s="512">
        <v>4.0</v>
      </c>
      <c r="S82" s="512">
        <v>6.0</v>
      </c>
      <c r="T82" s="512" t="s">
        <v>110</v>
      </c>
      <c r="U82" s="512">
        <v>6.0</v>
      </c>
      <c r="V82" s="512">
        <v>7.0</v>
      </c>
      <c r="W82" s="512">
        <v>6.0</v>
      </c>
      <c r="X82" s="512" t="s">
        <v>110</v>
      </c>
      <c r="Y82" s="512">
        <v>5.0</v>
      </c>
      <c r="Z82" s="512">
        <v>6.0</v>
      </c>
      <c r="AA82" s="512">
        <v>7.0</v>
      </c>
      <c r="AB82" s="512" t="s">
        <v>2132</v>
      </c>
      <c r="AC82" s="512" t="s">
        <v>2133</v>
      </c>
      <c r="AD82" s="512" t="s">
        <v>2134</v>
      </c>
      <c r="AE82" s="512"/>
      <c r="AF82" s="18"/>
      <c r="AG82" s="495">
        <f t="shared" si="4"/>
        <v>6.083333333</v>
      </c>
    </row>
    <row r="83" hidden="1">
      <c r="A83" s="510" t="s">
        <v>2135</v>
      </c>
      <c r="B83" s="510" t="s">
        <v>2136</v>
      </c>
      <c r="C83" s="511">
        <v>45998.405381944445</v>
      </c>
      <c r="D83" s="510" t="s">
        <v>1435</v>
      </c>
      <c r="E83" s="510" t="b">
        <v>1</v>
      </c>
      <c r="F83" s="510" t="b">
        <v>1</v>
      </c>
      <c r="G83" s="510" t="s">
        <v>1436</v>
      </c>
      <c r="H83" s="510" t="b">
        <v>1</v>
      </c>
      <c r="I83" s="510" t="s">
        <v>1437</v>
      </c>
      <c r="J83" s="510" t="b">
        <v>1</v>
      </c>
      <c r="K83" s="494" t="s">
        <v>2137</v>
      </c>
      <c r="L83" s="512" t="s">
        <v>2138</v>
      </c>
      <c r="M83" s="510">
        <v>8.0</v>
      </c>
      <c r="N83" s="510">
        <v>9.0</v>
      </c>
      <c r="O83" s="510">
        <v>9.0</v>
      </c>
      <c r="P83" s="512" t="s">
        <v>2139</v>
      </c>
      <c r="Q83" s="510">
        <v>8.0</v>
      </c>
      <c r="R83" s="510">
        <v>9.0</v>
      </c>
      <c r="S83" s="510">
        <v>9.0</v>
      </c>
      <c r="T83" s="512" t="s">
        <v>2140</v>
      </c>
      <c r="U83" s="513"/>
      <c r="V83" s="510">
        <v>9.0</v>
      </c>
      <c r="W83" s="510">
        <v>8.0</v>
      </c>
      <c r="X83" s="512" t="s">
        <v>2141</v>
      </c>
      <c r="Y83" s="510">
        <v>9.0</v>
      </c>
      <c r="Z83" s="510">
        <v>9.0</v>
      </c>
      <c r="AA83" s="510">
        <v>7.0</v>
      </c>
      <c r="AB83" s="512" t="s">
        <v>2142</v>
      </c>
      <c r="AC83" s="512" t="s">
        <v>2143</v>
      </c>
      <c r="AD83" s="512" t="s">
        <v>2144</v>
      </c>
      <c r="AE83" s="512" t="s">
        <v>2145</v>
      </c>
      <c r="AF83" s="12"/>
      <c r="AG83" s="502">
        <f t="shared" si="4"/>
        <v>8.545454545</v>
      </c>
    </row>
    <row r="84" hidden="1">
      <c r="A84" s="517" t="s">
        <v>2146</v>
      </c>
      <c r="B84" s="518" t="s">
        <v>964</v>
      </c>
      <c r="C84" s="519">
        <v>46012.43583333334</v>
      </c>
      <c r="D84" s="520" t="s">
        <v>1435</v>
      </c>
      <c r="E84" s="518" t="b">
        <v>1</v>
      </c>
      <c r="F84" s="518" t="b">
        <v>1</v>
      </c>
      <c r="G84" s="520" t="s">
        <v>1436</v>
      </c>
      <c r="H84" s="518" t="b">
        <v>1</v>
      </c>
      <c r="I84" s="520" t="s">
        <v>1437</v>
      </c>
      <c r="J84" s="518" t="b">
        <v>1</v>
      </c>
      <c r="K84" s="521" t="s">
        <v>1095</v>
      </c>
      <c r="L84" s="520" t="s">
        <v>781</v>
      </c>
      <c r="M84" s="518">
        <v>8.0</v>
      </c>
      <c r="N84" s="518">
        <v>8.0</v>
      </c>
      <c r="O84" s="518">
        <v>9.0</v>
      </c>
      <c r="P84" s="520" t="s">
        <v>2147</v>
      </c>
      <c r="Q84" s="518">
        <v>9.0</v>
      </c>
      <c r="R84" s="518">
        <v>9.0</v>
      </c>
      <c r="S84" s="518">
        <v>9.0</v>
      </c>
      <c r="T84" s="520" t="s">
        <v>2148</v>
      </c>
      <c r="U84" s="518">
        <v>7.0</v>
      </c>
      <c r="V84" s="518">
        <v>8.0</v>
      </c>
      <c r="W84" s="518">
        <v>8.0</v>
      </c>
      <c r="X84" s="520" t="s">
        <v>2149</v>
      </c>
      <c r="Y84" s="518">
        <v>9.0</v>
      </c>
      <c r="Z84" s="518">
        <v>7.0</v>
      </c>
      <c r="AA84" s="518">
        <v>9.0</v>
      </c>
      <c r="AB84" s="520" t="s">
        <v>2150</v>
      </c>
      <c r="AC84" s="520" t="s">
        <v>2151</v>
      </c>
      <c r="AD84" s="520" t="s">
        <v>2152</v>
      </c>
      <c r="AE84" s="513"/>
      <c r="AF84" s="501"/>
      <c r="AG84" s="502">
        <f t="shared" si="4"/>
        <v>8.333333333</v>
      </c>
    </row>
    <row r="85" hidden="1">
      <c r="A85" s="510" t="s">
        <v>2153</v>
      </c>
      <c r="B85" s="510" t="s">
        <v>2047</v>
      </c>
      <c r="C85" s="511">
        <v>45970.85747685185</v>
      </c>
      <c r="D85" s="510" t="s">
        <v>1435</v>
      </c>
      <c r="E85" s="510" t="b">
        <v>1</v>
      </c>
      <c r="F85" s="510" t="b">
        <v>1</v>
      </c>
      <c r="G85" s="510" t="s">
        <v>1436</v>
      </c>
      <c r="H85" s="510" t="b">
        <v>1</v>
      </c>
      <c r="I85" s="510" t="s">
        <v>1437</v>
      </c>
      <c r="J85" s="510" t="b">
        <v>1</v>
      </c>
      <c r="K85" s="494" t="s">
        <v>2048</v>
      </c>
      <c r="L85" s="512" t="s">
        <v>781</v>
      </c>
      <c r="M85" s="510">
        <v>9.0</v>
      </c>
      <c r="N85" s="510">
        <v>9.0</v>
      </c>
      <c r="O85" s="510">
        <v>9.0</v>
      </c>
      <c r="P85" s="512" t="s">
        <v>2154</v>
      </c>
      <c r="Q85" s="510">
        <v>9.0</v>
      </c>
      <c r="R85" s="510">
        <v>9.0</v>
      </c>
      <c r="S85" s="510">
        <v>9.0</v>
      </c>
      <c r="T85" s="512" t="s">
        <v>2155</v>
      </c>
      <c r="U85" s="510">
        <v>9.0</v>
      </c>
      <c r="V85" s="510">
        <v>9.0</v>
      </c>
      <c r="W85" s="510">
        <v>9.0</v>
      </c>
      <c r="X85" s="512" t="s">
        <v>2156</v>
      </c>
      <c r="Y85" s="510">
        <v>9.0</v>
      </c>
      <c r="Z85" s="510">
        <v>9.0</v>
      </c>
      <c r="AA85" s="510">
        <v>9.0</v>
      </c>
      <c r="AB85" s="512" t="s">
        <v>2157</v>
      </c>
      <c r="AC85" s="512" t="s">
        <v>2158</v>
      </c>
      <c r="AD85" s="512" t="s">
        <v>2159</v>
      </c>
      <c r="AE85" s="512" t="s">
        <v>2160</v>
      </c>
      <c r="AF85" s="12"/>
      <c r="AG85" s="502">
        <f t="shared" si="4"/>
        <v>9</v>
      </c>
    </row>
    <row r="86" hidden="1">
      <c r="A86" s="510" t="s">
        <v>2161</v>
      </c>
      <c r="B86" s="510" t="s">
        <v>2037</v>
      </c>
      <c r="C86" s="511">
        <v>45966.38916666667</v>
      </c>
      <c r="D86" s="510" t="s">
        <v>1435</v>
      </c>
      <c r="E86" s="510" t="b">
        <v>1</v>
      </c>
      <c r="F86" s="510" t="b">
        <v>1</v>
      </c>
      <c r="G86" s="510" t="s">
        <v>1436</v>
      </c>
      <c r="H86" s="510" t="b">
        <v>1</v>
      </c>
      <c r="I86" s="510" t="s">
        <v>1437</v>
      </c>
      <c r="J86" s="510" t="b">
        <v>1</v>
      </c>
      <c r="K86" s="494" t="s">
        <v>2162</v>
      </c>
      <c r="L86" s="512" t="s">
        <v>781</v>
      </c>
      <c r="M86" s="510">
        <v>8.0</v>
      </c>
      <c r="N86" s="510">
        <v>8.0</v>
      </c>
      <c r="O86" s="510">
        <v>8.0</v>
      </c>
      <c r="P86" s="512" t="s">
        <v>2163</v>
      </c>
      <c r="Q86" s="510">
        <v>8.0</v>
      </c>
      <c r="R86" s="510">
        <v>8.0</v>
      </c>
      <c r="S86" s="510">
        <v>8.0</v>
      </c>
      <c r="T86" s="512" t="s">
        <v>2164</v>
      </c>
      <c r="U86" s="510">
        <v>8.0</v>
      </c>
      <c r="V86" s="510">
        <v>8.0</v>
      </c>
      <c r="W86" s="510">
        <v>8.0</v>
      </c>
      <c r="X86" s="512" t="s">
        <v>2165</v>
      </c>
      <c r="Y86" s="510">
        <v>8.0</v>
      </c>
      <c r="Z86" s="510">
        <v>8.0</v>
      </c>
      <c r="AA86" s="510">
        <v>8.0</v>
      </c>
      <c r="AB86" s="512" t="s">
        <v>2166</v>
      </c>
      <c r="AC86" s="512" t="s">
        <v>2167</v>
      </c>
      <c r="AD86" s="512" t="s">
        <v>2168</v>
      </c>
      <c r="AE86" s="18" t="s">
        <v>2169</v>
      </c>
      <c r="AF86" s="12"/>
      <c r="AG86" s="502">
        <f t="shared" si="4"/>
        <v>8</v>
      </c>
    </row>
    <row r="87" hidden="1">
      <c r="A87" s="510" t="s">
        <v>2170</v>
      </c>
      <c r="B87" s="510" t="s">
        <v>2171</v>
      </c>
      <c r="C87" s="511">
        <v>45998.320763888885</v>
      </c>
      <c r="D87" s="510" t="s">
        <v>1435</v>
      </c>
      <c r="E87" s="510" t="b">
        <v>1</v>
      </c>
      <c r="F87" s="510" t="b">
        <v>1</v>
      </c>
      <c r="G87" s="510" t="s">
        <v>1436</v>
      </c>
      <c r="H87" s="510" t="b">
        <v>1</v>
      </c>
      <c r="I87" s="510" t="s">
        <v>1437</v>
      </c>
      <c r="J87" s="510" t="b">
        <v>1</v>
      </c>
      <c r="K87" s="494" t="s">
        <v>2172</v>
      </c>
      <c r="L87" s="512" t="s">
        <v>2173</v>
      </c>
      <c r="M87" s="510">
        <v>9.0</v>
      </c>
      <c r="N87" s="510">
        <v>6.0</v>
      </c>
      <c r="O87" s="510">
        <v>9.0</v>
      </c>
      <c r="P87" s="512" t="s">
        <v>2174</v>
      </c>
      <c r="Q87" s="510">
        <v>9.0</v>
      </c>
      <c r="R87" s="510">
        <v>9.0</v>
      </c>
      <c r="S87" s="510">
        <v>7.0</v>
      </c>
      <c r="T87" s="512" t="s">
        <v>2175</v>
      </c>
      <c r="U87" s="510">
        <v>6.0</v>
      </c>
      <c r="V87" s="510">
        <v>3.0</v>
      </c>
      <c r="W87" s="510">
        <v>9.0</v>
      </c>
      <c r="X87" s="512" t="s">
        <v>2176</v>
      </c>
      <c r="Y87" s="510">
        <v>7.0</v>
      </c>
      <c r="Z87" s="510">
        <v>9.0</v>
      </c>
      <c r="AA87" s="510">
        <v>9.0</v>
      </c>
      <c r="AB87" s="512" t="s">
        <v>2177</v>
      </c>
      <c r="AC87" s="512" t="s">
        <v>2178</v>
      </c>
      <c r="AD87" s="512" t="s">
        <v>2179</v>
      </c>
      <c r="AE87" s="501"/>
      <c r="AF87" s="12"/>
      <c r="AG87" s="502">
        <f t="shared" si="4"/>
        <v>7.666666667</v>
      </c>
    </row>
    <row r="88" hidden="1">
      <c r="A88" s="510" t="s">
        <v>2180</v>
      </c>
      <c r="B88" s="510" t="s">
        <v>2181</v>
      </c>
      <c r="C88" s="511">
        <v>45998.635092592594</v>
      </c>
      <c r="D88" s="510" t="s">
        <v>1435</v>
      </c>
      <c r="E88" s="510" t="b">
        <v>1</v>
      </c>
      <c r="F88" s="510" t="b">
        <v>1</v>
      </c>
      <c r="G88" s="510" t="s">
        <v>1436</v>
      </c>
      <c r="H88" s="510" t="b">
        <v>1</v>
      </c>
      <c r="I88" s="510" t="s">
        <v>1437</v>
      </c>
      <c r="J88" s="510" t="b">
        <v>1</v>
      </c>
      <c r="K88" s="494" t="s">
        <v>2182</v>
      </c>
      <c r="L88" s="512" t="s">
        <v>2173</v>
      </c>
      <c r="M88" s="510">
        <v>7.0</v>
      </c>
      <c r="N88" s="510">
        <v>6.0</v>
      </c>
      <c r="O88" s="510">
        <v>7.0</v>
      </c>
      <c r="P88" s="512" t="s">
        <v>2183</v>
      </c>
      <c r="Q88" s="510">
        <v>9.0</v>
      </c>
      <c r="R88" s="510">
        <v>6.0</v>
      </c>
      <c r="S88" s="510">
        <v>7.0</v>
      </c>
      <c r="T88" s="512" t="s">
        <v>2184</v>
      </c>
      <c r="U88" s="510">
        <v>7.0</v>
      </c>
      <c r="V88" s="510">
        <v>6.0</v>
      </c>
      <c r="W88" s="510">
        <v>7.0</v>
      </c>
      <c r="X88" s="512" t="s">
        <v>2185</v>
      </c>
      <c r="Y88" s="510">
        <v>8.0</v>
      </c>
      <c r="Z88" s="510">
        <v>7.0</v>
      </c>
      <c r="AA88" s="510">
        <v>9.0</v>
      </c>
      <c r="AB88" s="512" t="s">
        <v>2186</v>
      </c>
      <c r="AC88" s="512" t="s">
        <v>2187</v>
      </c>
      <c r="AD88" s="512" t="s">
        <v>2188</v>
      </c>
      <c r="AE88" s="512" t="s">
        <v>2189</v>
      </c>
      <c r="AF88" s="12"/>
      <c r="AG88" s="502">
        <f t="shared" si="4"/>
        <v>7.166666667</v>
      </c>
    </row>
    <row r="89" hidden="1">
      <c r="A89" s="510" t="s">
        <v>2190</v>
      </c>
      <c r="B89" s="510" t="s">
        <v>2191</v>
      </c>
      <c r="C89" s="511">
        <v>45999.281956018516</v>
      </c>
      <c r="D89" s="510" t="s">
        <v>1435</v>
      </c>
      <c r="E89" s="510" t="b">
        <v>1</v>
      </c>
      <c r="F89" s="510" t="b">
        <v>1</v>
      </c>
      <c r="G89" s="510" t="s">
        <v>1436</v>
      </c>
      <c r="H89" s="510" t="b">
        <v>1</v>
      </c>
      <c r="I89" s="510" t="s">
        <v>1437</v>
      </c>
      <c r="J89" s="510" t="b">
        <v>1</v>
      </c>
      <c r="K89" s="494" t="s">
        <v>780</v>
      </c>
      <c r="L89" s="512" t="s">
        <v>144</v>
      </c>
      <c r="M89" s="510">
        <v>7.0</v>
      </c>
      <c r="N89" s="510">
        <v>8.0</v>
      </c>
      <c r="O89" s="510">
        <v>9.0</v>
      </c>
      <c r="P89" s="512" t="s">
        <v>2192</v>
      </c>
      <c r="Q89" s="510">
        <v>9.0</v>
      </c>
      <c r="R89" s="510">
        <v>9.0</v>
      </c>
      <c r="S89" s="510">
        <v>9.0</v>
      </c>
      <c r="T89" s="512" t="s">
        <v>2193</v>
      </c>
      <c r="U89" s="510">
        <v>7.0</v>
      </c>
      <c r="V89" s="510">
        <v>9.0</v>
      </c>
      <c r="W89" s="510">
        <v>6.0</v>
      </c>
      <c r="X89" s="512" t="s">
        <v>2194</v>
      </c>
      <c r="Y89" s="510">
        <v>8.0</v>
      </c>
      <c r="Z89" s="510">
        <v>6.0</v>
      </c>
      <c r="AA89" s="510">
        <v>6.0</v>
      </c>
      <c r="AB89" s="512" t="s">
        <v>2195</v>
      </c>
      <c r="AC89" s="512" t="s">
        <v>2196</v>
      </c>
      <c r="AD89" s="512" t="s">
        <v>2197</v>
      </c>
      <c r="AE89" s="512" t="s">
        <v>2198</v>
      </c>
      <c r="AF89" s="12"/>
      <c r="AG89" s="502">
        <f t="shared" si="4"/>
        <v>7.75</v>
      </c>
    </row>
    <row r="90" hidden="1">
      <c r="A90" s="510" t="s">
        <v>2199</v>
      </c>
      <c r="B90" s="510" t="s">
        <v>2200</v>
      </c>
      <c r="C90" s="511">
        <v>45999.617060185185</v>
      </c>
      <c r="D90" s="510" t="s">
        <v>1435</v>
      </c>
      <c r="E90" s="510" t="b">
        <v>1</v>
      </c>
      <c r="F90" s="510" t="b">
        <v>1</v>
      </c>
      <c r="G90" s="510" t="s">
        <v>1436</v>
      </c>
      <c r="H90" s="510" t="b">
        <v>1</v>
      </c>
      <c r="I90" s="510" t="s">
        <v>1437</v>
      </c>
      <c r="J90" s="510" t="b">
        <v>1</v>
      </c>
      <c r="K90" s="494" t="s">
        <v>2201</v>
      </c>
      <c r="L90" s="512" t="s">
        <v>144</v>
      </c>
      <c r="M90" s="510">
        <v>7.0</v>
      </c>
      <c r="N90" s="510">
        <v>7.0</v>
      </c>
      <c r="O90" s="510">
        <v>7.0</v>
      </c>
      <c r="P90" s="512" t="s">
        <v>2202</v>
      </c>
      <c r="Q90" s="510">
        <v>9.0</v>
      </c>
      <c r="R90" s="510">
        <v>9.0</v>
      </c>
      <c r="S90" s="510">
        <v>6.0</v>
      </c>
      <c r="T90" s="512" t="s">
        <v>2203</v>
      </c>
      <c r="U90" s="510">
        <v>9.0</v>
      </c>
      <c r="V90" s="510">
        <v>9.0</v>
      </c>
      <c r="W90" s="510">
        <v>7.0</v>
      </c>
      <c r="X90" s="512" t="s">
        <v>2204</v>
      </c>
      <c r="Y90" s="510">
        <v>8.0</v>
      </c>
      <c r="Z90" s="510">
        <v>6.0</v>
      </c>
      <c r="AA90" s="510">
        <v>6.0</v>
      </c>
      <c r="AB90" s="512" t="s">
        <v>2205</v>
      </c>
      <c r="AC90" s="512" t="s">
        <v>2206</v>
      </c>
      <c r="AD90" s="512" t="s">
        <v>2207</v>
      </c>
      <c r="AE90" s="513"/>
      <c r="AF90" s="12"/>
      <c r="AG90" s="502">
        <f t="shared" si="4"/>
        <v>7.5</v>
      </c>
    </row>
    <row r="91" hidden="1">
      <c r="A91" s="510" t="s">
        <v>2208</v>
      </c>
      <c r="B91" s="510" t="s">
        <v>2209</v>
      </c>
      <c r="C91" s="511">
        <v>45999.95856481481</v>
      </c>
      <c r="D91" s="510" t="s">
        <v>1435</v>
      </c>
      <c r="E91" s="510" t="b">
        <v>1</v>
      </c>
      <c r="F91" s="510" t="b">
        <v>1</v>
      </c>
      <c r="G91" s="510" t="s">
        <v>1436</v>
      </c>
      <c r="H91" s="510" t="b">
        <v>1</v>
      </c>
      <c r="I91" s="510" t="s">
        <v>1437</v>
      </c>
      <c r="J91" s="510" t="b">
        <v>1</v>
      </c>
      <c r="K91" s="494" t="s">
        <v>2210</v>
      </c>
      <c r="L91" s="512" t="s">
        <v>2211</v>
      </c>
      <c r="M91" s="510">
        <v>8.0</v>
      </c>
      <c r="N91" s="510">
        <v>9.0</v>
      </c>
      <c r="O91" s="510">
        <v>9.0</v>
      </c>
      <c r="P91" s="512" t="s">
        <v>2212</v>
      </c>
      <c r="Q91" s="510">
        <v>9.0</v>
      </c>
      <c r="R91" s="510">
        <v>9.0</v>
      </c>
      <c r="S91" s="510">
        <v>8.0</v>
      </c>
      <c r="T91" s="512" t="s">
        <v>2213</v>
      </c>
      <c r="U91" s="510">
        <v>9.0</v>
      </c>
      <c r="V91" s="510">
        <v>9.0</v>
      </c>
      <c r="W91" s="510">
        <v>9.0</v>
      </c>
      <c r="X91" s="512" t="s">
        <v>2214</v>
      </c>
      <c r="Y91" s="510">
        <v>9.0</v>
      </c>
      <c r="Z91" s="510">
        <v>9.0</v>
      </c>
      <c r="AA91" s="510">
        <v>9.0</v>
      </c>
      <c r="AB91" s="512" t="s">
        <v>2215</v>
      </c>
      <c r="AC91" s="512" t="s">
        <v>2216</v>
      </c>
      <c r="AD91" s="512" t="s">
        <v>2217</v>
      </c>
      <c r="AE91" s="513"/>
      <c r="AF91" s="12"/>
      <c r="AG91" s="502">
        <f t="shared" si="4"/>
        <v>8.833333333</v>
      </c>
    </row>
    <row r="92" hidden="1">
      <c r="A92" s="510" t="s">
        <v>2218</v>
      </c>
      <c r="B92" s="510" t="s">
        <v>2219</v>
      </c>
      <c r="C92" s="511">
        <v>45984.5171875</v>
      </c>
      <c r="D92" s="510" t="s">
        <v>1435</v>
      </c>
      <c r="E92" s="510" t="b">
        <v>1</v>
      </c>
      <c r="F92" s="510" t="b">
        <v>1</v>
      </c>
      <c r="G92" s="510" t="s">
        <v>1436</v>
      </c>
      <c r="H92" s="510" t="b">
        <v>1</v>
      </c>
      <c r="I92" s="510" t="s">
        <v>1437</v>
      </c>
      <c r="J92" s="510" t="b">
        <v>1</v>
      </c>
      <c r="K92" s="494" t="s">
        <v>2220</v>
      </c>
      <c r="L92" s="512" t="s">
        <v>2221</v>
      </c>
      <c r="M92" s="510">
        <v>9.0</v>
      </c>
      <c r="N92" s="510">
        <v>9.0</v>
      </c>
      <c r="O92" s="510">
        <v>7.0</v>
      </c>
      <c r="P92" s="512" t="s">
        <v>2222</v>
      </c>
      <c r="Q92" s="510">
        <v>7.0</v>
      </c>
      <c r="R92" s="510">
        <v>6.0</v>
      </c>
      <c r="S92" s="510">
        <v>8.0</v>
      </c>
      <c r="T92" s="512" t="s">
        <v>2223</v>
      </c>
      <c r="U92" s="510">
        <v>9.0</v>
      </c>
      <c r="V92" s="510">
        <v>7.0</v>
      </c>
      <c r="W92" s="510">
        <v>9.0</v>
      </c>
      <c r="X92" s="512" t="s">
        <v>2224</v>
      </c>
      <c r="Y92" s="510">
        <v>9.0</v>
      </c>
      <c r="Z92" s="510">
        <v>9.0</v>
      </c>
      <c r="AA92" s="510">
        <v>8.0</v>
      </c>
      <c r="AB92" s="512" t="s">
        <v>2225</v>
      </c>
      <c r="AC92" s="512" t="s">
        <v>2226</v>
      </c>
      <c r="AD92" s="512" t="s">
        <v>2227</v>
      </c>
      <c r="AE92" s="18" t="s">
        <v>2228</v>
      </c>
      <c r="AF92" s="12"/>
      <c r="AG92" s="502">
        <f t="shared" si="4"/>
        <v>8.083333333</v>
      </c>
    </row>
    <row r="93" hidden="1">
      <c r="A93" s="510" t="s">
        <v>2229</v>
      </c>
      <c r="B93" s="510" t="s">
        <v>2230</v>
      </c>
      <c r="C93" s="511">
        <v>45985.094409722224</v>
      </c>
      <c r="D93" s="510" t="s">
        <v>1435</v>
      </c>
      <c r="E93" s="510" t="b">
        <v>1</v>
      </c>
      <c r="F93" s="510" t="b">
        <v>1</v>
      </c>
      <c r="G93" s="510" t="s">
        <v>1436</v>
      </c>
      <c r="H93" s="510" t="b">
        <v>1</v>
      </c>
      <c r="I93" s="510" t="s">
        <v>1437</v>
      </c>
      <c r="J93" s="510" t="b">
        <v>1</v>
      </c>
      <c r="K93" s="494" t="s">
        <v>2231</v>
      </c>
      <c r="L93" s="512" t="s">
        <v>2221</v>
      </c>
      <c r="M93" s="510">
        <v>7.0</v>
      </c>
      <c r="N93" s="510">
        <v>7.0</v>
      </c>
      <c r="O93" s="510">
        <v>8.0</v>
      </c>
      <c r="P93" s="512" t="s">
        <v>2232</v>
      </c>
      <c r="Q93" s="510">
        <v>7.0</v>
      </c>
      <c r="R93" s="510">
        <v>8.0</v>
      </c>
      <c r="S93" s="510">
        <v>8.0</v>
      </c>
      <c r="T93" s="512" t="s">
        <v>2233</v>
      </c>
      <c r="U93" s="510">
        <v>6.0</v>
      </c>
      <c r="V93" s="510">
        <v>7.0</v>
      </c>
      <c r="W93" s="510">
        <v>8.0</v>
      </c>
      <c r="X93" s="512" t="s">
        <v>2233</v>
      </c>
      <c r="Y93" s="510">
        <v>8.0</v>
      </c>
      <c r="Z93" s="510">
        <v>8.0</v>
      </c>
      <c r="AA93" s="510">
        <v>8.0</v>
      </c>
      <c r="AB93" s="512" t="s">
        <v>2234</v>
      </c>
      <c r="AC93" s="512" t="s">
        <v>2235</v>
      </c>
      <c r="AD93" s="512" t="s">
        <v>2236</v>
      </c>
      <c r="AE93" s="512" t="s">
        <v>2233</v>
      </c>
      <c r="AF93" s="12"/>
      <c r="AG93" s="502">
        <f t="shared" si="4"/>
        <v>7.5</v>
      </c>
    </row>
    <row r="94" hidden="1">
      <c r="A94" s="510" t="s">
        <v>2237</v>
      </c>
      <c r="B94" s="510" t="s">
        <v>2238</v>
      </c>
      <c r="C94" s="511">
        <v>45997.62778935185</v>
      </c>
      <c r="D94" s="510" t="s">
        <v>1435</v>
      </c>
      <c r="E94" s="510" t="b">
        <v>1</v>
      </c>
      <c r="F94" s="510" t="b">
        <v>1</v>
      </c>
      <c r="G94" s="510" t="s">
        <v>1436</v>
      </c>
      <c r="H94" s="510" t="b">
        <v>1</v>
      </c>
      <c r="I94" s="510" t="s">
        <v>1437</v>
      </c>
      <c r="J94" s="510" t="b">
        <v>1</v>
      </c>
      <c r="K94" s="494" t="s">
        <v>195</v>
      </c>
      <c r="L94" s="512" t="s">
        <v>134</v>
      </c>
      <c r="M94" s="510">
        <v>7.0</v>
      </c>
      <c r="N94" s="510">
        <v>8.0</v>
      </c>
      <c r="O94" s="510">
        <v>9.0</v>
      </c>
      <c r="P94" s="512" t="s">
        <v>2239</v>
      </c>
      <c r="Q94" s="510">
        <v>9.0</v>
      </c>
      <c r="R94" s="510">
        <v>9.0</v>
      </c>
      <c r="S94" s="510">
        <v>6.0</v>
      </c>
      <c r="T94" s="512" t="s">
        <v>2240</v>
      </c>
      <c r="U94" s="510">
        <v>9.0</v>
      </c>
      <c r="V94" s="510">
        <v>9.0</v>
      </c>
      <c r="W94" s="510">
        <v>9.0</v>
      </c>
      <c r="X94" s="512" t="s">
        <v>2241</v>
      </c>
      <c r="Y94" s="510">
        <v>9.0</v>
      </c>
      <c r="Z94" s="510">
        <v>9.0</v>
      </c>
      <c r="AA94" s="510">
        <v>9.0</v>
      </c>
      <c r="AB94" s="512" t="s">
        <v>2242</v>
      </c>
      <c r="AC94" s="512" t="s">
        <v>2243</v>
      </c>
      <c r="AD94" s="512" t="s">
        <v>2244</v>
      </c>
      <c r="AE94" s="513"/>
      <c r="AF94" s="12"/>
      <c r="AG94" s="502">
        <f t="shared" si="4"/>
        <v>8.5</v>
      </c>
    </row>
    <row r="95" hidden="1">
      <c r="A95" s="510" t="s">
        <v>2245</v>
      </c>
      <c r="B95" s="510" t="s">
        <v>2246</v>
      </c>
      <c r="C95" s="511">
        <v>45997.883518518516</v>
      </c>
      <c r="D95" s="510" t="s">
        <v>1435</v>
      </c>
      <c r="E95" s="510" t="b">
        <v>1</v>
      </c>
      <c r="F95" s="510" t="b">
        <v>1</v>
      </c>
      <c r="G95" s="510" t="s">
        <v>1436</v>
      </c>
      <c r="H95" s="510" t="b">
        <v>1</v>
      </c>
      <c r="I95" s="510" t="s">
        <v>1437</v>
      </c>
      <c r="J95" s="510" t="b">
        <v>1</v>
      </c>
      <c r="K95" s="494" t="s">
        <v>2211</v>
      </c>
      <c r="L95" s="512" t="s">
        <v>134</v>
      </c>
      <c r="M95" s="510">
        <v>8.0</v>
      </c>
      <c r="N95" s="510">
        <v>8.0</v>
      </c>
      <c r="O95" s="510">
        <v>9.0</v>
      </c>
      <c r="P95" s="512" t="s">
        <v>2247</v>
      </c>
      <c r="Q95" s="510">
        <v>9.0</v>
      </c>
      <c r="R95" s="510">
        <v>7.0</v>
      </c>
      <c r="S95" s="510">
        <v>9.0</v>
      </c>
      <c r="T95" s="512" t="s">
        <v>2248</v>
      </c>
      <c r="U95" s="510">
        <v>8.0</v>
      </c>
      <c r="V95" s="510">
        <v>8.0</v>
      </c>
      <c r="W95" s="510">
        <v>9.0</v>
      </c>
      <c r="X95" s="512" t="s">
        <v>2249</v>
      </c>
      <c r="Y95" s="510">
        <v>8.0</v>
      </c>
      <c r="Z95" s="510">
        <v>7.0</v>
      </c>
      <c r="AA95" s="510">
        <v>8.0</v>
      </c>
      <c r="AB95" s="512" t="s">
        <v>2250</v>
      </c>
      <c r="AC95" s="512" t="s">
        <v>2251</v>
      </c>
      <c r="AD95" s="512" t="s">
        <v>2252</v>
      </c>
      <c r="AE95" s="501"/>
      <c r="AF95" s="12"/>
      <c r="AG95" s="502">
        <f t="shared" si="4"/>
        <v>8.166666667</v>
      </c>
    </row>
    <row r="96" hidden="1">
      <c r="A96" s="510" t="s">
        <v>2253</v>
      </c>
      <c r="B96" s="510" t="s">
        <v>2254</v>
      </c>
      <c r="C96" s="511">
        <v>45972.25582175926</v>
      </c>
      <c r="D96" s="510" t="s">
        <v>1435</v>
      </c>
      <c r="E96" s="510" t="b">
        <v>1</v>
      </c>
      <c r="F96" s="510" t="b">
        <v>1</v>
      </c>
      <c r="G96" s="510" t="s">
        <v>1436</v>
      </c>
      <c r="H96" s="510" t="b">
        <v>1</v>
      </c>
      <c r="I96" s="510" t="s">
        <v>1437</v>
      </c>
      <c r="J96" s="510" t="b">
        <v>1</v>
      </c>
      <c r="K96" s="494" t="s">
        <v>188</v>
      </c>
      <c r="L96" s="512" t="s">
        <v>134</v>
      </c>
      <c r="M96" s="510">
        <v>7.0</v>
      </c>
      <c r="N96" s="510">
        <v>8.0</v>
      </c>
      <c r="O96" s="510">
        <v>9.0</v>
      </c>
      <c r="P96" s="512" t="s">
        <v>2255</v>
      </c>
      <c r="Q96" s="510">
        <v>9.0</v>
      </c>
      <c r="R96" s="510">
        <v>8.0</v>
      </c>
      <c r="S96" s="510">
        <v>6.0</v>
      </c>
      <c r="T96" s="512" t="s">
        <v>2256</v>
      </c>
      <c r="U96" s="510">
        <v>9.0</v>
      </c>
      <c r="V96" s="510">
        <v>8.0</v>
      </c>
      <c r="W96" s="510">
        <v>9.0</v>
      </c>
      <c r="X96" s="512" t="s">
        <v>2257</v>
      </c>
      <c r="Y96" s="510">
        <v>9.0</v>
      </c>
      <c r="Z96" s="510">
        <v>8.0</v>
      </c>
      <c r="AA96" s="510">
        <v>8.0</v>
      </c>
      <c r="AB96" s="512" t="s">
        <v>2258</v>
      </c>
      <c r="AC96" s="512" t="s">
        <v>2259</v>
      </c>
      <c r="AD96" s="512" t="s">
        <v>2260</v>
      </c>
      <c r="AE96" s="513"/>
      <c r="AF96" s="12"/>
      <c r="AG96" s="502">
        <f t="shared" si="4"/>
        <v>8.166666667</v>
      </c>
    </row>
    <row r="97" hidden="1">
      <c r="A97" s="510" t="s">
        <v>2261</v>
      </c>
      <c r="B97" s="510" t="s">
        <v>2262</v>
      </c>
      <c r="C97" s="511">
        <v>45978.46188657408</v>
      </c>
      <c r="D97" s="510" t="s">
        <v>1435</v>
      </c>
      <c r="E97" s="510" t="b">
        <v>1</v>
      </c>
      <c r="F97" s="510" t="b">
        <v>1</v>
      </c>
      <c r="G97" s="510" t="s">
        <v>1436</v>
      </c>
      <c r="H97" s="510" t="b">
        <v>1</v>
      </c>
      <c r="I97" s="510" t="s">
        <v>1437</v>
      </c>
      <c r="J97" s="510" t="b">
        <v>1</v>
      </c>
      <c r="K97" s="494" t="s">
        <v>2263</v>
      </c>
      <c r="L97" s="512" t="s">
        <v>134</v>
      </c>
      <c r="M97" s="510">
        <v>9.0</v>
      </c>
      <c r="N97" s="510">
        <v>7.0</v>
      </c>
      <c r="O97" s="510">
        <v>9.0</v>
      </c>
      <c r="P97" s="512" t="s">
        <v>2264</v>
      </c>
      <c r="Q97" s="510">
        <v>9.0</v>
      </c>
      <c r="R97" s="510">
        <v>9.0</v>
      </c>
      <c r="S97" s="510">
        <v>7.0</v>
      </c>
      <c r="T97" s="512" t="s">
        <v>2265</v>
      </c>
      <c r="U97" s="510">
        <v>7.0</v>
      </c>
      <c r="V97" s="510">
        <v>9.0</v>
      </c>
      <c r="W97" s="510">
        <v>8.0</v>
      </c>
      <c r="X97" s="512" t="s">
        <v>2266</v>
      </c>
      <c r="Y97" s="510">
        <v>6.0</v>
      </c>
      <c r="Z97" s="510">
        <v>8.0</v>
      </c>
      <c r="AA97" s="510">
        <v>7.0</v>
      </c>
      <c r="AB97" s="512" t="s">
        <v>2267</v>
      </c>
      <c r="AC97" s="512" t="s">
        <v>2268</v>
      </c>
      <c r="AD97" s="512" t="s">
        <v>2269</v>
      </c>
      <c r="AE97" s="512" t="s">
        <v>2270</v>
      </c>
      <c r="AF97" s="12"/>
      <c r="AG97" s="502">
        <f t="shared" si="4"/>
        <v>7.916666667</v>
      </c>
    </row>
    <row r="98" hidden="1">
      <c r="A98" s="510" t="s">
        <v>2271</v>
      </c>
      <c r="B98" s="510" t="s">
        <v>2272</v>
      </c>
      <c r="C98" s="511">
        <v>45966.58368055556</v>
      </c>
      <c r="D98" s="510" t="s">
        <v>1435</v>
      </c>
      <c r="E98" s="510" t="b">
        <v>1</v>
      </c>
      <c r="F98" s="510" t="b">
        <v>1</v>
      </c>
      <c r="G98" s="510" t="s">
        <v>1436</v>
      </c>
      <c r="H98" s="510" t="b">
        <v>1</v>
      </c>
      <c r="I98" s="510" t="s">
        <v>1437</v>
      </c>
      <c r="J98" s="510" t="b">
        <v>1</v>
      </c>
      <c r="K98" s="494" t="s">
        <v>2273</v>
      </c>
      <c r="L98" s="512" t="s">
        <v>134</v>
      </c>
      <c r="M98" s="510">
        <v>6.0</v>
      </c>
      <c r="N98" s="510">
        <v>4.0</v>
      </c>
      <c r="O98" s="510">
        <v>9.0</v>
      </c>
      <c r="P98" s="512" t="s">
        <v>2274</v>
      </c>
      <c r="Q98" s="510">
        <v>7.0</v>
      </c>
      <c r="R98" s="510">
        <v>9.0</v>
      </c>
      <c r="S98" s="510">
        <v>7.0</v>
      </c>
      <c r="T98" s="512" t="s">
        <v>2275</v>
      </c>
      <c r="U98" s="510">
        <v>6.0</v>
      </c>
      <c r="V98" s="510">
        <v>7.0</v>
      </c>
      <c r="W98" s="510">
        <v>6.0</v>
      </c>
      <c r="X98" s="512" t="s">
        <v>2276</v>
      </c>
      <c r="Y98" s="510">
        <v>5.0</v>
      </c>
      <c r="Z98" s="510">
        <v>7.0</v>
      </c>
      <c r="AA98" s="510">
        <v>4.0</v>
      </c>
      <c r="AB98" s="512" t="s">
        <v>2277</v>
      </c>
      <c r="AC98" s="512" t="s">
        <v>2278</v>
      </c>
      <c r="AD98" s="512" t="s">
        <v>2279</v>
      </c>
      <c r="AE98" s="18" t="s">
        <v>2280</v>
      </c>
      <c r="AF98" s="12"/>
      <c r="AG98" s="502">
        <f t="shared" si="4"/>
        <v>6.416666667</v>
      </c>
    </row>
    <row r="99" hidden="1">
      <c r="A99" s="510" t="s">
        <v>2281</v>
      </c>
      <c r="B99" s="510" t="s">
        <v>2282</v>
      </c>
      <c r="C99" s="511">
        <v>45998.26291666667</v>
      </c>
      <c r="D99" s="510" t="s">
        <v>1435</v>
      </c>
      <c r="E99" s="510" t="b">
        <v>1</v>
      </c>
      <c r="F99" s="510" t="b">
        <v>1</v>
      </c>
      <c r="G99" s="510" t="s">
        <v>1436</v>
      </c>
      <c r="H99" s="510" t="b">
        <v>1</v>
      </c>
      <c r="I99" s="510" t="s">
        <v>1437</v>
      </c>
      <c r="J99" s="510" t="b">
        <v>1</v>
      </c>
      <c r="K99" s="494" t="s">
        <v>2283</v>
      </c>
      <c r="L99" s="512" t="s">
        <v>134</v>
      </c>
      <c r="M99" s="510">
        <v>6.0</v>
      </c>
      <c r="N99" s="510">
        <v>6.0</v>
      </c>
      <c r="O99" s="510">
        <v>7.0</v>
      </c>
      <c r="P99" s="512" t="s">
        <v>2284</v>
      </c>
      <c r="Q99" s="510">
        <v>6.0</v>
      </c>
      <c r="R99" s="510">
        <v>7.0</v>
      </c>
      <c r="S99" s="510">
        <v>6.0</v>
      </c>
      <c r="T99" s="512" t="s">
        <v>2285</v>
      </c>
      <c r="U99" s="510">
        <v>7.0</v>
      </c>
      <c r="V99" s="510">
        <v>6.0</v>
      </c>
      <c r="W99" s="510">
        <v>7.0</v>
      </c>
      <c r="X99" s="512" t="s">
        <v>2286</v>
      </c>
      <c r="Y99" s="510">
        <v>6.0</v>
      </c>
      <c r="Z99" s="510">
        <v>5.0</v>
      </c>
      <c r="AA99" s="510">
        <v>6.0</v>
      </c>
      <c r="AB99" s="512" t="s">
        <v>2287</v>
      </c>
      <c r="AC99" s="512" t="s">
        <v>2288</v>
      </c>
      <c r="AD99" s="512" t="s">
        <v>2289</v>
      </c>
      <c r="AE99" s="513"/>
      <c r="AF99" s="12"/>
      <c r="AG99" s="502">
        <f t="shared" si="4"/>
        <v>6.25</v>
      </c>
    </row>
    <row r="100" hidden="1">
      <c r="A100" s="510" t="s">
        <v>2290</v>
      </c>
      <c r="B100" s="510" t="s">
        <v>2291</v>
      </c>
      <c r="C100" s="511">
        <v>45997.650613425925</v>
      </c>
      <c r="D100" s="510" t="s">
        <v>1435</v>
      </c>
      <c r="E100" s="510" t="b">
        <v>1</v>
      </c>
      <c r="F100" s="510" t="b">
        <v>1</v>
      </c>
      <c r="G100" s="510" t="s">
        <v>1436</v>
      </c>
      <c r="H100" s="510" t="b">
        <v>1</v>
      </c>
      <c r="I100" s="510" t="s">
        <v>1437</v>
      </c>
      <c r="J100" s="510" t="b">
        <v>1</v>
      </c>
      <c r="K100" s="494" t="s">
        <v>2292</v>
      </c>
      <c r="L100" s="512" t="s">
        <v>134</v>
      </c>
      <c r="M100" s="510">
        <v>6.0</v>
      </c>
      <c r="N100" s="510">
        <v>5.0</v>
      </c>
      <c r="O100" s="510">
        <v>7.0</v>
      </c>
      <c r="P100" s="512" t="s">
        <v>2293</v>
      </c>
      <c r="Q100" s="510">
        <v>4.0</v>
      </c>
      <c r="R100" s="510">
        <v>7.0</v>
      </c>
      <c r="S100" s="510">
        <v>2.0</v>
      </c>
      <c r="T100" s="512" t="s">
        <v>2294</v>
      </c>
      <c r="U100" s="510">
        <v>7.0</v>
      </c>
      <c r="V100" s="510">
        <v>5.0</v>
      </c>
      <c r="W100" s="510">
        <v>7.0</v>
      </c>
      <c r="X100" s="512" t="s">
        <v>110</v>
      </c>
      <c r="Y100" s="510">
        <v>5.0</v>
      </c>
      <c r="Z100" s="510">
        <v>3.0</v>
      </c>
      <c r="AA100" s="510">
        <v>4.0</v>
      </c>
      <c r="AB100" s="512" t="s">
        <v>2295</v>
      </c>
      <c r="AC100" s="512" t="s">
        <v>2296</v>
      </c>
      <c r="AD100" s="512" t="s">
        <v>2297</v>
      </c>
      <c r="AE100" s="513"/>
      <c r="AF100" s="12"/>
      <c r="AG100" s="502">
        <f t="shared" si="4"/>
        <v>5.166666667</v>
      </c>
    </row>
    <row r="101" hidden="1">
      <c r="A101" s="510" t="s">
        <v>2298</v>
      </c>
      <c r="B101" s="510" t="s">
        <v>2299</v>
      </c>
      <c r="C101" s="511">
        <v>45983.623773148145</v>
      </c>
      <c r="D101" s="510" t="s">
        <v>1435</v>
      </c>
      <c r="E101" s="510" t="b">
        <v>1</v>
      </c>
      <c r="F101" s="510" t="b">
        <v>1</v>
      </c>
      <c r="G101" s="510" t="s">
        <v>1436</v>
      </c>
      <c r="H101" s="510" t="b">
        <v>1</v>
      </c>
      <c r="I101" s="510" t="s">
        <v>1437</v>
      </c>
      <c r="J101" s="510" t="b">
        <v>1</v>
      </c>
      <c r="K101" s="494" t="s">
        <v>2300</v>
      </c>
      <c r="L101" s="512" t="s">
        <v>188</v>
      </c>
      <c r="M101" s="510">
        <v>9.0</v>
      </c>
      <c r="N101" s="510">
        <v>9.0</v>
      </c>
      <c r="O101" s="510">
        <v>9.0</v>
      </c>
      <c r="P101" s="512" t="s">
        <v>2301</v>
      </c>
      <c r="Q101" s="510">
        <v>9.0</v>
      </c>
      <c r="R101" s="510">
        <v>9.0</v>
      </c>
      <c r="S101" s="510">
        <v>9.0</v>
      </c>
      <c r="T101" s="512" t="s">
        <v>2302</v>
      </c>
      <c r="U101" s="510">
        <v>9.0</v>
      </c>
      <c r="V101" s="510">
        <v>9.0</v>
      </c>
      <c r="W101" s="510">
        <v>9.0</v>
      </c>
      <c r="X101" s="512" t="s">
        <v>2303</v>
      </c>
      <c r="Y101" s="510">
        <v>9.0</v>
      </c>
      <c r="Z101" s="510">
        <v>9.0</v>
      </c>
      <c r="AA101" s="510">
        <v>9.0</v>
      </c>
      <c r="AB101" s="512" t="s">
        <v>2304</v>
      </c>
      <c r="AC101" s="512" t="s">
        <v>2305</v>
      </c>
      <c r="AD101" s="512" t="s">
        <v>2306</v>
      </c>
      <c r="AE101" s="18" t="s">
        <v>2307</v>
      </c>
      <c r="AF101" s="12"/>
      <c r="AG101" s="502">
        <f t="shared" si="4"/>
        <v>9</v>
      </c>
    </row>
    <row r="102" hidden="1">
      <c r="A102" s="510" t="s">
        <v>2308</v>
      </c>
      <c r="B102" s="510" t="s">
        <v>2309</v>
      </c>
      <c r="C102" s="511">
        <v>45969.65677083333</v>
      </c>
      <c r="D102" s="510" t="s">
        <v>1435</v>
      </c>
      <c r="E102" s="510" t="b">
        <v>1</v>
      </c>
      <c r="F102" s="510" t="b">
        <v>1</v>
      </c>
      <c r="G102" s="510" t="s">
        <v>1436</v>
      </c>
      <c r="H102" s="510" t="b">
        <v>1</v>
      </c>
      <c r="I102" s="510" t="s">
        <v>1437</v>
      </c>
      <c r="J102" s="510" t="b">
        <v>1</v>
      </c>
      <c r="K102" s="494" t="s">
        <v>366</v>
      </c>
      <c r="L102" s="512" t="s">
        <v>188</v>
      </c>
      <c r="M102" s="510">
        <v>9.0</v>
      </c>
      <c r="N102" s="510">
        <v>9.0</v>
      </c>
      <c r="O102" s="510">
        <v>9.0</v>
      </c>
      <c r="P102" s="512" t="s">
        <v>2310</v>
      </c>
      <c r="Q102" s="510">
        <v>9.0</v>
      </c>
      <c r="R102" s="510">
        <v>9.0</v>
      </c>
      <c r="S102" s="510">
        <v>9.0</v>
      </c>
      <c r="T102" s="512" t="s">
        <v>2311</v>
      </c>
      <c r="U102" s="510">
        <v>9.0</v>
      </c>
      <c r="V102" s="510">
        <v>9.0</v>
      </c>
      <c r="W102" s="510">
        <v>9.0</v>
      </c>
      <c r="X102" s="512" t="s">
        <v>2312</v>
      </c>
      <c r="Y102" s="510">
        <v>9.0</v>
      </c>
      <c r="Z102" s="510">
        <v>9.0</v>
      </c>
      <c r="AA102" s="510">
        <v>9.0</v>
      </c>
      <c r="AB102" s="512" t="s">
        <v>2313</v>
      </c>
      <c r="AC102" s="512" t="s">
        <v>2314</v>
      </c>
      <c r="AD102" s="512" t="s">
        <v>2315</v>
      </c>
      <c r="AE102" s="18" t="s">
        <v>2316</v>
      </c>
      <c r="AF102" s="12"/>
      <c r="AG102" s="502">
        <f t="shared" si="4"/>
        <v>9</v>
      </c>
    </row>
    <row r="103" hidden="1">
      <c r="A103" s="510" t="s">
        <v>2317</v>
      </c>
      <c r="B103" s="510" t="s">
        <v>2318</v>
      </c>
      <c r="C103" s="511">
        <v>45997.87701388889</v>
      </c>
      <c r="D103" s="510" t="s">
        <v>1435</v>
      </c>
      <c r="E103" s="510" t="b">
        <v>1</v>
      </c>
      <c r="F103" s="510" t="b">
        <v>1</v>
      </c>
      <c r="G103" s="510" t="s">
        <v>1436</v>
      </c>
      <c r="H103" s="510" t="b">
        <v>1</v>
      </c>
      <c r="I103" s="510" t="s">
        <v>1437</v>
      </c>
      <c r="J103" s="510" t="b">
        <v>1</v>
      </c>
      <c r="K103" s="494" t="s">
        <v>2319</v>
      </c>
      <c r="L103" s="512" t="s">
        <v>188</v>
      </c>
      <c r="M103" s="510">
        <v>9.0</v>
      </c>
      <c r="N103" s="510">
        <v>9.0</v>
      </c>
      <c r="O103" s="510">
        <v>9.0</v>
      </c>
      <c r="P103" s="512" t="s">
        <v>2320</v>
      </c>
      <c r="Q103" s="510">
        <v>9.0</v>
      </c>
      <c r="R103" s="510">
        <v>9.0</v>
      </c>
      <c r="S103" s="510">
        <v>9.0</v>
      </c>
      <c r="T103" s="512" t="s">
        <v>2321</v>
      </c>
      <c r="U103" s="510">
        <v>9.0</v>
      </c>
      <c r="V103" s="510">
        <v>9.0</v>
      </c>
      <c r="W103" s="510">
        <v>9.0</v>
      </c>
      <c r="X103" s="512" t="s">
        <v>2322</v>
      </c>
      <c r="Y103" s="510">
        <v>9.0</v>
      </c>
      <c r="Z103" s="510">
        <v>9.0</v>
      </c>
      <c r="AA103" s="510">
        <v>9.0</v>
      </c>
      <c r="AB103" s="512" t="s">
        <v>2323</v>
      </c>
      <c r="AC103" s="512" t="s">
        <v>2324</v>
      </c>
      <c r="AD103" s="512" t="s">
        <v>2325</v>
      </c>
      <c r="AE103" s="501"/>
      <c r="AF103" s="12"/>
      <c r="AG103" s="502">
        <f t="shared" si="4"/>
        <v>9</v>
      </c>
    </row>
    <row r="104" hidden="1">
      <c r="A104" s="510" t="s">
        <v>2326</v>
      </c>
      <c r="B104" s="510" t="s">
        <v>2327</v>
      </c>
      <c r="C104" s="511">
        <v>45972.569814814815</v>
      </c>
      <c r="D104" s="510" t="s">
        <v>1435</v>
      </c>
      <c r="E104" s="510" t="b">
        <v>1</v>
      </c>
      <c r="F104" s="510" t="b">
        <v>1</v>
      </c>
      <c r="G104" s="510" t="s">
        <v>1436</v>
      </c>
      <c r="H104" s="510" t="b">
        <v>1</v>
      </c>
      <c r="I104" s="510" t="s">
        <v>1437</v>
      </c>
      <c r="J104" s="510" t="b">
        <v>1</v>
      </c>
      <c r="K104" s="494" t="s">
        <v>2328</v>
      </c>
      <c r="L104" s="512" t="s">
        <v>188</v>
      </c>
      <c r="M104" s="510">
        <v>9.0</v>
      </c>
      <c r="N104" s="510">
        <v>8.0</v>
      </c>
      <c r="O104" s="510">
        <v>9.0</v>
      </c>
      <c r="P104" s="512" t="s">
        <v>2329</v>
      </c>
      <c r="Q104" s="510">
        <v>9.0</v>
      </c>
      <c r="R104" s="510">
        <v>9.0</v>
      </c>
      <c r="S104" s="510">
        <v>9.0</v>
      </c>
      <c r="T104" s="512" t="s">
        <v>2330</v>
      </c>
      <c r="U104" s="510">
        <v>9.0</v>
      </c>
      <c r="V104" s="510">
        <v>9.0</v>
      </c>
      <c r="W104" s="510">
        <v>9.0</v>
      </c>
      <c r="X104" s="512" t="s">
        <v>2331</v>
      </c>
      <c r="Y104" s="510">
        <v>9.0</v>
      </c>
      <c r="Z104" s="510">
        <v>9.0</v>
      </c>
      <c r="AA104" s="510">
        <v>9.0</v>
      </c>
      <c r="AB104" s="512" t="s">
        <v>2332</v>
      </c>
      <c r="AC104" s="512" t="s">
        <v>2333</v>
      </c>
      <c r="AD104" s="512" t="s">
        <v>2334</v>
      </c>
      <c r="AE104" s="501"/>
      <c r="AF104" s="12"/>
      <c r="AG104" s="502">
        <f t="shared" si="4"/>
        <v>8.916666667</v>
      </c>
    </row>
    <row r="105" hidden="1">
      <c r="A105" s="510" t="s">
        <v>2335</v>
      </c>
      <c r="B105" s="510" t="s">
        <v>372</v>
      </c>
      <c r="C105" s="511">
        <v>45984.26268518518</v>
      </c>
      <c r="D105" s="510" t="s">
        <v>1435</v>
      </c>
      <c r="E105" s="510" t="b">
        <v>1</v>
      </c>
      <c r="F105" s="510" t="b">
        <v>1</v>
      </c>
      <c r="G105" s="510" t="s">
        <v>1436</v>
      </c>
      <c r="H105" s="510" t="b">
        <v>1</v>
      </c>
      <c r="I105" s="510" t="s">
        <v>1437</v>
      </c>
      <c r="J105" s="510" t="b">
        <v>1</v>
      </c>
      <c r="K105" s="494" t="s">
        <v>373</v>
      </c>
      <c r="L105" s="512" t="s">
        <v>188</v>
      </c>
      <c r="M105" s="510">
        <v>9.0</v>
      </c>
      <c r="N105" s="510">
        <v>9.0</v>
      </c>
      <c r="O105" s="510">
        <v>9.0</v>
      </c>
      <c r="P105" s="512" t="s">
        <v>2336</v>
      </c>
      <c r="Q105" s="510">
        <v>9.0</v>
      </c>
      <c r="R105" s="510">
        <v>9.0</v>
      </c>
      <c r="S105" s="510">
        <v>9.0</v>
      </c>
      <c r="T105" s="512" t="s">
        <v>2337</v>
      </c>
      <c r="U105" s="510">
        <v>7.0</v>
      </c>
      <c r="V105" s="510">
        <v>7.0</v>
      </c>
      <c r="W105" s="510">
        <v>6.0</v>
      </c>
      <c r="X105" s="512" t="s">
        <v>2338</v>
      </c>
      <c r="Y105" s="510">
        <v>9.0</v>
      </c>
      <c r="Z105" s="510">
        <v>9.0</v>
      </c>
      <c r="AA105" s="510">
        <v>9.0</v>
      </c>
      <c r="AB105" s="512" t="s">
        <v>2339</v>
      </c>
      <c r="AC105" s="512" t="s">
        <v>2340</v>
      </c>
      <c r="AD105" s="512" t="s">
        <v>2341</v>
      </c>
      <c r="AE105" s="18" t="s">
        <v>2342</v>
      </c>
      <c r="AF105" s="12"/>
      <c r="AG105" s="502">
        <f t="shared" si="4"/>
        <v>8.416666667</v>
      </c>
    </row>
    <row r="106" hidden="1">
      <c r="A106" s="510" t="s">
        <v>2343</v>
      </c>
      <c r="B106" s="510" t="s">
        <v>2344</v>
      </c>
      <c r="C106" s="511">
        <v>45967.55972222222</v>
      </c>
      <c r="D106" s="510" t="s">
        <v>1435</v>
      </c>
      <c r="E106" s="510" t="b">
        <v>1</v>
      </c>
      <c r="F106" s="510" t="b">
        <v>1</v>
      </c>
      <c r="G106" s="510" t="s">
        <v>1436</v>
      </c>
      <c r="H106" s="510" t="b">
        <v>1</v>
      </c>
      <c r="I106" s="510" t="s">
        <v>1437</v>
      </c>
      <c r="J106" s="510" t="b">
        <v>1</v>
      </c>
      <c r="K106" s="494" t="s">
        <v>2345</v>
      </c>
      <c r="L106" s="512" t="s">
        <v>188</v>
      </c>
      <c r="M106" s="510">
        <v>7.0</v>
      </c>
      <c r="N106" s="510">
        <v>8.0</v>
      </c>
      <c r="O106" s="510">
        <v>9.0</v>
      </c>
      <c r="P106" s="512" t="s">
        <v>2346</v>
      </c>
      <c r="Q106" s="510">
        <v>6.0</v>
      </c>
      <c r="R106" s="510">
        <v>9.0</v>
      </c>
      <c r="S106" s="510">
        <v>9.0</v>
      </c>
      <c r="T106" s="512" t="s">
        <v>2347</v>
      </c>
      <c r="U106" s="510">
        <v>8.0</v>
      </c>
      <c r="V106" s="510">
        <v>8.0</v>
      </c>
      <c r="W106" s="510">
        <v>9.0</v>
      </c>
      <c r="X106" s="512" t="s">
        <v>2348</v>
      </c>
      <c r="Y106" s="510">
        <v>9.0</v>
      </c>
      <c r="Z106" s="510">
        <v>8.0</v>
      </c>
      <c r="AA106" s="510">
        <v>9.0</v>
      </c>
      <c r="AB106" s="512" t="s">
        <v>2349</v>
      </c>
      <c r="AC106" s="512" t="s">
        <v>2350</v>
      </c>
      <c r="AD106" s="512" t="s">
        <v>2351</v>
      </c>
      <c r="AE106" s="18" t="s">
        <v>2352</v>
      </c>
      <c r="AF106" s="12"/>
      <c r="AG106" s="502">
        <f t="shared" si="4"/>
        <v>8.25</v>
      </c>
    </row>
    <row r="107" hidden="1">
      <c r="A107" s="510" t="s">
        <v>2353</v>
      </c>
      <c r="B107" s="510" t="s">
        <v>2354</v>
      </c>
      <c r="C107" s="511">
        <v>45997.660150462965</v>
      </c>
      <c r="D107" s="510" t="s">
        <v>1435</v>
      </c>
      <c r="E107" s="510" t="b">
        <v>1</v>
      </c>
      <c r="F107" s="510" t="b">
        <v>1</v>
      </c>
      <c r="G107" s="510" t="s">
        <v>1436</v>
      </c>
      <c r="H107" s="510" t="b">
        <v>1</v>
      </c>
      <c r="I107" s="510" t="s">
        <v>1437</v>
      </c>
      <c r="J107" s="510" t="b">
        <v>1</v>
      </c>
      <c r="K107" s="494" t="s">
        <v>2355</v>
      </c>
      <c r="L107" s="512" t="s">
        <v>188</v>
      </c>
      <c r="M107" s="510">
        <v>8.0</v>
      </c>
      <c r="N107" s="510">
        <v>9.0</v>
      </c>
      <c r="O107" s="510">
        <v>9.0</v>
      </c>
      <c r="P107" s="512" t="s">
        <v>2356</v>
      </c>
      <c r="Q107" s="510">
        <v>8.0</v>
      </c>
      <c r="R107" s="510">
        <v>9.0</v>
      </c>
      <c r="S107" s="510">
        <v>9.0</v>
      </c>
      <c r="T107" s="512" t="s">
        <v>2357</v>
      </c>
      <c r="U107" s="510">
        <v>8.0</v>
      </c>
      <c r="V107" s="510">
        <v>8.0</v>
      </c>
      <c r="W107" s="510">
        <v>8.0</v>
      </c>
      <c r="X107" s="512" t="s">
        <v>2358</v>
      </c>
      <c r="Y107" s="510">
        <v>8.0</v>
      </c>
      <c r="Z107" s="510">
        <v>7.0</v>
      </c>
      <c r="AA107" s="510">
        <v>8.0</v>
      </c>
      <c r="AB107" s="512" t="s">
        <v>2359</v>
      </c>
      <c r="AC107" s="512" t="s">
        <v>2360</v>
      </c>
      <c r="AD107" s="512" t="s">
        <v>2361</v>
      </c>
      <c r="AE107" s="501"/>
      <c r="AF107" s="12"/>
      <c r="AG107" s="502">
        <f t="shared" si="4"/>
        <v>8.25</v>
      </c>
    </row>
    <row r="108" hidden="1">
      <c r="A108" s="510" t="s">
        <v>2362</v>
      </c>
      <c r="B108" s="510" t="s">
        <v>2363</v>
      </c>
      <c r="C108" s="511">
        <v>45967.3347337963</v>
      </c>
      <c r="D108" s="510" t="s">
        <v>1435</v>
      </c>
      <c r="E108" s="510" t="b">
        <v>1</v>
      </c>
      <c r="F108" s="510" t="b">
        <v>1</v>
      </c>
      <c r="G108" s="510" t="s">
        <v>1436</v>
      </c>
      <c r="H108" s="510" t="b">
        <v>1</v>
      </c>
      <c r="I108" s="510" t="s">
        <v>1437</v>
      </c>
      <c r="J108" s="510" t="b">
        <v>1</v>
      </c>
      <c r="K108" s="494" t="s">
        <v>232</v>
      </c>
      <c r="L108" s="512" t="s">
        <v>188</v>
      </c>
      <c r="M108" s="510">
        <v>7.0</v>
      </c>
      <c r="N108" s="510">
        <v>9.0</v>
      </c>
      <c r="O108" s="510">
        <v>9.0</v>
      </c>
      <c r="P108" s="512" t="s">
        <v>2364</v>
      </c>
      <c r="Q108" s="510">
        <v>7.0</v>
      </c>
      <c r="R108" s="510">
        <v>9.0</v>
      </c>
      <c r="S108" s="510">
        <v>9.0</v>
      </c>
      <c r="T108" s="512" t="s">
        <v>2365</v>
      </c>
      <c r="U108" s="510">
        <v>7.0</v>
      </c>
      <c r="V108" s="510">
        <v>7.0</v>
      </c>
      <c r="W108" s="510">
        <v>7.0</v>
      </c>
      <c r="X108" s="512" t="s">
        <v>2366</v>
      </c>
      <c r="Y108" s="510">
        <v>9.0</v>
      </c>
      <c r="Z108" s="510">
        <v>8.0</v>
      </c>
      <c r="AA108" s="510">
        <v>9.0</v>
      </c>
      <c r="AB108" s="512" t="s">
        <v>2367</v>
      </c>
      <c r="AC108" s="512" t="s">
        <v>2368</v>
      </c>
      <c r="AD108" s="512" t="s">
        <v>2369</v>
      </c>
      <c r="AE108" s="501"/>
      <c r="AF108" s="12"/>
      <c r="AG108" s="502">
        <f t="shared" si="4"/>
        <v>8.083333333</v>
      </c>
    </row>
    <row r="109" hidden="1">
      <c r="A109" s="510" t="s">
        <v>2370</v>
      </c>
      <c r="B109" s="510" t="s">
        <v>2371</v>
      </c>
      <c r="C109" s="511">
        <v>45966.36576388889</v>
      </c>
      <c r="D109" s="510" t="s">
        <v>1435</v>
      </c>
      <c r="E109" s="510" t="b">
        <v>1</v>
      </c>
      <c r="F109" s="510" t="b">
        <v>1</v>
      </c>
      <c r="G109" s="510" t="s">
        <v>1436</v>
      </c>
      <c r="H109" s="510" t="b">
        <v>1</v>
      </c>
      <c r="I109" s="510" t="s">
        <v>1437</v>
      </c>
      <c r="J109" s="510" t="b">
        <v>1</v>
      </c>
      <c r="K109" s="494" t="s">
        <v>236</v>
      </c>
      <c r="L109" s="512" t="s">
        <v>188</v>
      </c>
      <c r="M109" s="510">
        <v>8.0</v>
      </c>
      <c r="N109" s="510">
        <v>8.0</v>
      </c>
      <c r="O109" s="510">
        <v>8.0</v>
      </c>
      <c r="P109" s="512" t="s">
        <v>2372</v>
      </c>
      <c r="Q109" s="510">
        <v>8.0</v>
      </c>
      <c r="R109" s="510">
        <v>8.0</v>
      </c>
      <c r="S109" s="510">
        <v>8.0</v>
      </c>
      <c r="T109" s="512" t="s">
        <v>2373</v>
      </c>
      <c r="U109" s="510">
        <v>8.0</v>
      </c>
      <c r="V109" s="510">
        <v>8.0</v>
      </c>
      <c r="W109" s="510">
        <v>8.0</v>
      </c>
      <c r="X109" s="512" t="s">
        <v>2374</v>
      </c>
      <c r="Y109" s="510">
        <v>8.0</v>
      </c>
      <c r="Z109" s="510">
        <v>8.0</v>
      </c>
      <c r="AA109" s="510">
        <v>8.0</v>
      </c>
      <c r="AB109" s="512" t="s">
        <v>2375</v>
      </c>
      <c r="AC109" s="512" t="s">
        <v>2376</v>
      </c>
      <c r="AD109" s="512" t="s">
        <v>2377</v>
      </c>
      <c r="AE109" s="18" t="s">
        <v>65</v>
      </c>
      <c r="AF109" s="12"/>
      <c r="AG109" s="502">
        <f t="shared" si="4"/>
        <v>8</v>
      </c>
    </row>
    <row r="110" hidden="1">
      <c r="A110" s="510" t="s">
        <v>2378</v>
      </c>
      <c r="B110" s="510" t="s">
        <v>2379</v>
      </c>
      <c r="C110" s="511">
        <v>45997.59824074074</v>
      </c>
      <c r="D110" s="510" t="s">
        <v>1435</v>
      </c>
      <c r="E110" s="510" t="b">
        <v>1</v>
      </c>
      <c r="F110" s="510" t="b">
        <v>1</v>
      </c>
      <c r="G110" s="510" t="s">
        <v>1436</v>
      </c>
      <c r="H110" s="510" t="b">
        <v>1</v>
      </c>
      <c r="I110" s="510" t="s">
        <v>1437</v>
      </c>
      <c r="J110" s="510" t="b">
        <v>1</v>
      </c>
      <c r="K110" s="494" t="s">
        <v>2380</v>
      </c>
      <c r="L110" s="512" t="s">
        <v>188</v>
      </c>
      <c r="M110" s="510">
        <v>8.0</v>
      </c>
      <c r="N110" s="510">
        <v>8.0</v>
      </c>
      <c r="O110" s="510">
        <v>8.0</v>
      </c>
      <c r="P110" s="512" t="s">
        <v>2381</v>
      </c>
      <c r="Q110" s="510">
        <v>8.0</v>
      </c>
      <c r="R110" s="510">
        <v>8.0</v>
      </c>
      <c r="S110" s="510">
        <v>8.0</v>
      </c>
      <c r="T110" s="512" t="s">
        <v>2382</v>
      </c>
      <c r="U110" s="510">
        <v>9.0</v>
      </c>
      <c r="V110" s="510">
        <v>9.0</v>
      </c>
      <c r="W110" s="510">
        <v>8.0</v>
      </c>
      <c r="X110" s="512" t="s">
        <v>2383</v>
      </c>
      <c r="Y110" s="510">
        <v>8.0</v>
      </c>
      <c r="Z110" s="510">
        <v>6.0</v>
      </c>
      <c r="AA110" s="510">
        <v>7.0</v>
      </c>
      <c r="AB110" s="512" t="s">
        <v>2384</v>
      </c>
      <c r="AC110" s="512" t="s">
        <v>2385</v>
      </c>
      <c r="AD110" s="512" t="s">
        <v>2386</v>
      </c>
      <c r="AE110" s="513"/>
      <c r="AF110" s="12"/>
      <c r="AG110" s="502">
        <f t="shared" si="4"/>
        <v>7.916666667</v>
      </c>
    </row>
    <row r="111" hidden="1">
      <c r="A111" s="510" t="s">
        <v>2387</v>
      </c>
      <c r="B111" s="510" t="s">
        <v>1010</v>
      </c>
      <c r="C111" s="511">
        <v>45984.36724537037</v>
      </c>
      <c r="D111" s="510" t="s">
        <v>1435</v>
      </c>
      <c r="E111" s="510" t="b">
        <v>1</v>
      </c>
      <c r="F111" s="510" t="b">
        <v>1</v>
      </c>
      <c r="G111" s="510" t="s">
        <v>1436</v>
      </c>
      <c r="H111" s="510" t="b">
        <v>1</v>
      </c>
      <c r="I111" s="510" t="s">
        <v>1437</v>
      </c>
      <c r="J111" s="510" t="b">
        <v>1</v>
      </c>
      <c r="K111" s="494" t="s">
        <v>2388</v>
      </c>
      <c r="L111" s="512" t="s">
        <v>188</v>
      </c>
      <c r="M111" s="510">
        <v>7.0</v>
      </c>
      <c r="N111" s="510">
        <v>7.0</v>
      </c>
      <c r="O111" s="510">
        <v>7.0</v>
      </c>
      <c r="P111" s="512" t="s">
        <v>2389</v>
      </c>
      <c r="Q111" s="510">
        <v>7.0</v>
      </c>
      <c r="R111" s="510">
        <v>7.0</v>
      </c>
      <c r="S111" s="510">
        <v>8.0</v>
      </c>
      <c r="T111" s="512" t="s">
        <v>2390</v>
      </c>
      <c r="U111" s="510">
        <v>7.0</v>
      </c>
      <c r="V111" s="510">
        <v>7.0</v>
      </c>
      <c r="W111" s="510">
        <v>5.0</v>
      </c>
      <c r="X111" s="512" t="s">
        <v>2391</v>
      </c>
      <c r="Y111" s="510">
        <v>7.0</v>
      </c>
      <c r="Z111" s="510">
        <v>9.0</v>
      </c>
      <c r="AA111" s="510">
        <v>8.0</v>
      </c>
      <c r="AB111" s="512" t="s">
        <v>2392</v>
      </c>
      <c r="AC111" s="512" t="s">
        <v>2393</v>
      </c>
      <c r="AD111" s="512" t="s">
        <v>2394</v>
      </c>
      <c r="AE111" s="501"/>
      <c r="AF111" s="12"/>
      <c r="AG111" s="502">
        <f t="shared" si="4"/>
        <v>7.166666667</v>
      </c>
    </row>
    <row r="112" hidden="1">
      <c r="A112" s="510" t="s">
        <v>2395</v>
      </c>
      <c r="B112" s="510" t="s">
        <v>2396</v>
      </c>
      <c r="C112" s="511">
        <v>45984.87032407407</v>
      </c>
      <c r="D112" s="510" t="s">
        <v>1435</v>
      </c>
      <c r="E112" s="510" t="b">
        <v>1</v>
      </c>
      <c r="F112" s="510" t="b">
        <v>1</v>
      </c>
      <c r="G112" s="510" t="s">
        <v>1436</v>
      </c>
      <c r="H112" s="510" t="b">
        <v>1</v>
      </c>
      <c r="I112" s="510" t="s">
        <v>1437</v>
      </c>
      <c r="J112" s="510" t="b">
        <v>1</v>
      </c>
      <c r="K112" s="494" t="s">
        <v>333</v>
      </c>
      <c r="L112" s="512" t="s">
        <v>188</v>
      </c>
      <c r="M112" s="510">
        <v>7.0</v>
      </c>
      <c r="N112" s="510">
        <v>7.0</v>
      </c>
      <c r="O112" s="510">
        <v>7.0</v>
      </c>
      <c r="P112" s="512" t="s">
        <v>2397</v>
      </c>
      <c r="Q112" s="510">
        <v>6.0</v>
      </c>
      <c r="R112" s="510">
        <v>9.0</v>
      </c>
      <c r="S112" s="510">
        <v>7.0</v>
      </c>
      <c r="T112" s="512" t="s">
        <v>2398</v>
      </c>
      <c r="U112" s="510">
        <v>7.0</v>
      </c>
      <c r="V112" s="510">
        <v>6.0</v>
      </c>
      <c r="W112" s="510">
        <v>7.0</v>
      </c>
      <c r="X112" s="512" t="s">
        <v>2399</v>
      </c>
      <c r="Y112" s="510">
        <v>7.0</v>
      </c>
      <c r="Z112" s="510">
        <v>9.0</v>
      </c>
      <c r="AA112" s="510">
        <v>6.0</v>
      </c>
      <c r="AB112" s="512" t="s">
        <v>2400</v>
      </c>
      <c r="AC112" s="512" t="s">
        <v>2401</v>
      </c>
      <c r="AD112" s="512" t="s">
        <v>2402</v>
      </c>
      <c r="AE112" s="18" t="s">
        <v>2403</v>
      </c>
      <c r="AF112" s="12"/>
      <c r="AG112" s="502">
        <f t="shared" si="4"/>
        <v>7.083333333</v>
      </c>
    </row>
    <row r="113" hidden="1">
      <c r="A113" s="510" t="s">
        <v>2404</v>
      </c>
      <c r="B113" s="510" t="s">
        <v>2405</v>
      </c>
      <c r="C113" s="511">
        <v>45970.38916666667</v>
      </c>
      <c r="D113" s="510" t="s">
        <v>1435</v>
      </c>
      <c r="E113" s="510" t="b">
        <v>1</v>
      </c>
      <c r="F113" s="510" t="b">
        <v>1</v>
      </c>
      <c r="G113" s="510" t="s">
        <v>1436</v>
      </c>
      <c r="H113" s="510" t="b">
        <v>1</v>
      </c>
      <c r="I113" s="510" t="s">
        <v>1437</v>
      </c>
      <c r="J113" s="510" t="b">
        <v>1</v>
      </c>
      <c r="K113" s="494" t="s">
        <v>2406</v>
      </c>
      <c r="L113" s="512" t="s">
        <v>188</v>
      </c>
      <c r="M113" s="510">
        <v>8.0</v>
      </c>
      <c r="N113" s="510">
        <v>8.0</v>
      </c>
      <c r="O113" s="510">
        <v>8.0</v>
      </c>
      <c r="P113" s="512" t="s">
        <v>2407</v>
      </c>
      <c r="Q113" s="510">
        <v>6.0</v>
      </c>
      <c r="R113" s="510">
        <v>7.0</v>
      </c>
      <c r="S113" s="510">
        <v>7.0</v>
      </c>
      <c r="T113" s="512" t="s">
        <v>2408</v>
      </c>
      <c r="U113" s="510">
        <v>6.0</v>
      </c>
      <c r="V113" s="510">
        <v>6.0</v>
      </c>
      <c r="W113" s="510">
        <v>6.0</v>
      </c>
      <c r="X113" s="512" t="s">
        <v>2409</v>
      </c>
      <c r="Y113" s="510">
        <v>6.0</v>
      </c>
      <c r="Z113" s="510">
        <v>7.0</v>
      </c>
      <c r="AA113" s="510">
        <v>6.0</v>
      </c>
      <c r="AB113" s="512" t="s">
        <v>2410</v>
      </c>
      <c r="AC113" s="512" t="s">
        <v>2411</v>
      </c>
      <c r="AD113" s="512" t="s">
        <v>2412</v>
      </c>
      <c r="AE113" s="18" t="s">
        <v>2413</v>
      </c>
      <c r="AF113" s="12"/>
      <c r="AG113" s="502">
        <f t="shared" si="4"/>
        <v>6.75</v>
      </c>
    </row>
    <row r="114" hidden="1">
      <c r="A114" s="510" t="s">
        <v>2414</v>
      </c>
      <c r="B114" s="510" t="s">
        <v>2415</v>
      </c>
      <c r="C114" s="511">
        <v>45997.63128472222</v>
      </c>
      <c r="D114" s="510" t="s">
        <v>1435</v>
      </c>
      <c r="E114" s="510" t="b">
        <v>1</v>
      </c>
      <c r="F114" s="510" t="b">
        <v>1</v>
      </c>
      <c r="G114" s="510" t="s">
        <v>1436</v>
      </c>
      <c r="H114" s="510" t="b">
        <v>1</v>
      </c>
      <c r="I114" s="510" t="s">
        <v>1437</v>
      </c>
      <c r="J114" s="510" t="b">
        <v>1</v>
      </c>
      <c r="K114" s="494" t="s">
        <v>224</v>
      </c>
      <c r="L114" s="512" t="s">
        <v>188</v>
      </c>
      <c r="M114" s="510">
        <v>7.0</v>
      </c>
      <c r="N114" s="510">
        <v>7.0</v>
      </c>
      <c r="O114" s="510">
        <v>7.0</v>
      </c>
      <c r="P114" s="512" t="s">
        <v>2416</v>
      </c>
      <c r="Q114" s="510">
        <v>6.0</v>
      </c>
      <c r="R114" s="510">
        <v>8.0</v>
      </c>
      <c r="S114" s="510">
        <v>5.0</v>
      </c>
      <c r="T114" s="512" t="s">
        <v>2417</v>
      </c>
      <c r="U114" s="510">
        <v>7.0</v>
      </c>
      <c r="V114" s="510">
        <v>6.0</v>
      </c>
      <c r="W114" s="510">
        <v>5.0</v>
      </c>
      <c r="X114" s="512" t="s">
        <v>2418</v>
      </c>
      <c r="Y114" s="510">
        <v>7.0</v>
      </c>
      <c r="Z114" s="510">
        <v>6.0</v>
      </c>
      <c r="AA114" s="510">
        <v>7.0</v>
      </c>
      <c r="AB114" s="512" t="s">
        <v>2419</v>
      </c>
      <c r="AC114" s="512" t="s">
        <v>2420</v>
      </c>
      <c r="AD114" s="512" t="s">
        <v>2421</v>
      </c>
      <c r="AE114" s="513"/>
      <c r="AF114" s="12"/>
      <c r="AG114" s="502">
        <f t="shared" si="4"/>
        <v>6.5</v>
      </c>
    </row>
    <row r="115" hidden="1">
      <c r="A115" s="510" t="s">
        <v>2422</v>
      </c>
      <c r="B115" s="510" t="s">
        <v>2423</v>
      </c>
      <c r="C115" s="511">
        <v>45967.361493055556</v>
      </c>
      <c r="D115" s="510" t="s">
        <v>1435</v>
      </c>
      <c r="E115" s="510" t="b">
        <v>1</v>
      </c>
      <c r="F115" s="510" t="b">
        <v>1</v>
      </c>
      <c r="G115" s="510" t="s">
        <v>1436</v>
      </c>
      <c r="H115" s="510" t="b">
        <v>1</v>
      </c>
      <c r="I115" s="510" t="s">
        <v>1437</v>
      </c>
      <c r="J115" s="510" t="b">
        <v>1</v>
      </c>
      <c r="K115" s="494" t="s">
        <v>350</v>
      </c>
      <c r="L115" s="512" t="s">
        <v>188</v>
      </c>
      <c r="M115" s="510">
        <v>7.0</v>
      </c>
      <c r="N115" s="510">
        <v>7.0</v>
      </c>
      <c r="O115" s="510">
        <v>7.0</v>
      </c>
      <c r="P115" s="512" t="s">
        <v>2424</v>
      </c>
      <c r="Q115" s="510">
        <v>6.0</v>
      </c>
      <c r="R115" s="510">
        <v>6.0</v>
      </c>
      <c r="S115" s="510">
        <v>6.0</v>
      </c>
      <c r="T115" s="512" t="s">
        <v>2425</v>
      </c>
      <c r="U115" s="510">
        <v>6.0</v>
      </c>
      <c r="V115" s="510">
        <v>6.0</v>
      </c>
      <c r="W115" s="510">
        <v>6.0</v>
      </c>
      <c r="X115" s="512" t="s">
        <v>2426</v>
      </c>
      <c r="Y115" s="510">
        <v>6.0</v>
      </c>
      <c r="Z115" s="510">
        <v>6.0</v>
      </c>
      <c r="AA115" s="510">
        <v>6.0</v>
      </c>
      <c r="AB115" s="512" t="s">
        <v>2427</v>
      </c>
      <c r="AC115" s="512" t="s">
        <v>2428</v>
      </c>
      <c r="AD115" s="512" t="s">
        <v>2429</v>
      </c>
      <c r="AE115" s="18" t="s">
        <v>2430</v>
      </c>
      <c r="AF115" s="12"/>
      <c r="AG115" s="502">
        <f t="shared" si="4"/>
        <v>6.25</v>
      </c>
    </row>
    <row r="116" hidden="1">
      <c r="A116" s="510" t="s">
        <v>2431</v>
      </c>
      <c r="B116" s="510" t="s">
        <v>2432</v>
      </c>
      <c r="C116" s="511">
        <v>45975.578310185185</v>
      </c>
      <c r="D116" s="510" t="s">
        <v>1435</v>
      </c>
      <c r="E116" s="510" t="b">
        <v>1</v>
      </c>
      <c r="F116" s="510" t="b">
        <v>1</v>
      </c>
      <c r="G116" s="510" t="s">
        <v>1436</v>
      </c>
      <c r="H116" s="510" t="b">
        <v>1</v>
      </c>
      <c r="I116" s="510" t="s">
        <v>1437</v>
      </c>
      <c r="J116" s="510" t="b">
        <v>1</v>
      </c>
      <c r="K116" s="494" t="s">
        <v>306</v>
      </c>
      <c r="L116" s="512" t="s">
        <v>2433</v>
      </c>
      <c r="M116" s="510">
        <v>6.0</v>
      </c>
      <c r="N116" s="510">
        <v>9.0</v>
      </c>
      <c r="O116" s="510">
        <v>8.0</v>
      </c>
      <c r="P116" s="512" t="s">
        <v>2434</v>
      </c>
      <c r="Q116" s="510">
        <v>8.0</v>
      </c>
      <c r="R116" s="510">
        <v>8.0</v>
      </c>
      <c r="S116" s="510">
        <v>8.0</v>
      </c>
      <c r="T116" s="512" t="s">
        <v>2435</v>
      </c>
      <c r="U116" s="510">
        <v>8.0</v>
      </c>
      <c r="V116" s="510">
        <v>8.0</v>
      </c>
      <c r="W116" s="510">
        <v>8.0</v>
      </c>
      <c r="X116" s="512" t="s">
        <v>2436</v>
      </c>
      <c r="Y116" s="510">
        <v>8.0</v>
      </c>
      <c r="Z116" s="510">
        <v>6.0</v>
      </c>
      <c r="AA116" s="510">
        <v>7.0</v>
      </c>
      <c r="AB116" s="512" t="s">
        <v>2437</v>
      </c>
      <c r="AC116" s="512" t="s">
        <v>2438</v>
      </c>
      <c r="AD116" s="512" t="s">
        <v>2439</v>
      </c>
      <c r="AE116" s="18" t="s">
        <v>2440</v>
      </c>
      <c r="AF116" s="12"/>
      <c r="AG116" s="502">
        <f t="shared" si="4"/>
        <v>7.666666667</v>
      </c>
    </row>
    <row r="117" hidden="1">
      <c r="A117" s="510" t="s">
        <v>2441</v>
      </c>
      <c r="B117" s="510" t="s">
        <v>2442</v>
      </c>
      <c r="C117" s="511">
        <v>45967.83719907407</v>
      </c>
      <c r="D117" s="510" t="s">
        <v>1435</v>
      </c>
      <c r="E117" s="510" t="b">
        <v>1</v>
      </c>
      <c r="F117" s="510" t="b">
        <v>1</v>
      </c>
      <c r="G117" s="510" t="s">
        <v>1436</v>
      </c>
      <c r="H117" s="510" t="b">
        <v>1</v>
      </c>
      <c r="I117" s="510" t="s">
        <v>1437</v>
      </c>
      <c r="J117" s="510" t="b">
        <v>1</v>
      </c>
      <c r="K117" s="494" t="s">
        <v>2443</v>
      </c>
      <c r="L117" s="512" t="s">
        <v>2433</v>
      </c>
      <c r="M117" s="510">
        <v>9.0</v>
      </c>
      <c r="N117" s="510">
        <v>8.0</v>
      </c>
      <c r="O117" s="510">
        <v>6.0</v>
      </c>
      <c r="P117" s="512" t="s">
        <v>2444</v>
      </c>
      <c r="Q117" s="510">
        <v>9.0</v>
      </c>
      <c r="R117" s="510">
        <v>6.0</v>
      </c>
      <c r="S117" s="510">
        <v>6.0</v>
      </c>
      <c r="T117" s="512" t="s">
        <v>2445</v>
      </c>
      <c r="U117" s="510">
        <v>9.0</v>
      </c>
      <c r="V117" s="510">
        <v>6.0</v>
      </c>
      <c r="W117" s="510">
        <v>4.0</v>
      </c>
      <c r="X117" s="512" t="s">
        <v>2446</v>
      </c>
      <c r="Y117" s="510">
        <v>9.0</v>
      </c>
      <c r="Z117" s="510">
        <v>9.0</v>
      </c>
      <c r="AA117" s="510">
        <v>9.0</v>
      </c>
      <c r="AB117" s="512" t="s">
        <v>2447</v>
      </c>
      <c r="AC117" s="512" t="s">
        <v>2448</v>
      </c>
      <c r="AD117" s="512" t="s">
        <v>2449</v>
      </c>
      <c r="AE117" s="18" t="s">
        <v>2450</v>
      </c>
      <c r="AF117" s="12"/>
      <c r="AG117" s="502">
        <f t="shared" si="4"/>
        <v>7.5</v>
      </c>
    </row>
    <row r="118" hidden="1">
      <c r="A118" s="510" t="s">
        <v>2451</v>
      </c>
      <c r="B118" s="510" t="s">
        <v>2452</v>
      </c>
      <c r="C118" s="511">
        <v>45984.398206018515</v>
      </c>
      <c r="D118" s="510" t="s">
        <v>1435</v>
      </c>
      <c r="E118" s="510" t="b">
        <v>1</v>
      </c>
      <c r="F118" s="510" t="b">
        <v>1</v>
      </c>
      <c r="G118" s="510" t="s">
        <v>1436</v>
      </c>
      <c r="H118" s="510" t="b">
        <v>1</v>
      </c>
      <c r="I118" s="510" t="s">
        <v>1437</v>
      </c>
      <c r="J118" s="510" t="b">
        <v>1</v>
      </c>
      <c r="K118" s="494" t="s">
        <v>299</v>
      </c>
      <c r="L118" s="512" t="s">
        <v>2433</v>
      </c>
      <c r="M118" s="510">
        <v>7.0</v>
      </c>
      <c r="N118" s="510">
        <v>7.0</v>
      </c>
      <c r="O118" s="510">
        <v>7.0</v>
      </c>
      <c r="P118" s="512" t="s">
        <v>2453</v>
      </c>
      <c r="Q118" s="510">
        <v>7.0</v>
      </c>
      <c r="R118" s="510">
        <v>7.0</v>
      </c>
      <c r="S118" s="510">
        <v>7.0</v>
      </c>
      <c r="T118" s="512" t="s">
        <v>2454</v>
      </c>
      <c r="U118" s="510">
        <v>8.0</v>
      </c>
      <c r="V118" s="510">
        <v>8.0</v>
      </c>
      <c r="W118" s="510">
        <v>8.0</v>
      </c>
      <c r="X118" s="512" t="s">
        <v>2455</v>
      </c>
      <c r="Y118" s="510">
        <v>7.0</v>
      </c>
      <c r="Z118" s="510">
        <v>7.0</v>
      </c>
      <c r="AA118" s="510">
        <v>6.0</v>
      </c>
      <c r="AB118" s="512" t="s">
        <v>2456</v>
      </c>
      <c r="AC118" s="512" t="s">
        <v>2457</v>
      </c>
      <c r="AD118" s="512" t="s">
        <v>2458</v>
      </c>
      <c r="AE118" s="501"/>
      <c r="AF118" s="12"/>
      <c r="AG118" s="502">
        <f t="shared" si="4"/>
        <v>7.166666667</v>
      </c>
    </row>
    <row r="119" hidden="1">
      <c r="A119" s="510" t="s">
        <v>2459</v>
      </c>
      <c r="B119" s="510" t="s">
        <v>2460</v>
      </c>
      <c r="C119" s="511">
        <v>45981.362650462965</v>
      </c>
      <c r="D119" s="510" t="s">
        <v>1435</v>
      </c>
      <c r="E119" s="510" t="b">
        <v>1</v>
      </c>
      <c r="F119" s="510" t="b">
        <v>1</v>
      </c>
      <c r="G119" s="510" t="s">
        <v>1436</v>
      </c>
      <c r="H119" s="510" t="b">
        <v>1</v>
      </c>
      <c r="I119" s="510" t="s">
        <v>1437</v>
      </c>
      <c r="J119" s="510" t="b">
        <v>1</v>
      </c>
      <c r="K119" s="494" t="s">
        <v>2461</v>
      </c>
      <c r="L119" s="512" t="s">
        <v>2433</v>
      </c>
      <c r="M119" s="510">
        <v>6.0</v>
      </c>
      <c r="N119" s="510">
        <v>8.0</v>
      </c>
      <c r="O119" s="510">
        <v>6.0</v>
      </c>
      <c r="P119" s="512" t="s">
        <v>2462</v>
      </c>
      <c r="Q119" s="510">
        <v>7.0</v>
      </c>
      <c r="R119" s="510">
        <v>5.0</v>
      </c>
      <c r="S119" s="510">
        <v>8.0</v>
      </c>
      <c r="T119" s="512" t="s">
        <v>2463</v>
      </c>
      <c r="U119" s="510">
        <v>6.0</v>
      </c>
      <c r="V119" s="510">
        <v>6.0</v>
      </c>
      <c r="W119" s="510">
        <v>5.0</v>
      </c>
      <c r="X119" s="512" t="s">
        <v>2464</v>
      </c>
      <c r="Y119" s="510">
        <v>6.0</v>
      </c>
      <c r="Z119" s="510">
        <v>6.0</v>
      </c>
      <c r="AA119" s="510">
        <v>5.0</v>
      </c>
      <c r="AB119" s="512" t="s">
        <v>2465</v>
      </c>
      <c r="AC119" s="512" t="s">
        <v>2466</v>
      </c>
      <c r="AD119" s="512" t="s">
        <v>2467</v>
      </c>
      <c r="AE119" s="501"/>
      <c r="AF119" s="12"/>
      <c r="AG119" s="502">
        <f t="shared" si="4"/>
        <v>6.166666667</v>
      </c>
    </row>
    <row r="120" hidden="1">
      <c r="A120" s="12" t="s">
        <v>2468</v>
      </c>
      <c r="B120" s="12" t="s">
        <v>2469</v>
      </c>
      <c r="C120" s="511">
        <v>45997.608819444446</v>
      </c>
      <c r="D120" s="12" t="s">
        <v>1435</v>
      </c>
      <c r="E120" s="12" t="b">
        <v>1</v>
      </c>
      <c r="F120" s="12" t="b">
        <v>1</v>
      </c>
      <c r="G120" s="12" t="s">
        <v>1436</v>
      </c>
      <c r="H120" s="12" t="b">
        <v>1</v>
      </c>
      <c r="I120" s="12" t="s">
        <v>1437</v>
      </c>
      <c r="J120" s="12" t="b">
        <v>1</v>
      </c>
      <c r="K120" s="4" t="s">
        <v>2470</v>
      </c>
      <c r="L120" s="18" t="s">
        <v>2471</v>
      </c>
      <c r="M120" s="12">
        <v>3.0</v>
      </c>
      <c r="N120" s="12">
        <v>3.0</v>
      </c>
      <c r="O120" s="12">
        <v>3.0</v>
      </c>
      <c r="P120" s="18" t="s">
        <v>2472</v>
      </c>
      <c r="Q120" s="12">
        <v>3.0</v>
      </c>
      <c r="R120" s="12">
        <v>3.0</v>
      </c>
      <c r="S120" s="12">
        <v>3.0</v>
      </c>
      <c r="T120" s="18" t="s">
        <v>2473</v>
      </c>
      <c r="U120" s="12">
        <v>3.0</v>
      </c>
      <c r="V120" s="12">
        <v>3.0</v>
      </c>
      <c r="W120" s="12">
        <v>3.0</v>
      </c>
      <c r="X120" s="18" t="s">
        <v>2474</v>
      </c>
      <c r="Y120" s="12">
        <v>3.0</v>
      </c>
      <c r="Z120" s="12">
        <v>3.0</v>
      </c>
      <c r="AA120" s="12">
        <v>3.0</v>
      </c>
      <c r="AB120" s="18" t="s">
        <v>2475</v>
      </c>
      <c r="AC120" s="18" t="s">
        <v>2476</v>
      </c>
      <c r="AD120" s="18" t="s">
        <v>2477</v>
      </c>
      <c r="AE120" s="501"/>
      <c r="AF120" s="12"/>
      <c r="AG120" s="528"/>
    </row>
    <row r="121" hidden="1">
      <c r="A121" s="510" t="s">
        <v>2478</v>
      </c>
      <c r="B121" s="510" t="s">
        <v>2479</v>
      </c>
      <c r="C121" s="511">
        <v>45970.36020833333</v>
      </c>
      <c r="D121" s="510" t="s">
        <v>1435</v>
      </c>
      <c r="E121" s="510" t="b">
        <v>1</v>
      </c>
      <c r="F121" s="510" t="b">
        <v>1</v>
      </c>
      <c r="G121" s="510" t="s">
        <v>1436</v>
      </c>
      <c r="H121" s="510" t="b">
        <v>1</v>
      </c>
      <c r="I121" s="510" t="s">
        <v>1437</v>
      </c>
      <c r="J121" s="510" t="b">
        <v>1</v>
      </c>
      <c r="K121" s="494" t="s">
        <v>2480</v>
      </c>
      <c r="L121" s="512" t="s">
        <v>2481</v>
      </c>
      <c r="M121" s="513"/>
      <c r="N121" s="513"/>
      <c r="O121" s="513"/>
      <c r="P121" s="512" t="s">
        <v>2482</v>
      </c>
      <c r="Q121" s="513"/>
      <c r="R121" s="513"/>
      <c r="S121" s="513"/>
      <c r="T121" s="512" t="s">
        <v>2483</v>
      </c>
      <c r="U121" s="513"/>
      <c r="V121" s="513"/>
      <c r="W121" s="513"/>
      <c r="X121" s="512" t="s">
        <v>2484</v>
      </c>
      <c r="Y121" s="513"/>
      <c r="Z121" s="513"/>
      <c r="AA121" s="513"/>
      <c r="AB121" s="512" t="s">
        <v>2485</v>
      </c>
      <c r="AC121" s="512" t="s">
        <v>2486</v>
      </c>
      <c r="AD121" s="512" t="s">
        <v>2487</v>
      </c>
      <c r="AE121" s="513"/>
      <c r="AF121" s="12"/>
      <c r="AG121" s="502"/>
    </row>
    <row r="122" hidden="1">
      <c r="A122" s="510" t="s">
        <v>2488</v>
      </c>
      <c r="B122" s="510" t="s">
        <v>2489</v>
      </c>
      <c r="C122" s="511">
        <v>45984.322534722225</v>
      </c>
      <c r="D122" s="510" t="s">
        <v>1435</v>
      </c>
      <c r="E122" s="510" t="b">
        <v>1</v>
      </c>
      <c r="F122" s="510" t="b">
        <v>1</v>
      </c>
      <c r="G122" s="510" t="s">
        <v>1436</v>
      </c>
      <c r="H122" s="510" t="b">
        <v>1</v>
      </c>
      <c r="I122" s="510" t="s">
        <v>1437</v>
      </c>
      <c r="J122" s="510" t="b">
        <v>1</v>
      </c>
      <c r="K122" s="494" t="s">
        <v>2490</v>
      </c>
      <c r="L122" s="512" t="s">
        <v>2481</v>
      </c>
      <c r="M122" s="510">
        <v>8.0</v>
      </c>
      <c r="N122" s="510">
        <v>7.0</v>
      </c>
      <c r="O122" s="510">
        <v>8.0</v>
      </c>
      <c r="P122" s="512" t="s">
        <v>2491</v>
      </c>
      <c r="Q122" s="510">
        <v>7.0</v>
      </c>
      <c r="R122" s="510">
        <v>9.0</v>
      </c>
      <c r="S122" s="510">
        <v>8.0</v>
      </c>
      <c r="T122" s="512" t="s">
        <v>2492</v>
      </c>
      <c r="U122" s="510">
        <v>7.0</v>
      </c>
      <c r="V122" s="510">
        <v>9.0</v>
      </c>
      <c r="W122" s="510">
        <v>8.0</v>
      </c>
      <c r="X122" s="512" t="s">
        <v>2493</v>
      </c>
      <c r="Y122" s="510">
        <v>8.0</v>
      </c>
      <c r="Z122" s="510">
        <v>9.0</v>
      </c>
      <c r="AA122" s="510">
        <v>8.0</v>
      </c>
      <c r="AB122" s="512" t="s">
        <v>2494</v>
      </c>
      <c r="AC122" s="512" t="s">
        <v>2495</v>
      </c>
      <c r="AD122" s="512" t="s">
        <v>2496</v>
      </c>
      <c r="AE122" s="512" t="s">
        <v>1023</v>
      </c>
      <c r="AF122" s="12"/>
      <c r="AG122" s="502">
        <f t="shared" ref="AG122:AG197" si="5">AVERAGE(AA122,Z122,Y122,W122,V122,U122,S122,R122,Q122,O122,N122,M122)</f>
        <v>8</v>
      </c>
    </row>
    <row r="123" hidden="1">
      <c r="A123" s="514" t="s">
        <v>2497</v>
      </c>
      <c r="B123" s="513" t="s">
        <v>1157</v>
      </c>
      <c r="C123" s="515">
        <v>46005.84607638889</v>
      </c>
      <c r="D123" s="513" t="s">
        <v>1435</v>
      </c>
      <c r="E123" s="513" t="b">
        <v>1</v>
      </c>
      <c r="F123" s="513" t="b">
        <v>1</v>
      </c>
      <c r="G123" s="513" t="s">
        <v>1436</v>
      </c>
      <c r="H123" s="513" t="b">
        <v>1</v>
      </c>
      <c r="I123" s="513" t="s">
        <v>1437</v>
      </c>
      <c r="J123" s="513" t="b">
        <v>1</v>
      </c>
      <c r="K123" s="513" t="s">
        <v>144</v>
      </c>
      <c r="L123" s="513" t="s">
        <v>242</v>
      </c>
      <c r="M123" s="513">
        <v>7.0</v>
      </c>
      <c r="N123" s="513">
        <v>7.0</v>
      </c>
      <c r="O123" s="513">
        <v>8.0</v>
      </c>
      <c r="P123" s="513" t="s">
        <v>2498</v>
      </c>
      <c r="Q123" s="513">
        <v>8.0</v>
      </c>
      <c r="R123" s="513">
        <v>8.0</v>
      </c>
      <c r="S123" s="513">
        <v>8.0</v>
      </c>
      <c r="T123" s="513" t="s">
        <v>186</v>
      </c>
      <c r="U123" s="513">
        <v>7.0</v>
      </c>
      <c r="V123" s="513">
        <v>8.0</v>
      </c>
      <c r="W123" s="513">
        <v>8.0</v>
      </c>
      <c r="X123" s="513" t="s">
        <v>2499</v>
      </c>
      <c r="Y123" s="516">
        <v>7.0</v>
      </c>
      <c r="Z123" s="513">
        <v>6.0</v>
      </c>
      <c r="AA123" s="513">
        <v>7.0</v>
      </c>
      <c r="AB123" s="513" t="s">
        <v>2500</v>
      </c>
      <c r="AC123" s="513" t="s">
        <v>2501</v>
      </c>
      <c r="AD123" s="513" t="s">
        <v>2502</v>
      </c>
      <c r="AE123" s="513"/>
      <c r="AF123" s="12"/>
      <c r="AG123" s="502">
        <f t="shared" si="5"/>
        <v>7.416666667</v>
      </c>
    </row>
    <row r="124" hidden="1">
      <c r="A124" s="510" t="s">
        <v>2503</v>
      </c>
      <c r="B124" s="510" t="s">
        <v>2504</v>
      </c>
      <c r="C124" s="511">
        <v>45998.667905092596</v>
      </c>
      <c r="D124" s="510" t="s">
        <v>1435</v>
      </c>
      <c r="E124" s="510" t="b">
        <v>1</v>
      </c>
      <c r="F124" s="510" t="b">
        <v>1</v>
      </c>
      <c r="G124" s="510" t="s">
        <v>1436</v>
      </c>
      <c r="H124" s="510" t="b">
        <v>1</v>
      </c>
      <c r="I124" s="510" t="s">
        <v>1437</v>
      </c>
      <c r="J124" s="510" t="b">
        <v>1</v>
      </c>
      <c r="K124" s="494" t="s">
        <v>2505</v>
      </c>
      <c r="L124" s="512" t="s">
        <v>242</v>
      </c>
      <c r="M124" s="510">
        <v>5.0</v>
      </c>
      <c r="N124" s="510">
        <v>8.0</v>
      </c>
      <c r="O124" s="510">
        <v>9.0</v>
      </c>
      <c r="P124" s="512" t="s">
        <v>2506</v>
      </c>
      <c r="Q124" s="510">
        <v>9.0</v>
      </c>
      <c r="R124" s="510">
        <v>9.0</v>
      </c>
      <c r="S124" s="510">
        <v>7.0</v>
      </c>
      <c r="T124" s="512" t="s">
        <v>2507</v>
      </c>
      <c r="U124" s="510">
        <v>5.0</v>
      </c>
      <c r="V124" s="510">
        <v>9.0</v>
      </c>
      <c r="W124" s="510">
        <v>8.0</v>
      </c>
      <c r="X124" s="512" t="s">
        <v>2508</v>
      </c>
      <c r="Y124" s="510">
        <v>6.0</v>
      </c>
      <c r="Z124" s="510">
        <v>4.0</v>
      </c>
      <c r="AA124" s="510">
        <v>7.0</v>
      </c>
      <c r="AB124" s="512" t="s">
        <v>2509</v>
      </c>
      <c r="AC124" s="512" t="s">
        <v>2510</v>
      </c>
      <c r="AD124" s="512" t="s">
        <v>2511</v>
      </c>
      <c r="AE124" s="513"/>
      <c r="AF124" s="12"/>
      <c r="AG124" s="502">
        <f t="shared" si="5"/>
        <v>7.166666667</v>
      </c>
    </row>
    <row r="125" hidden="1">
      <c r="A125" s="510" t="s">
        <v>2512</v>
      </c>
      <c r="B125" s="510" t="s">
        <v>2513</v>
      </c>
      <c r="C125" s="511">
        <v>45997.62758101852</v>
      </c>
      <c r="D125" s="510" t="s">
        <v>1435</v>
      </c>
      <c r="E125" s="510" t="b">
        <v>1</v>
      </c>
      <c r="F125" s="510" t="b">
        <v>1</v>
      </c>
      <c r="G125" s="510" t="s">
        <v>1436</v>
      </c>
      <c r="H125" s="510" t="b">
        <v>1</v>
      </c>
      <c r="I125" s="510" t="s">
        <v>1437</v>
      </c>
      <c r="J125" s="510" t="b">
        <v>1</v>
      </c>
      <c r="K125" s="494" t="s">
        <v>1438</v>
      </c>
      <c r="L125" s="512" t="s">
        <v>242</v>
      </c>
      <c r="M125" s="510">
        <v>6.0</v>
      </c>
      <c r="N125" s="510">
        <v>8.0</v>
      </c>
      <c r="O125" s="510">
        <v>7.0</v>
      </c>
      <c r="P125" s="512" t="s">
        <v>2514</v>
      </c>
      <c r="Q125" s="510">
        <v>6.0</v>
      </c>
      <c r="R125" s="510">
        <v>9.0</v>
      </c>
      <c r="S125" s="510">
        <v>6.0</v>
      </c>
      <c r="T125" s="512" t="s">
        <v>2515</v>
      </c>
      <c r="U125" s="510">
        <v>6.0</v>
      </c>
      <c r="V125" s="510">
        <v>6.0</v>
      </c>
      <c r="W125" s="510">
        <v>5.0</v>
      </c>
      <c r="X125" s="512" t="s">
        <v>2516</v>
      </c>
      <c r="Y125" s="510">
        <v>5.0</v>
      </c>
      <c r="Z125" s="510">
        <v>6.0</v>
      </c>
      <c r="AA125" s="510">
        <v>5.0</v>
      </c>
      <c r="AB125" s="512" t="s">
        <v>2517</v>
      </c>
      <c r="AC125" s="512" t="s">
        <v>2518</v>
      </c>
      <c r="AD125" s="512" t="s">
        <v>2519</v>
      </c>
      <c r="AE125" s="18" t="s">
        <v>2520</v>
      </c>
      <c r="AF125" s="12"/>
      <c r="AG125" s="502">
        <f t="shared" si="5"/>
        <v>6.25</v>
      </c>
    </row>
    <row r="126" hidden="1">
      <c r="A126" s="510" t="s">
        <v>2521</v>
      </c>
      <c r="B126" s="510" t="s">
        <v>2522</v>
      </c>
      <c r="C126" s="511">
        <v>45998.392546296294</v>
      </c>
      <c r="D126" s="510" t="s">
        <v>1435</v>
      </c>
      <c r="E126" s="510" t="b">
        <v>1</v>
      </c>
      <c r="F126" s="510" t="b">
        <v>1</v>
      </c>
      <c r="G126" s="510" t="s">
        <v>1436</v>
      </c>
      <c r="H126" s="510" t="b">
        <v>1</v>
      </c>
      <c r="I126" s="510" t="s">
        <v>1437</v>
      </c>
      <c r="J126" s="510" t="b">
        <v>1</v>
      </c>
      <c r="K126" s="494" t="s">
        <v>2523</v>
      </c>
      <c r="L126" s="512" t="s">
        <v>242</v>
      </c>
      <c r="M126" s="510">
        <v>5.0</v>
      </c>
      <c r="N126" s="510">
        <v>5.0</v>
      </c>
      <c r="O126" s="510">
        <v>6.0</v>
      </c>
      <c r="P126" s="512" t="s">
        <v>2524</v>
      </c>
      <c r="Q126" s="510">
        <v>4.0</v>
      </c>
      <c r="R126" s="510">
        <v>8.0</v>
      </c>
      <c r="S126" s="510">
        <v>5.0</v>
      </c>
      <c r="T126" s="512" t="s">
        <v>2525</v>
      </c>
      <c r="U126" s="510">
        <v>5.0</v>
      </c>
      <c r="V126" s="510">
        <v>6.0</v>
      </c>
      <c r="W126" s="510">
        <v>7.0</v>
      </c>
      <c r="X126" s="512" t="s">
        <v>2526</v>
      </c>
      <c r="Y126" s="510">
        <v>5.0</v>
      </c>
      <c r="Z126" s="510">
        <v>7.0</v>
      </c>
      <c r="AA126" s="510">
        <v>7.0</v>
      </c>
      <c r="AB126" s="512" t="s">
        <v>2527</v>
      </c>
      <c r="AC126" s="512" t="s">
        <v>2528</v>
      </c>
      <c r="AD126" s="512" t="s">
        <v>2529</v>
      </c>
      <c r="AE126" s="512" t="s">
        <v>2530</v>
      </c>
      <c r="AF126" s="12"/>
      <c r="AG126" s="502">
        <f t="shared" si="5"/>
        <v>5.833333333</v>
      </c>
    </row>
    <row r="127" hidden="1">
      <c r="A127" s="510" t="s">
        <v>2531</v>
      </c>
      <c r="B127" s="510" t="s">
        <v>2532</v>
      </c>
      <c r="C127" s="511">
        <v>45997.73861111111</v>
      </c>
      <c r="D127" s="510" t="s">
        <v>1435</v>
      </c>
      <c r="E127" s="510" t="b">
        <v>1</v>
      </c>
      <c r="F127" s="510" t="b">
        <v>1</v>
      </c>
      <c r="G127" s="510" t="s">
        <v>1436</v>
      </c>
      <c r="H127" s="510" t="b">
        <v>1</v>
      </c>
      <c r="I127" s="510" t="s">
        <v>1437</v>
      </c>
      <c r="J127" s="510" t="b">
        <v>1</v>
      </c>
      <c r="K127" s="494" t="s">
        <v>2533</v>
      </c>
      <c r="L127" s="512" t="s">
        <v>242</v>
      </c>
      <c r="M127" s="510">
        <v>5.0</v>
      </c>
      <c r="N127" s="510">
        <v>5.0</v>
      </c>
      <c r="O127" s="510">
        <v>5.0</v>
      </c>
      <c r="P127" s="512" t="s">
        <v>2534</v>
      </c>
      <c r="Q127" s="510">
        <v>6.0</v>
      </c>
      <c r="R127" s="510">
        <v>6.0</v>
      </c>
      <c r="S127" s="510">
        <v>6.0</v>
      </c>
      <c r="T127" s="512" t="s">
        <v>38</v>
      </c>
      <c r="U127" s="510">
        <v>6.0</v>
      </c>
      <c r="V127" s="510">
        <v>5.0</v>
      </c>
      <c r="W127" s="510">
        <v>6.0</v>
      </c>
      <c r="X127" s="512" t="s">
        <v>38</v>
      </c>
      <c r="Y127" s="510">
        <v>4.0</v>
      </c>
      <c r="Z127" s="510">
        <v>4.0</v>
      </c>
      <c r="AA127" s="510">
        <v>4.0</v>
      </c>
      <c r="AB127" s="512" t="s">
        <v>2535</v>
      </c>
      <c r="AC127" s="512" t="s">
        <v>2536</v>
      </c>
      <c r="AD127" s="512" t="s">
        <v>2537</v>
      </c>
      <c r="AE127" s="18" t="s">
        <v>2538</v>
      </c>
      <c r="AF127" s="12"/>
      <c r="AG127" s="502">
        <f t="shared" si="5"/>
        <v>5.166666667</v>
      </c>
    </row>
    <row r="128" hidden="1">
      <c r="A128" s="510" t="s">
        <v>2539</v>
      </c>
      <c r="B128" s="510" t="s">
        <v>2540</v>
      </c>
      <c r="C128" s="511">
        <v>45998.37971064815</v>
      </c>
      <c r="D128" s="510" t="s">
        <v>1807</v>
      </c>
      <c r="E128" s="510" t="b">
        <v>1</v>
      </c>
      <c r="F128" s="510" t="b">
        <v>0</v>
      </c>
      <c r="G128" s="510" t="s">
        <v>1436</v>
      </c>
      <c r="H128" s="510" t="b">
        <v>1</v>
      </c>
      <c r="I128" s="510" t="s">
        <v>1437</v>
      </c>
      <c r="J128" s="510" t="b">
        <v>1</v>
      </c>
      <c r="K128" s="494" t="s">
        <v>2541</v>
      </c>
      <c r="L128" s="512" t="s">
        <v>914</v>
      </c>
      <c r="M128" s="510">
        <v>6.0</v>
      </c>
      <c r="N128" s="510">
        <v>7.0</v>
      </c>
      <c r="O128" s="510">
        <v>5.0</v>
      </c>
      <c r="P128" s="512" t="s">
        <v>2542</v>
      </c>
      <c r="Q128" s="510">
        <v>3.0</v>
      </c>
      <c r="R128" s="510">
        <v>7.0</v>
      </c>
      <c r="S128" s="510">
        <v>7.0</v>
      </c>
      <c r="T128" s="512" t="s">
        <v>2543</v>
      </c>
      <c r="U128" s="510">
        <v>3.0</v>
      </c>
      <c r="V128" s="510">
        <v>5.0</v>
      </c>
      <c r="W128" s="510">
        <v>1.0</v>
      </c>
      <c r="X128" s="512" t="s">
        <v>2544</v>
      </c>
      <c r="Y128" s="510">
        <v>4.0</v>
      </c>
      <c r="Z128" s="510">
        <v>7.0</v>
      </c>
      <c r="AA128" s="510">
        <v>4.0</v>
      </c>
      <c r="AB128" s="512" t="s">
        <v>2545</v>
      </c>
      <c r="AC128" s="512" t="s">
        <v>2546</v>
      </c>
      <c r="AD128" s="512" t="s">
        <v>2547</v>
      </c>
      <c r="AE128" s="512" t="s">
        <v>2548</v>
      </c>
      <c r="AF128" s="12"/>
      <c r="AG128" s="502">
        <f t="shared" si="5"/>
        <v>4.916666667</v>
      </c>
    </row>
    <row r="129" hidden="1">
      <c r="A129" s="510" t="s">
        <v>2549</v>
      </c>
      <c r="B129" s="510" t="s">
        <v>2550</v>
      </c>
      <c r="C129" s="511">
        <v>45998.59417824074</v>
      </c>
      <c r="D129" s="510" t="s">
        <v>1435</v>
      </c>
      <c r="E129" s="510" t="b">
        <v>1</v>
      </c>
      <c r="F129" s="510" t="b">
        <v>1</v>
      </c>
      <c r="G129" s="510" t="s">
        <v>1436</v>
      </c>
      <c r="H129" s="510" t="b">
        <v>1</v>
      </c>
      <c r="I129" s="510" t="s">
        <v>1437</v>
      </c>
      <c r="J129" s="510" t="b">
        <v>1</v>
      </c>
      <c r="K129" s="494" t="s">
        <v>2551</v>
      </c>
      <c r="L129" s="512" t="s">
        <v>433</v>
      </c>
      <c r="M129" s="510">
        <v>9.0</v>
      </c>
      <c r="N129" s="510">
        <v>9.0</v>
      </c>
      <c r="O129" s="510">
        <v>9.0</v>
      </c>
      <c r="P129" s="512" t="s">
        <v>2552</v>
      </c>
      <c r="Q129" s="510">
        <v>9.0</v>
      </c>
      <c r="R129" s="510">
        <v>9.0</v>
      </c>
      <c r="S129" s="510">
        <v>9.0</v>
      </c>
      <c r="T129" s="512" t="s">
        <v>2553</v>
      </c>
      <c r="U129" s="510">
        <v>9.0</v>
      </c>
      <c r="V129" s="510">
        <v>9.0</v>
      </c>
      <c r="W129" s="510">
        <v>9.0</v>
      </c>
      <c r="X129" s="512" t="s">
        <v>2554</v>
      </c>
      <c r="Y129" s="510">
        <v>9.0</v>
      </c>
      <c r="Z129" s="510">
        <v>9.0</v>
      </c>
      <c r="AA129" s="510">
        <v>9.0</v>
      </c>
      <c r="AB129" s="512" t="s">
        <v>2555</v>
      </c>
      <c r="AC129" s="512" t="s">
        <v>2556</v>
      </c>
      <c r="AD129" s="512" t="s">
        <v>2557</v>
      </c>
      <c r="AE129" s="513"/>
      <c r="AF129" s="12"/>
      <c r="AG129" s="502">
        <f t="shared" si="5"/>
        <v>9</v>
      </c>
    </row>
    <row r="130" hidden="1">
      <c r="A130" s="510" t="s">
        <v>2558</v>
      </c>
      <c r="B130" s="510" t="s">
        <v>2559</v>
      </c>
      <c r="C130" s="511">
        <v>45997.97803240741</v>
      </c>
      <c r="D130" s="510" t="s">
        <v>1435</v>
      </c>
      <c r="E130" s="510" t="b">
        <v>1</v>
      </c>
      <c r="F130" s="510" t="b">
        <v>1</v>
      </c>
      <c r="G130" s="510" t="s">
        <v>1436</v>
      </c>
      <c r="H130" s="510" t="b">
        <v>1</v>
      </c>
      <c r="I130" s="510" t="s">
        <v>1437</v>
      </c>
      <c r="J130" s="510" t="b">
        <v>1</v>
      </c>
      <c r="K130" s="494" t="s">
        <v>2560</v>
      </c>
      <c r="L130" s="512" t="s">
        <v>433</v>
      </c>
      <c r="M130" s="510">
        <v>6.0</v>
      </c>
      <c r="N130" s="510">
        <v>9.0</v>
      </c>
      <c r="O130" s="510">
        <v>9.0</v>
      </c>
      <c r="P130" s="512" t="s">
        <v>2561</v>
      </c>
      <c r="Q130" s="510">
        <v>9.0</v>
      </c>
      <c r="R130" s="510">
        <v>9.0</v>
      </c>
      <c r="S130" s="510">
        <v>9.0</v>
      </c>
      <c r="T130" s="512" t="s">
        <v>2562</v>
      </c>
      <c r="U130" s="510">
        <v>9.0</v>
      </c>
      <c r="V130" s="510">
        <v>9.0</v>
      </c>
      <c r="W130" s="510">
        <v>9.0</v>
      </c>
      <c r="X130" s="512" t="s">
        <v>2563</v>
      </c>
      <c r="Y130" s="510">
        <v>9.0</v>
      </c>
      <c r="Z130" s="510">
        <v>9.0</v>
      </c>
      <c r="AA130" s="510">
        <v>9.0</v>
      </c>
      <c r="AB130" s="512" t="s">
        <v>2564</v>
      </c>
      <c r="AC130" s="512" t="s">
        <v>2565</v>
      </c>
      <c r="AD130" s="512" t="s">
        <v>2566</v>
      </c>
      <c r="AE130" s="513"/>
      <c r="AF130" s="12"/>
      <c r="AG130" s="502">
        <f t="shared" si="5"/>
        <v>8.75</v>
      </c>
    </row>
    <row r="131" hidden="1">
      <c r="A131" s="510" t="s">
        <v>2567</v>
      </c>
      <c r="B131" s="510" t="s">
        <v>2568</v>
      </c>
      <c r="C131" s="511">
        <v>45997.62230324074</v>
      </c>
      <c r="D131" s="510" t="s">
        <v>1435</v>
      </c>
      <c r="E131" s="510" t="b">
        <v>1</v>
      </c>
      <c r="F131" s="510" t="b">
        <v>1</v>
      </c>
      <c r="G131" s="510" t="s">
        <v>1436</v>
      </c>
      <c r="H131" s="510" t="b">
        <v>1</v>
      </c>
      <c r="I131" s="510" t="s">
        <v>1437</v>
      </c>
      <c r="J131" s="510" t="b">
        <v>1</v>
      </c>
      <c r="K131" s="494" t="s">
        <v>2569</v>
      </c>
      <c r="L131" s="512" t="s">
        <v>433</v>
      </c>
      <c r="M131" s="510">
        <v>6.0</v>
      </c>
      <c r="N131" s="510">
        <v>9.0</v>
      </c>
      <c r="O131" s="510">
        <v>9.0</v>
      </c>
      <c r="P131" s="512" t="s">
        <v>2570</v>
      </c>
      <c r="Q131" s="510">
        <v>9.0</v>
      </c>
      <c r="R131" s="510">
        <v>9.0</v>
      </c>
      <c r="S131" s="510">
        <v>9.0</v>
      </c>
      <c r="T131" s="512" t="s">
        <v>2571</v>
      </c>
      <c r="U131" s="510">
        <v>9.0</v>
      </c>
      <c r="V131" s="510">
        <v>9.0</v>
      </c>
      <c r="W131" s="510">
        <v>9.0</v>
      </c>
      <c r="X131" s="512" t="s">
        <v>2572</v>
      </c>
      <c r="Y131" s="510">
        <v>9.0</v>
      </c>
      <c r="Z131" s="510">
        <v>9.0</v>
      </c>
      <c r="AA131" s="510">
        <v>9.0</v>
      </c>
      <c r="AB131" s="512" t="s">
        <v>2573</v>
      </c>
      <c r="AC131" s="512" t="s">
        <v>2574</v>
      </c>
      <c r="AD131" s="512" t="s">
        <v>2575</v>
      </c>
      <c r="AE131" s="501"/>
      <c r="AF131" s="12"/>
      <c r="AG131" s="502">
        <f t="shared" si="5"/>
        <v>8.75</v>
      </c>
    </row>
    <row r="132" hidden="1">
      <c r="A132" s="510" t="s">
        <v>2576</v>
      </c>
      <c r="B132" s="510" t="s">
        <v>2577</v>
      </c>
      <c r="C132" s="511">
        <v>45997.67773148148</v>
      </c>
      <c r="D132" s="510" t="s">
        <v>1435</v>
      </c>
      <c r="E132" s="510" t="b">
        <v>1</v>
      </c>
      <c r="F132" s="510" t="b">
        <v>1</v>
      </c>
      <c r="G132" s="510" t="s">
        <v>1436</v>
      </c>
      <c r="H132" s="510" t="b">
        <v>1</v>
      </c>
      <c r="I132" s="510" t="s">
        <v>1437</v>
      </c>
      <c r="J132" s="510" t="b">
        <v>1</v>
      </c>
      <c r="K132" s="494" t="s">
        <v>2578</v>
      </c>
      <c r="L132" s="512" t="s">
        <v>433</v>
      </c>
      <c r="M132" s="510">
        <v>8.0</v>
      </c>
      <c r="N132" s="510">
        <v>9.0</v>
      </c>
      <c r="O132" s="510">
        <v>9.0</v>
      </c>
      <c r="P132" s="512" t="s">
        <v>2579</v>
      </c>
      <c r="Q132" s="510">
        <v>9.0</v>
      </c>
      <c r="R132" s="510">
        <v>8.0</v>
      </c>
      <c r="S132" s="510">
        <v>8.0</v>
      </c>
      <c r="T132" s="512" t="s">
        <v>2580</v>
      </c>
      <c r="U132" s="510">
        <v>9.0</v>
      </c>
      <c r="V132" s="510">
        <v>9.0</v>
      </c>
      <c r="W132" s="510">
        <v>8.0</v>
      </c>
      <c r="X132" s="512" t="s">
        <v>2581</v>
      </c>
      <c r="Y132" s="510">
        <v>9.0</v>
      </c>
      <c r="Z132" s="510">
        <v>8.0</v>
      </c>
      <c r="AA132" s="510">
        <v>8.0</v>
      </c>
      <c r="AB132" s="512" t="s">
        <v>2582</v>
      </c>
      <c r="AC132" s="512" t="s">
        <v>2583</v>
      </c>
      <c r="AD132" s="512" t="s">
        <v>2584</v>
      </c>
      <c r="AE132" s="18" t="s">
        <v>2585</v>
      </c>
      <c r="AF132" s="12"/>
      <c r="AG132" s="502">
        <f t="shared" si="5"/>
        <v>8.5</v>
      </c>
    </row>
    <row r="133" hidden="1">
      <c r="A133" s="510" t="s">
        <v>2586</v>
      </c>
      <c r="B133" s="510" t="s">
        <v>2587</v>
      </c>
      <c r="C133" s="511">
        <v>45997.61304398148</v>
      </c>
      <c r="D133" s="510" t="s">
        <v>1435</v>
      </c>
      <c r="E133" s="510" t="b">
        <v>1</v>
      </c>
      <c r="F133" s="510" t="b">
        <v>1</v>
      </c>
      <c r="G133" s="510" t="s">
        <v>1436</v>
      </c>
      <c r="H133" s="510" t="b">
        <v>1</v>
      </c>
      <c r="I133" s="510" t="s">
        <v>1437</v>
      </c>
      <c r="J133" s="510" t="b">
        <v>1</v>
      </c>
      <c r="K133" s="494" t="s">
        <v>2588</v>
      </c>
      <c r="L133" s="512" t="s">
        <v>433</v>
      </c>
      <c r="M133" s="510">
        <v>9.0</v>
      </c>
      <c r="N133" s="510">
        <v>9.0</v>
      </c>
      <c r="O133" s="510">
        <v>9.0</v>
      </c>
      <c r="P133" s="512" t="s">
        <v>2589</v>
      </c>
      <c r="Q133" s="510">
        <v>8.0</v>
      </c>
      <c r="R133" s="510">
        <v>8.0</v>
      </c>
      <c r="S133" s="510">
        <v>8.0</v>
      </c>
      <c r="T133" s="512" t="s">
        <v>2590</v>
      </c>
      <c r="U133" s="510">
        <v>9.0</v>
      </c>
      <c r="V133" s="510">
        <v>9.0</v>
      </c>
      <c r="W133" s="510">
        <v>7.0</v>
      </c>
      <c r="X133" s="512" t="s">
        <v>2591</v>
      </c>
      <c r="Y133" s="510">
        <v>8.0</v>
      </c>
      <c r="Z133" s="510">
        <v>9.0</v>
      </c>
      <c r="AA133" s="510">
        <v>9.0</v>
      </c>
      <c r="AB133" s="512" t="s">
        <v>2592</v>
      </c>
      <c r="AC133" s="512" t="s">
        <v>2593</v>
      </c>
      <c r="AD133" s="512" t="s">
        <v>2594</v>
      </c>
      <c r="AE133" s="501"/>
      <c r="AF133" s="12"/>
      <c r="AG133" s="502">
        <f t="shared" si="5"/>
        <v>8.5</v>
      </c>
    </row>
    <row r="134" hidden="1">
      <c r="A134" s="510" t="s">
        <v>2595</v>
      </c>
      <c r="B134" s="510" t="s">
        <v>2596</v>
      </c>
      <c r="C134" s="511">
        <v>45986.766388888886</v>
      </c>
      <c r="D134" s="510" t="s">
        <v>1435</v>
      </c>
      <c r="E134" s="510" t="b">
        <v>1</v>
      </c>
      <c r="F134" s="510" t="b">
        <v>1</v>
      </c>
      <c r="G134" s="510" t="s">
        <v>1436</v>
      </c>
      <c r="H134" s="510" t="b">
        <v>1</v>
      </c>
      <c r="I134" s="510" t="s">
        <v>1437</v>
      </c>
      <c r="J134" s="510" t="b">
        <v>1</v>
      </c>
      <c r="K134" s="494" t="s">
        <v>269</v>
      </c>
      <c r="L134" s="512" t="s">
        <v>433</v>
      </c>
      <c r="M134" s="510">
        <v>8.0</v>
      </c>
      <c r="N134" s="510">
        <v>9.0</v>
      </c>
      <c r="O134" s="510">
        <v>9.0</v>
      </c>
      <c r="P134" s="512" t="s">
        <v>2597</v>
      </c>
      <c r="Q134" s="510">
        <v>9.0</v>
      </c>
      <c r="R134" s="510">
        <v>8.0</v>
      </c>
      <c r="S134" s="510">
        <v>8.0</v>
      </c>
      <c r="T134" s="512" t="s">
        <v>2598</v>
      </c>
      <c r="U134" s="510">
        <v>9.0</v>
      </c>
      <c r="V134" s="510">
        <v>8.0</v>
      </c>
      <c r="W134" s="510">
        <v>8.0</v>
      </c>
      <c r="X134" s="512" t="s">
        <v>2599</v>
      </c>
      <c r="Y134" s="510">
        <v>7.0</v>
      </c>
      <c r="Z134" s="510">
        <v>7.0</v>
      </c>
      <c r="AA134" s="510">
        <v>8.0</v>
      </c>
      <c r="AB134" s="512" t="s">
        <v>2600</v>
      </c>
      <c r="AC134" s="512" t="s">
        <v>2601</v>
      </c>
      <c r="AD134" s="512" t="s">
        <v>2602</v>
      </c>
      <c r="AE134" s="501"/>
      <c r="AF134" s="12"/>
      <c r="AG134" s="502">
        <f t="shared" si="5"/>
        <v>8.166666667</v>
      </c>
    </row>
    <row r="135" hidden="1">
      <c r="A135" s="510" t="s">
        <v>2603</v>
      </c>
      <c r="B135" s="510" t="s">
        <v>2604</v>
      </c>
      <c r="C135" s="511">
        <v>45998.342986111114</v>
      </c>
      <c r="D135" s="510" t="s">
        <v>1435</v>
      </c>
      <c r="E135" s="510" t="b">
        <v>1</v>
      </c>
      <c r="F135" s="510" t="b">
        <v>1</v>
      </c>
      <c r="G135" s="510" t="s">
        <v>1436</v>
      </c>
      <c r="H135" s="510" t="b">
        <v>1</v>
      </c>
      <c r="I135" s="510" t="s">
        <v>1437</v>
      </c>
      <c r="J135" s="510" t="b">
        <v>1</v>
      </c>
      <c r="K135" s="494" t="s">
        <v>2605</v>
      </c>
      <c r="L135" s="512" t="s">
        <v>433</v>
      </c>
      <c r="M135" s="510">
        <v>7.0</v>
      </c>
      <c r="N135" s="510">
        <v>7.0</v>
      </c>
      <c r="O135" s="510">
        <v>7.0</v>
      </c>
      <c r="P135" s="512" t="s">
        <v>2606</v>
      </c>
      <c r="Q135" s="510">
        <v>8.0</v>
      </c>
      <c r="R135" s="510">
        <v>5.0</v>
      </c>
      <c r="S135" s="510">
        <v>9.0</v>
      </c>
      <c r="T135" s="512" t="s">
        <v>2607</v>
      </c>
      <c r="U135" s="510">
        <v>9.0</v>
      </c>
      <c r="V135" s="510">
        <v>9.0</v>
      </c>
      <c r="W135" s="510">
        <v>9.0</v>
      </c>
      <c r="X135" s="512" t="s">
        <v>2608</v>
      </c>
      <c r="Y135" s="510">
        <v>9.0</v>
      </c>
      <c r="Z135" s="510">
        <v>9.0</v>
      </c>
      <c r="AA135" s="510">
        <v>9.0</v>
      </c>
      <c r="AB135" s="512" t="s">
        <v>2609</v>
      </c>
      <c r="AC135" s="512" t="s">
        <v>2610</v>
      </c>
      <c r="AD135" s="512" t="s">
        <v>2611</v>
      </c>
      <c r="AE135" s="512" t="s">
        <v>2612</v>
      </c>
      <c r="AF135" s="12"/>
      <c r="AG135" s="502">
        <f t="shared" si="5"/>
        <v>8.083333333</v>
      </c>
    </row>
    <row r="136" hidden="1">
      <c r="A136" s="510" t="s">
        <v>2613</v>
      </c>
      <c r="B136" s="510" t="s">
        <v>2614</v>
      </c>
      <c r="C136" s="511">
        <v>45984.325532407405</v>
      </c>
      <c r="D136" s="510" t="s">
        <v>1435</v>
      </c>
      <c r="E136" s="510" t="b">
        <v>1</v>
      </c>
      <c r="F136" s="510" t="b">
        <v>1</v>
      </c>
      <c r="G136" s="510" t="s">
        <v>1436</v>
      </c>
      <c r="H136" s="510" t="b">
        <v>1</v>
      </c>
      <c r="I136" s="510" t="s">
        <v>1437</v>
      </c>
      <c r="J136" s="510" t="b">
        <v>1</v>
      </c>
      <c r="K136" s="494" t="s">
        <v>2615</v>
      </c>
      <c r="L136" s="512" t="s">
        <v>433</v>
      </c>
      <c r="M136" s="510">
        <v>7.0</v>
      </c>
      <c r="N136" s="510">
        <v>9.0</v>
      </c>
      <c r="O136" s="510">
        <v>9.0</v>
      </c>
      <c r="P136" s="512" t="s">
        <v>2616</v>
      </c>
      <c r="Q136" s="510">
        <v>8.0</v>
      </c>
      <c r="R136" s="510">
        <v>6.0</v>
      </c>
      <c r="S136" s="510">
        <v>9.0</v>
      </c>
      <c r="T136" s="512" t="s">
        <v>2616</v>
      </c>
      <c r="U136" s="510">
        <v>9.0</v>
      </c>
      <c r="V136" s="510">
        <v>7.0</v>
      </c>
      <c r="W136" s="510">
        <v>8.0</v>
      </c>
      <c r="X136" s="512" t="s">
        <v>2617</v>
      </c>
      <c r="Y136" s="510">
        <v>9.0</v>
      </c>
      <c r="Z136" s="510">
        <v>7.0</v>
      </c>
      <c r="AA136" s="510">
        <v>7.0</v>
      </c>
      <c r="AB136" s="512" t="s">
        <v>2618</v>
      </c>
      <c r="AC136" s="512" t="s">
        <v>2619</v>
      </c>
      <c r="AD136" s="512" t="s">
        <v>77</v>
      </c>
      <c r="AE136" s="501"/>
      <c r="AF136" s="12"/>
      <c r="AG136" s="502">
        <f t="shared" si="5"/>
        <v>7.916666667</v>
      </c>
    </row>
    <row r="137" hidden="1">
      <c r="A137" s="510" t="s">
        <v>2620</v>
      </c>
      <c r="B137" s="510" t="s">
        <v>2621</v>
      </c>
      <c r="C137" s="511">
        <v>45978.4050462963</v>
      </c>
      <c r="D137" s="510" t="s">
        <v>1435</v>
      </c>
      <c r="E137" s="510" t="b">
        <v>1</v>
      </c>
      <c r="F137" s="510" t="b">
        <v>1</v>
      </c>
      <c r="G137" s="510" t="s">
        <v>1436</v>
      </c>
      <c r="H137" s="510" t="b">
        <v>1</v>
      </c>
      <c r="I137" s="510" t="s">
        <v>1437</v>
      </c>
      <c r="J137" s="510" t="b">
        <v>1</v>
      </c>
      <c r="K137" s="494" t="s">
        <v>2622</v>
      </c>
      <c r="L137" s="512" t="s">
        <v>433</v>
      </c>
      <c r="M137" s="510">
        <v>7.0</v>
      </c>
      <c r="N137" s="510">
        <v>8.0</v>
      </c>
      <c r="O137" s="510">
        <v>8.0</v>
      </c>
      <c r="P137" s="512" t="s">
        <v>2623</v>
      </c>
      <c r="Q137" s="510">
        <v>9.0</v>
      </c>
      <c r="R137" s="510">
        <v>9.0</v>
      </c>
      <c r="S137" s="510">
        <v>7.0</v>
      </c>
      <c r="T137" s="512" t="s">
        <v>2624</v>
      </c>
      <c r="U137" s="510">
        <v>8.0</v>
      </c>
      <c r="V137" s="510">
        <v>8.0</v>
      </c>
      <c r="W137" s="510">
        <v>7.0</v>
      </c>
      <c r="X137" s="512" t="s">
        <v>2625</v>
      </c>
      <c r="Y137" s="510">
        <v>7.0</v>
      </c>
      <c r="Z137" s="510">
        <v>7.0</v>
      </c>
      <c r="AA137" s="510">
        <v>9.0</v>
      </c>
      <c r="AB137" s="512" t="s">
        <v>2626</v>
      </c>
      <c r="AC137" s="512" t="s">
        <v>2627</v>
      </c>
      <c r="AD137" s="512" t="s">
        <v>2628</v>
      </c>
      <c r="AE137" s="512" t="s">
        <v>2629</v>
      </c>
      <c r="AF137" s="12"/>
      <c r="AG137" s="502">
        <f t="shared" si="5"/>
        <v>7.833333333</v>
      </c>
    </row>
    <row r="138" hidden="1">
      <c r="A138" s="510" t="s">
        <v>2630</v>
      </c>
      <c r="B138" s="510" t="s">
        <v>2631</v>
      </c>
      <c r="C138" s="511">
        <v>45998.72237268519</v>
      </c>
      <c r="D138" s="510" t="s">
        <v>1435</v>
      </c>
      <c r="E138" s="510" t="b">
        <v>1</v>
      </c>
      <c r="F138" s="510" t="b">
        <v>1</v>
      </c>
      <c r="G138" s="510" t="s">
        <v>1436</v>
      </c>
      <c r="H138" s="510" t="b">
        <v>1</v>
      </c>
      <c r="I138" s="510" t="s">
        <v>1437</v>
      </c>
      <c r="J138" s="510" t="b">
        <v>1</v>
      </c>
      <c r="K138" s="494" t="s">
        <v>2632</v>
      </c>
      <c r="L138" s="512" t="s">
        <v>433</v>
      </c>
      <c r="M138" s="510">
        <v>7.0</v>
      </c>
      <c r="N138" s="510">
        <v>7.0</v>
      </c>
      <c r="O138" s="510">
        <v>8.0</v>
      </c>
      <c r="P138" s="512" t="s">
        <v>2633</v>
      </c>
      <c r="Q138" s="510">
        <v>7.0</v>
      </c>
      <c r="R138" s="510">
        <v>7.0</v>
      </c>
      <c r="S138" s="510">
        <v>8.0</v>
      </c>
      <c r="T138" s="512" t="s">
        <v>2634</v>
      </c>
      <c r="U138" s="510">
        <v>6.0</v>
      </c>
      <c r="V138" s="510">
        <v>7.0</v>
      </c>
      <c r="W138" s="510">
        <v>7.0</v>
      </c>
      <c r="X138" s="512" t="s">
        <v>2635</v>
      </c>
      <c r="Y138" s="510">
        <v>8.0</v>
      </c>
      <c r="Z138" s="510">
        <v>8.0</v>
      </c>
      <c r="AA138" s="510">
        <v>5.0</v>
      </c>
      <c r="AB138" s="512" t="s">
        <v>2636</v>
      </c>
      <c r="AC138" s="512" t="s">
        <v>2637</v>
      </c>
      <c r="AD138" s="512" t="s">
        <v>2638</v>
      </c>
      <c r="AE138" s="513"/>
      <c r="AF138" s="12"/>
      <c r="AG138" s="502">
        <f t="shared" si="5"/>
        <v>7.083333333</v>
      </c>
    </row>
    <row r="139" hidden="1">
      <c r="A139" s="510" t="s">
        <v>2639</v>
      </c>
      <c r="B139" s="510" t="s">
        <v>2640</v>
      </c>
      <c r="C139" s="511">
        <v>45997.60105324074</v>
      </c>
      <c r="D139" s="510" t="s">
        <v>1435</v>
      </c>
      <c r="E139" s="510" t="b">
        <v>1</v>
      </c>
      <c r="F139" s="510" t="b">
        <v>1</v>
      </c>
      <c r="G139" s="510" t="s">
        <v>1436</v>
      </c>
      <c r="H139" s="510" t="b">
        <v>1</v>
      </c>
      <c r="I139" s="510" t="s">
        <v>1437</v>
      </c>
      <c r="J139" s="510" t="b">
        <v>1</v>
      </c>
      <c r="K139" s="494" t="s">
        <v>2641</v>
      </c>
      <c r="L139" s="512" t="s">
        <v>433</v>
      </c>
      <c r="M139" s="510">
        <v>5.0</v>
      </c>
      <c r="N139" s="510">
        <v>9.0</v>
      </c>
      <c r="O139" s="510">
        <v>5.0</v>
      </c>
      <c r="P139" s="512" t="s">
        <v>2642</v>
      </c>
      <c r="Q139" s="510">
        <v>5.0</v>
      </c>
      <c r="R139" s="510">
        <v>9.0</v>
      </c>
      <c r="S139" s="510">
        <v>5.0</v>
      </c>
      <c r="T139" s="512" t="s">
        <v>2643</v>
      </c>
      <c r="U139" s="510">
        <v>9.0</v>
      </c>
      <c r="V139" s="510">
        <v>5.0</v>
      </c>
      <c r="W139" s="510">
        <v>3.0</v>
      </c>
      <c r="X139" s="512" t="s">
        <v>553</v>
      </c>
      <c r="Y139" s="510">
        <v>5.0</v>
      </c>
      <c r="Z139" s="510">
        <v>5.0</v>
      </c>
      <c r="AA139" s="510">
        <v>4.0</v>
      </c>
      <c r="AB139" s="512" t="s">
        <v>2644</v>
      </c>
      <c r="AC139" s="512" t="s">
        <v>553</v>
      </c>
      <c r="AD139" s="512" t="s">
        <v>553</v>
      </c>
      <c r="AE139" s="513"/>
      <c r="AF139" s="12"/>
      <c r="AG139" s="502">
        <f t="shared" si="5"/>
        <v>5.75</v>
      </c>
    </row>
    <row r="140" hidden="1">
      <c r="A140" s="510" t="s">
        <v>2645</v>
      </c>
      <c r="B140" s="510" t="s">
        <v>2646</v>
      </c>
      <c r="C140" s="511">
        <v>45998.59452546296</v>
      </c>
      <c r="D140" s="510" t="s">
        <v>1435</v>
      </c>
      <c r="E140" s="510" t="b">
        <v>1</v>
      </c>
      <c r="F140" s="510" t="b">
        <v>1</v>
      </c>
      <c r="G140" s="510" t="s">
        <v>1436</v>
      </c>
      <c r="H140" s="510" t="b">
        <v>1</v>
      </c>
      <c r="I140" s="510" t="s">
        <v>1437</v>
      </c>
      <c r="J140" s="510" t="b">
        <v>1</v>
      </c>
      <c r="K140" s="494" t="s">
        <v>2647</v>
      </c>
      <c r="L140" s="512" t="s">
        <v>433</v>
      </c>
      <c r="M140" s="510">
        <v>2.0</v>
      </c>
      <c r="N140" s="510">
        <v>4.0</v>
      </c>
      <c r="O140" s="510">
        <v>3.0</v>
      </c>
      <c r="P140" s="512" t="s">
        <v>2648</v>
      </c>
      <c r="Q140" s="510">
        <v>2.0</v>
      </c>
      <c r="R140" s="510">
        <v>6.0</v>
      </c>
      <c r="S140" s="510">
        <v>3.0</v>
      </c>
      <c r="T140" s="512" t="s">
        <v>2649</v>
      </c>
      <c r="U140" s="510">
        <v>5.0</v>
      </c>
      <c r="V140" s="510">
        <v>4.0</v>
      </c>
      <c r="W140" s="510">
        <v>2.0</v>
      </c>
      <c r="X140" s="512" t="s">
        <v>2650</v>
      </c>
      <c r="Y140" s="510">
        <v>2.0</v>
      </c>
      <c r="Z140" s="510">
        <v>2.0</v>
      </c>
      <c r="AA140" s="510">
        <v>3.0</v>
      </c>
      <c r="AB140" s="512" t="s">
        <v>2651</v>
      </c>
      <c r="AC140" s="512" t="s">
        <v>2652</v>
      </c>
      <c r="AD140" s="512" t="s">
        <v>2653</v>
      </c>
      <c r="AE140" s="513"/>
      <c r="AF140" s="12"/>
      <c r="AG140" s="502">
        <f t="shared" si="5"/>
        <v>3.166666667</v>
      </c>
    </row>
    <row r="141" hidden="1">
      <c r="A141" s="510" t="s">
        <v>2654</v>
      </c>
      <c r="B141" s="510" t="s">
        <v>2655</v>
      </c>
      <c r="C141" s="511">
        <v>45966.70582175926</v>
      </c>
      <c r="D141" s="510" t="s">
        <v>1435</v>
      </c>
      <c r="E141" s="510" t="b">
        <v>1</v>
      </c>
      <c r="F141" s="510" t="b">
        <v>1</v>
      </c>
      <c r="G141" s="510" t="s">
        <v>1436</v>
      </c>
      <c r="H141" s="510" t="b">
        <v>1</v>
      </c>
      <c r="I141" s="510" t="s">
        <v>1437</v>
      </c>
      <c r="J141" s="510" t="b">
        <v>1</v>
      </c>
      <c r="K141" s="494" t="s">
        <v>2656</v>
      </c>
      <c r="L141" s="512" t="s">
        <v>782</v>
      </c>
      <c r="M141" s="510">
        <v>9.0</v>
      </c>
      <c r="N141" s="510">
        <v>9.0</v>
      </c>
      <c r="O141" s="510">
        <v>9.0</v>
      </c>
      <c r="P141" s="512" t="s">
        <v>2657</v>
      </c>
      <c r="Q141" s="510">
        <v>9.0</v>
      </c>
      <c r="R141" s="510">
        <v>9.0</v>
      </c>
      <c r="S141" s="510">
        <v>9.0</v>
      </c>
      <c r="T141" s="512" t="s">
        <v>2658</v>
      </c>
      <c r="U141" s="510">
        <v>9.0</v>
      </c>
      <c r="V141" s="510">
        <v>9.0</v>
      </c>
      <c r="W141" s="510">
        <v>9.0</v>
      </c>
      <c r="X141" s="512" t="s">
        <v>2659</v>
      </c>
      <c r="Y141" s="510">
        <v>9.0</v>
      </c>
      <c r="Z141" s="510">
        <v>9.0</v>
      </c>
      <c r="AA141" s="510">
        <v>9.0</v>
      </c>
      <c r="AB141" s="512" t="s">
        <v>2660</v>
      </c>
      <c r="AC141" s="512" t="s">
        <v>2661</v>
      </c>
      <c r="AD141" s="512" t="s">
        <v>2662</v>
      </c>
      <c r="AE141" s="512" t="s">
        <v>2663</v>
      </c>
      <c r="AF141" s="12"/>
      <c r="AG141" s="502">
        <f t="shared" si="5"/>
        <v>9</v>
      </c>
    </row>
    <row r="142" hidden="1">
      <c r="A142" s="510" t="s">
        <v>2664</v>
      </c>
      <c r="B142" s="510" t="s">
        <v>2665</v>
      </c>
      <c r="C142" s="511">
        <v>45984.35975694445</v>
      </c>
      <c r="D142" s="510" t="s">
        <v>1435</v>
      </c>
      <c r="E142" s="510" t="b">
        <v>1</v>
      </c>
      <c r="F142" s="510" t="b">
        <v>1</v>
      </c>
      <c r="G142" s="510" t="s">
        <v>1436</v>
      </c>
      <c r="H142" s="510" t="b">
        <v>1</v>
      </c>
      <c r="I142" s="510" t="s">
        <v>1437</v>
      </c>
      <c r="J142" s="510" t="b">
        <v>1</v>
      </c>
      <c r="K142" s="494" t="s">
        <v>2138</v>
      </c>
      <c r="L142" s="512" t="s">
        <v>782</v>
      </c>
      <c r="M142" s="510">
        <v>9.0</v>
      </c>
      <c r="N142" s="510">
        <v>9.0</v>
      </c>
      <c r="O142" s="510">
        <v>9.0</v>
      </c>
      <c r="P142" s="512" t="s">
        <v>2666</v>
      </c>
      <c r="Q142" s="510">
        <v>9.0</v>
      </c>
      <c r="R142" s="510">
        <v>9.0</v>
      </c>
      <c r="S142" s="510">
        <v>9.0</v>
      </c>
      <c r="T142" s="512" t="s">
        <v>2667</v>
      </c>
      <c r="U142" s="510">
        <v>9.0</v>
      </c>
      <c r="V142" s="510">
        <v>9.0</v>
      </c>
      <c r="W142" s="510">
        <v>9.0</v>
      </c>
      <c r="X142" s="512" t="s">
        <v>2668</v>
      </c>
      <c r="Y142" s="510">
        <v>9.0</v>
      </c>
      <c r="Z142" s="510">
        <v>9.0</v>
      </c>
      <c r="AA142" s="510">
        <v>9.0</v>
      </c>
      <c r="AB142" s="512" t="s">
        <v>2669</v>
      </c>
      <c r="AC142" s="512" t="s">
        <v>2670</v>
      </c>
      <c r="AD142" s="512" t="s">
        <v>2671</v>
      </c>
      <c r="AE142" s="512" t="s">
        <v>2672</v>
      </c>
      <c r="AF142" s="12"/>
      <c r="AG142" s="502">
        <f t="shared" si="5"/>
        <v>9</v>
      </c>
    </row>
    <row r="143" hidden="1">
      <c r="A143" s="510" t="s">
        <v>2673</v>
      </c>
      <c r="B143" s="510" t="s">
        <v>2674</v>
      </c>
      <c r="C143" s="511">
        <v>45967.66554398148</v>
      </c>
      <c r="D143" s="510" t="s">
        <v>1435</v>
      </c>
      <c r="E143" s="510" t="b">
        <v>1</v>
      </c>
      <c r="F143" s="510" t="b">
        <v>1</v>
      </c>
      <c r="G143" s="510" t="s">
        <v>1436</v>
      </c>
      <c r="H143" s="510" t="b">
        <v>1</v>
      </c>
      <c r="I143" s="510" t="s">
        <v>1437</v>
      </c>
      <c r="J143" s="510" t="b">
        <v>1</v>
      </c>
      <c r="K143" s="494" t="s">
        <v>2675</v>
      </c>
      <c r="L143" s="512" t="s">
        <v>782</v>
      </c>
      <c r="M143" s="510">
        <v>9.0</v>
      </c>
      <c r="N143" s="510">
        <v>9.0</v>
      </c>
      <c r="O143" s="510">
        <v>9.0</v>
      </c>
      <c r="P143" s="512" t="s">
        <v>2676</v>
      </c>
      <c r="Q143" s="510">
        <v>9.0</v>
      </c>
      <c r="R143" s="510">
        <v>9.0</v>
      </c>
      <c r="S143" s="510">
        <v>9.0</v>
      </c>
      <c r="T143" s="512" t="s">
        <v>2677</v>
      </c>
      <c r="U143" s="510">
        <v>9.0</v>
      </c>
      <c r="V143" s="510">
        <v>9.0</v>
      </c>
      <c r="W143" s="510">
        <v>9.0</v>
      </c>
      <c r="X143" s="512" t="s">
        <v>2678</v>
      </c>
      <c r="Y143" s="510">
        <v>9.0</v>
      </c>
      <c r="Z143" s="510">
        <v>9.0</v>
      </c>
      <c r="AA143" s="510">
        <v>9.0</v>
      </c>
      <c r="AB143" s="512" t="s">
        <v>2679</v>
      </c>
      <c r="AC143" s="512" t="s">
        <v>2680</v>
      </c>
      <c r="AD143" s="512" t="s">
        <v>2681</v>
      </c>
      <c r="AE143" s="501"/>
      <c r="AF143" s="12"/>
      <c r="AG143" s="502">
        <f t="shared" si="5"/>
        <v>9</v>
      </c>
    </row>
    <row r="144" hidden="1">
      <c r="A144" s="510" t="s">
        <v>2682</v>
      </c>
      <c r="B144" s="510" t="s">
        <v>2683</v>
      </c>
      <c r="C144" s="511">
        <v>45997.72754629629</v>
      </c>
      <c r="D144" s="510" t="s">
        <v>1435</v>
      </c>
      <c r="E144" s="510" t="b">
        <v>1</v>
      </c>
      <c r="F144" s="510" t="b">
        <v>1</v>
      </c>
      <c r="G144" s="510" t="s">
        <v>1436</v>
      </c>
      <c r="H144" s="510" t="b">
        <v>1</v>
      </c>
      <c r="I144" s="510" t="s">
        <v>1437</v>
      </c>
      <c r="J144" s="510" t="b">
        <v>1</v>
      </c>
      <c r="K144" s="494" t="s">
        <v>2684</v>
      </c>
      <c r="L144" s="512" t="s">
        <v>1472</v>
      </c>
      <c r="M144" s="510">
        <v>9.0</v>
      </c>
      <c r="N144" s="510">
        <v>9.0</v>
      </c>
      <c r="O144" s="510">
        <v>9.0</v>
      </c>
      <c r="P144" s="512" t="s">
        <v>2685</v>
      </c>
      <c r="Q144" s="510">
        <v>9.0</v>
      </c>
      <c r="R144" s="510">
        <v>9.0</v>
      </c>
      <c r="S144" s="510">
        <v>9.0</v>
      </c>
      <c r="T144" s="512" t="s">
        <v>2686</v>
      </c>
      <c r="U144" s="510">
        <v>9.0</v>
      </c>
      <c r="V144" s="510">
        <v>9.0</v>
      </c>
      <c r="W144" s="510">
        <v>9.0</v>
      </c>
      <c r="X144" s="512" t="s">
        <v>2687</v>
      </c>
      <c r="Y144" s="510">
        <v>9.0</v>
      </c>
      <c r="Z144" s="510">
        <v>9.0</v>
      </c>
      <c r="AA144" s="510">
        <v>9.0</v>
      </c>
      <c r="AB144" s="512" t="s">
        <v>2688</v>
      </c>
      <c r="AC144" s="512" t="s">
        <v>2689</v>
      </c>
      <c r="AD144" s="512" t="s">
        <v>154</v>
      </c>
      <c r="AE144" s="512" t="s">
        <v>2690</v>
      </c>
      <c r="AF144" s="12"/>
      <c r="AG144" s="502">
        <f t="shared" si="5"/>
        <v>9</v>
      </c>
    </row>
    <row r="145" hidden="1">
      <c r="A145" s="510" t="s">
        <v>2691</v>
      </c>
      <c r="B145" s="510" t="s">
        <v>2692</v>
      </c>
      <c r="C145" s="511">
        <v>45998.38784722222</v>
      </c>
      <c r="D145" s="510" t="s">
        <v>1435</v>
      </c>
      <c r="E145" s="510" t="b">
        <v>1</v>
      </c>
      <c r="F145" s="510" t="b">
        <v>1</v>
      </c>
      <c r="G145" s="510" t="s">
        <v>1436</v>
      </c>
      <c r="H145" s="510" t="b">
        <v>1</v>
      </c>
      <c r="I145" s="510" t="s">
        <v>1437</v>
      </c>
      <c r="J145" s="510" t="b">
        <v>1</v>
      </c>
      <c r="K145" s="494" t="s">
        <v>537</v>
      </c>
      <c r="L145" s="512" t="s">
        <v>1750</v>
      </c>
      <c r="M145" s="510">
        <v>7.0</v>
      </c>
      <c r="N145" s="510">
        <v>6.0</v>
      </c>
      <c r="O145" s="510">
        <v>7.0</v>
      </c>
      <c r="P145" s="512" t="s">
        <v>2693</v>
      </c>
      <c r="Q145" s="510">
        <v>6.0</v>
      </c>
      <c r="R145" s="510">
        <v>8.0</v>
      </c>
      <c r="S145" s="510">
        <v>9.0</v>
      </c>
      <c r="T145" s="512" t="s">
        <v>2694</v>
      </c>
      <c r="U145" s="510">
        <v>6.0</v>
      </c>
      <c r="V145" s="510">
        <v>4.0</v>
      </c>
      <c r="W145" s="510">
        <v>5.0</v>
      </c>
      <c r="X145" s="512" t="s">
        <v>2695</v>
      </c>
      <c r="Y145" s="510">
        <v>6.0</v>
      </c>
      <c r="Z145" s="510">
        <v>6.0</v>
      </c>
      <c r="AA145" s="510">
        <v>9.0</v>
      </c>
      <c r="AB145" s="512" t="s">
        <v>2696</v>
      </c>
      <c r="AC145" s="512" t="s">
        <v>2697</v>
      </c>
      <c r="AD145" s="512" t="s">
        <v>2698</v>
      </c>
      <c r="AE145" s="18" t="s">
        <v>2699</v>
      </c>
      <c r="AF145" s="12"/>
      <c r="AG145" s="502">
        <f t="shared" si="5"/>
        <v>6.583333333</v>
      </c>
    </row>
    <row r="146" hidden="1">
      <c r="A146" s="510" t="s">
        <v>2700</v>
      </c>
      <c r="B146" s="510" t="s">
        <v>2701</v>
      </c>
      <c r="C146" s="511">
        <v>45977.705717592595</v>
      </c>
      <c r="D146" s="510" t="s">
        <v>1435</v>
      </c>
      <c r="E146" s="510" t="b">
        <v>1</v>
      </c>
      <c r="F146" s="510" t="b">
        <v>1</v>
      </c>
      <c r="G146" s="510" t="s">
        <v>1436</v>
      </c>
      <c r="H146" s="510" t="b">
        <v>1</v>
      </c>
      <c r="I146" s="510" t="s">
        <v>1437</v>
      </c>
      <c r="J146" s="510" t="b">
        <v>1</v>
      </c>
      <c r="K146" s="494" t="s">
        <v>580</v>
      </c>
      <c r="L146" s="512" t="s">
        <v>1750</v>
      </c>
      <c r="M146" s="510">
        <v>6.0</v>
      </c>
      <c r="N146" s="510">
        <v>6.0</v>
      </c>
      <c r="O146" s="510">
        <v>6.0</v>
      </c>
      <c r="P146" s="512" t="s">
        <v>2702</v>
      </c>
      <c r="Q146" s="510">
        <v>6.0</v>
      </c>
      <c r="R146" s="510">
        <v>7.0</v>
      </c>
      <c r="S146" s="510">
        <v>6.0</v>
      </c>
      <c r="T146" s="512" t="s">
        <v>2703</v>
      </c>
      <c r="U146" s="510">
        <v>6.0</v>
      </c>
      <c r="V146" s="510">
        <v>6.0</v>
      </c>
      <c r="W146" s="510">
        <v>6.0</v>
      </c>
      <c r="X146" s="512" t="s">
        <v>2704</v>
      </c>
      <c r="Y146" s="510">
        <v>6.0</v>
      </c>
      <c r="Z146" s="510">
        <v>4.0</v>
      </c>
      <c r="AA146" s="510">
        <v>4.0</v>
      </c>
      <c r="AB146" s="512" t="s">
        <v>2705</v>
      </c>
      <c r="AC146" s="512" t="s">
        <v>2706</v>
      </c>
      <c r="AD146" s="512" t="s">
        <v>2707</v>
      </c>
      <c r="AE146" s="512" t="s">
        <v>2708</v>
      </c>
      <c r="AF146" s="12"/>
      <c r="AG146" s="502">
        <f t="shared" si="5"/>
        <v>5.75</v>
      </c>
    </row>
    <row r="147" hidden="1">
      <c r="A147" s="510" t="s">
        <v>2709</v>
      </c>
      <c r="B147" s="510" t="s">
        <v>2710</v>
      </c>
      <c r="C147" s="511">
        <v>45997.66239583334</v>
      </c>
      <c r="D147" s="510" t="s">
        <v>1435</v>
      </c>
      <c r="E147" s="510" t="b">
        <v>1</v>
      </c>
      <c r="F147" s="510" t="b">
        <v>1</v>
      </c>
      <c r="G147" s="510" t="s">
        <v>1436</v>
      </c>
      <c r="H147" s="510" t="b">
        <v>1</v>
      </c>
      <c r="I147" s="510" t="s">
        <v>1437</v>
      </c>
      <c r="J147" s="510" t="b">
        <v>1</v>
      </c>
      <c r="K147" s="494" t="s">
        <v>2711</v>
      </c>
      <c r="L147" s="512" t="s">
        <v>558</v>
      </c>
      <c r="M147" s="510">
        <v>4.0</v>
      </c>
      <c r="N147" s="510">
        <v>7.0</v>
      </c>
      <c r="O147" s="510">
        <v>9.0</v>
      </c>
      <c r="P147" s="512" t="s">
        <v>2712</v>
      </c>
      <c r="Q147" s="510">
        <v>6.0</v>
      </c>
      <c r="R147" s="510">
        <v>9.0</v>
      </c>
      <c r="S147" s="510">
        <v>8.0</v>
      </c>
      <c r="T147" s="512" t="s">
        <v>2713</v>
      </c>
      <c r="U147" s="510">
        <v>9.0</v>
      </c>
      <c r="V147" s="510">
        <v>9.0</v>
      </c>
      <c r="W147" s="510">
        <v>9.0</v>
      </c>
      <c r="X147" s="512" t="s">
        <v>2714</v>
      </c>
      <c r="Y147" s="510">
        <v>9.0</v>
      </c>
      <c r="Z147" s="510">
        <v>2.0</v>
      </c>
      <c r="AA147" s="510">
        <v>9.0</v>
      </c>
      <c r="AB147" s="512" t="s">
        <v>2715</v>
      </c>
      <c r="AC147" s="512" t="s">
        <v>2716</v>
      </c>
      <c r="AD147" s="512" t="s">
        <v>2717</v>
      </c>
      <c r="AE147" s="512" t="s">
        <v>2718</v>
      </c>
      <c r="AF147" s="12"/>
      <c r="AG147" s="502">
        <f t="shared" si="5"/>
        <v>7.5</v>
      </c>
    </row>
    <row r="148" hidden="1">
      <c r="A148" s="510" t="s">
        <v>2719</v>
      </c>
      <c r="B148" s="510" t="s">
        <v>2720</v>
      </c>
      <c r="C148" s="511">
        <v>45998.37422453704</v>
      </c>
      <c r="D148" s="510" t="s">
        <v>1435</v>
      </c>
      <c r="E148" s="510" t="b">
        <v>1</v>
      </c>
      <c r="F148" s="510" t="b">
        <v>1</v>
      </c>
      <c r="G148" s="510" t="s">
        <v>1436</v>
      </c>
      <c r="H148" s="510" t="b">
        <v>1</v>
      </c>
      <c r="I148" s="510" t="s">
        <v>1437</v>
      </c>
      <c r="J148" s="510" t="b">
        <v>1</v>
      </c>
      <c r="K148" s="494" t="s">
        <v>2721</v>
      </c>
      <c r="L148" s="512" t="s">
        <v>334</v>
      </c>
      <c r="M148" s="510">
        <v>9.0</v>
      </c>
      <c r="N148" s="510">
        <v>9.0</v>
      </c>
      <c r="O148" s="510">
        <v>9.0</v>
      </c>
      <c r="P148" s="512" t="s">
        <v>2722</v>
      </c>
      <c r="Q148" s="510">
        <v>9.0</v>
      </c>
      <c r="R148" s="529">
        <v>9.0</v>
      </c>
      <c r="S148" s="510">
        <v>9.0</v>
      </c>
      <c r="T148" s="512" t="s">
        <v>2723</v>
      </c>
      <c r="U148" s="510">
        <v>9.0</v>
      </c>
      <c r="V148" s="510">
        <v>9.0</v>
      </c>
      <c r="W148" s="510">
        <v>9.0</v>
      </c>
      <c r="X148" s="512" t="s">
        <v>2724</v>
      </c>
      <c r="Y148" s="510">
        <v>9.0</v>
      </c>
      <c r="Z148" s="510">
        <v>9.0</v>
      </c>
      <c r="AA148" s="510">
        <v>9.0</v>
      </c>
      <c r="AB148" s="512" t="s">
        <v>2725</v>
      </c>
      <c r="AC148" s="512" t="s">
        <v>2726</v>
      </c>
      <c r="AD148" s="512" t="s">
        <v>2727</v>
      </c>
      <c r="AE148" s="512" t="s">
        <v>2728</v>
      </c>
      <c r="AF148" s="12"/>
      <c r="AG148" s="502">
        <f t="shared" si="5"/>
        <v>9</v>
      </c>
    </row>
    <row r="149" hidden="1">
      <c r="A149" s="510" t="s">
        <v>2729</v>
      </c>
      <c r="B149" s="510" t="s">
        <v>2730</v>
      </c>
      <c r="C149" s="511">
        <v>45997.67642361111</v>
      </c>
      <c r="D149" s="510" t="s">
        <v>1435</v>
      </c>
      <c r="E149" s="510" t="b">
        <v>1</v>
      </c>
      <c r="F149" s="510" t="b">
        <v>1</v>
      </c>
      <c r="G149" s="510" t="s">
        <v>1436</v>
      </c>
      <c r="H149" s="510" t="b">
        <v>1</v>
      </c>
      <c r="I149" s="510" t="s">
        <v>1437</v>
      </c>
      <c r="J149" s="510" t="b">
        <v>1</v>
      </c>
      <c r="K149" s="494" t="s">
        <v>359</v>
      </c>
      <c r="L149" s="512" t="s">
        <v>334</v>
      </c>
      <c r="M149" s="510">
        <v>8.0</v>
      </c>
      <c r="N149" s="510">
        <v>8.0</v>
      </c>
      <c r="O149" s="510">
        <v>8.0</v>
      </c>
      <c r="P149" s="512" t="s">
        <v>2731</v>
      </c>
      <c r="Q149" s="510">
        <v>9.0</v>
      </c>
      <c r="R149" s="510">
        <v>8.0</v>
      </c>
      <c r="S149" s="510">
        <v>9.0</v>
      </c>
      <c r="T149" s="512" t="s">
        <v>2732</v>
      </c>
      <c r="U149" s="510">
        <v>8.0</v>
      </c>
      <c r="V149" s="510">
        <v>9.0</v>
      </c>
      <c r="W149" s="510">
        <v>9.0</v>
      </c>
      <c r="X149" s="512" t="s">
        <v>2733</v>
      </c>
      <c r="Y149" s="510">
        <v>9.0</v>
      </c>
      <c r="Z149" s="510">
        <v>8.0</v>
      </c>
      <c r="AA149" s="510">
        <v>9.0</v>
      </c>
      <c r="AB149" s="512" t="s">
        <v>2734</v>
      </c>
      <c r="AC149" s="512" t="s">
        <v>2735</v>
      </c>
      <c r="AD149" s="512" t="s">
        <v>2736</v>
      </c>
      <c r="AE149" s="512" t="s">
        <v>65</v>
      </c>
      <c r="AF149" s="12"/>
      <c r="AG149" s="502">
        <f t="shared" si="5"/>
        <v>8.5</v>
      </c>
    </row>
    <row r="150" hidden="1">
      <c r="A150" s="510" t="s">
        <v>2737</v>
      </c>
      <c r="B150" s="510" t="s">
        <v>2423</v>
      </c>
      <c r="C150" s="511">
        <v>45967.35215277778</v>
      </c>
      <c r="D150" s="510" t="s">
        <v>1435</v>
      </c>
      <c r="E150" s="510" t="b">
        <v>1</v>
      </c>
      <c r="F150" s="510" t="b">
        <v>1</v>
      </c>
      <c r="G150" s="510" t="s">
        <v>1436</v>
      </c>
      <c r="H150" s="510" t="b">
        <v>1</v>
      </c>
      <c r="I150" s="510" t="s">
        <v>1437</v>
      </c>
      <c r="J150" s="510" t="b">
        <v>1</v>
      </c>
      <c r="K150" s="494" t="s">
        <v>350</v>
      </c>
      <c r="L150" s="512" t="s">
        <v>334</v>
      </c>
      <c r="M150" s="510">
        <v>9.0</v>
      </c>
      <c r="N150" s="510">
        <v>9.0</v>
      </c>
      <c r="O150" s="510">
        <v>9.0</v>
      </c>
      <c r="P150" s="512" t="s">
        <v>2738</v>
      </c>
      <c r="Q150" s="510">
        <v>9.0</v>
      </c>
      <c r="R150" s="510">
        <v>9.0</v>
      </c>
      <c r="S150" s="510">
        <v>9.0</v>
      </c>
      <c r="T150" s="512" t="s">
        <v>2739</v>
      </c>
      <c r="U150" s="510">
        <v>8.0</v>
      </c>
      <c r="V150" s="510">
        <v>8.0</v>
      </c>
      <c r="W150" s="510">
        <v>8.0</v>
      </c>
      <c r="X150" s="512" t="s">
        <v>2740</v>
      </c>
      <c r="Y150" s="510">
        <v>8.0</v>
      </c>
      <c r="Z150" s="510">
        <v>8.0</v>
      </c>
      <c r="AA150" s="510">
        <v>8.0</v>
      </c>
      <c r="AB150" s="512" t="s">
        <v>2741</v>
      </c>
      <c r="AC150" s="512" t="s">
        <v>2742</v>
      </c>
      <c r="AD150" s="512" t="s">
        <v>2743</v>
      </c>
      <c r="AE150" s="512" t="s">
        <v>2744</v>
      </c>
      <c r="AF150" s="12"/>
      <c r="AG150" s="502">
        <f t="shared" si="5"/>
        <v>8.5</v>
      </c>
    </row>
    <row r="151" hidden="1">
      <c r="A151" s="510" t="s">
        <v>2745</v>
      </c>
      <c r="B151" s="510" t="s">
        <v>340</v>
      </c>
      <c r="C151" s="511">
        <v>45997.63542824074</v>
      </c>
      <c r="D151" s="510" t="s">
        <v>1435</v>
      </c>
      <c r="E151" s="510" t="b">
        <v>1</v>
      </c>
      <c r="F151" s="510" t="b">
        <v>1</v>
      </c>
      <c r="G151" s="510" t="s">
        <v>1436</v>
      </c>
      <c r="H151" s="510" t="b">
        <v>1</v>
      </c>
      <c r="I151" s="510" t="s">
        <v>1437</v>
      </c>
      <c r="J151" s="510" t="b">
        <v>1</v>
      </c>
      <c r="K151" s="494" t="s">
        <v>1219</v>
      </c>
      <c r="L151" s="512" t="s">
        <v>334</v>
      </c>
      <c r="M151" s="510">
        <v>9.0</v>
      </c>
      <c r="N151" s="510">
        <v>9.0</v>
      </c>
      <c r="O151" s="510">
        <v>9.0</v>
      </c>
      <c r="P151" s="512" t="s">
        <v>2746</v>
      </c>
      <c r="Q151" s="510">
        <v>8.0</v>
      </c>
      <c r="R151" s="510">
        <v>9.0</v>
      </c>
      <c r="S151" s="510">
        <v>9.0</v>
      </c>
      <c r="T151" s="512" t="s">
        <v>2747</v>
      </c>
      <c r="U151" s="510">
        <v>8.0</v>
      </c>
      <c r="V151" s="510">
        <v>8.0</v>
      </c>
      <c r="W151" s="510">
        <v>9.0</v>
      </c>
      <c r="X151" s="512" t="s">
        <v>2748</v>
      </c>
      <c r="Y151" s="510">
        <v>8.0</v>
      </c>
      <c r="Z151" s="510">
        <v>7.0</v>
      </c>
      <c r="AA151" s="510">
        <v>8.0</v>
      </c>
      <c r="AB151" s="512" t="s">
        <v>2749</v>
      </c>
      <c r="AC151" s="512" t="s">
        <v>2750</v>
      </c>
      <c r="AD151" s="512" t="s">
        <v>2751</v>
      </c>
      <c r="AE151" s="512" t="s">
        <v>2752</v>
      </c>
      <c r="AF151" s="12"/>
      <c r="AG151" s="502">
        <f t="shared" si="5"/>
        <v>8.416666667</v>
      </c>
    </row>
    <row r="152" hidden="1">
      <c r="A152" s="510" t="s">
        <v>2753</v>
      </c>
      <c r="B152" s="510" t="s">
        <v>2754</v>
      </c>
      <c r="C152" s="511">
        <v>45972.264814814815</v>
      </c>
      <c r="D152" s="510" t="s">
        <v>1435</v>
      </c>
      <c r="E152" s="510" t="b">
        <v>1</v>
      </c>
      <c r="F152" s="510" t="b">
        <v>1</v>
      </c>
      <c r="G152" s="510" t="s">
        <v>1436</v>
      </c>
      <c r="H152" s="510" t="b">
        <v>1</v>
      </c>
      <c r="I152" s="510" t="s">
        <v>1437</v>
      </c>
      <c r="J152" s="510" t="b">
        <v>1</v>
      </c>
      <c r="K152" s="494" t="s">
        <v>2755</v>
      </c>
      <c r="L152" s="512" t="s">
        <v>334</v>
      </c>
      <c r="M152" s="510">
        <v>7.0</v>
      </c>
      <c r="N152" s="510">
        <v>7.0</v>
      </c>
      <c r="O152" s="510">
        <v>7.0</v>
      </c>
      <c r="P152" s="512" t="s">
        <v>2756</v>
      </c>
      <c r="Q152" s="510">
        <v>7.0</v>
      </c>
      <c r="R152" s="510">
        <v>7.0</v>
      </c>
      <c r="S152" s="510">
        <v>7.0</v>
      </c>
      <c r="T152" s="512" t="s">
        <v>2757</v>
      </c>
      <c r="U152" s="510">
        <v>8.0</v>
      </c>
      <c r="V152" s="510">
        <v>7.0</v>
      </c>
      <c r="W152" s="510">
        <v>7.0</v>
      </c>
      <c r="X152" s="512" t="s">
        <v>2757</v>
      </c>
      <c r="Y152" s="510">
        <v>7.0</v>
      </c>
      <c r="Z152" s="510">
        <v>5.0</v>
      </c>
      <c r="AA152" s="510">
        <v>6.0</v>
      </c>
      <c r="AB152" s="512" t="s">
        <v>2758</v>
      </c>
      <c r="AC152" s="512" t="s">
        <v>2759</v>
      </c>
      <c r="AD152" s="512" t="s">
        <v>2760</v>
      </c>
      <c r="AE152" s="513"/>
      <c r="AF152" s="12"/>
      <c r="AG152" s="502">
        <f t="shared" si="5"/>
        <v>6.833333333</v>
      </c>
    </row>
    <row r="153" hidden="1">
      <c r="A153" s="510" t="s">
        <v>2761</v>
      </c>
      <c r="B153" s="510" t="s">
        <v>2762</v>
      </c>
      <c r="C153" s="511">
        <v>45997.66423611111</v>
      </c>
      <c r="D153" s="510" t="s">
        <v>1435</v>
      </c>
      <c r="E153" s="510" t="b">
        <v>1</v>
      </c>
      <c r="F153" s="510" t="b">
        <v>1</v>
      </c>
      <c r="G153" s="510" t="s">
        <v>1436</v>
      </c>
      <c r="H153" s="510" t="b">
        <v>1</v>
      </c>
      <c r="I153" s="510" t="s">
        <v>1437</v>
      </c>
      <c r="J153" s="510" t="b">
        <v>1</v>
      </c>
      <c r="K153" s="494" t="s">
        <v>2763</v>
      </c>
      <c r="L153" s="512" t="s">
        <v>2551</v>
      </c>
      <c r="M153" s="510">
        <v>9.0</v>
      </c>
      <c r="N153" s="510">
        <v>9.0</v>
      </c>
      <c r="O153" s="510">
        <v>9.0</v>
      </c>
      <c r="P153" s="512" t="s">
        <v>2764</v>
      </c>
      <c r="Q153" s="510">
        <v>9.0</v>
      </c>
      <c r="R153" s="510">
        <v>9.0</v>
      </c>
      <c r="S153" s="510">
        <v>9.0</v>
      </c>
      <c r="T153" s="512" t="s">
        <v>2765</v>
      </c>
      <c r="U153" s="510">
        <v>9.0</v>
      </c>
      <c r="V153" s="510">
        <v>8.0</v>
      </c>
      <c r="W153" s="510">
        <v>9.0</v>
      </c>
      <c r="X153" s="512" t="s">
        <v>2766</v>
      </c>
      <c r="Y153" s="510">
        <v>9.0</v>
      </c>
      <c r="Z153" s="510">
        <v>9.0</v>
      </c>
      <c r="AA153" s="510">
        <v>9.0</v>
      </c>
      <c r="AB153" s="512" t="s">
        <v>2767</v>
      </c>
      <c r="AC153" s="512" t="s">
        <v>2768</v>
      </c>
      <c r="AD153" s="512" t="s">
        <v>2769</v>
      </c>
      <c r="AE153" s="513"/>
      <c r="AF153" s="12"/>
      <c r="AG153" s="502">
        <f t="shared" si="5"/>
        <v>8.916666667</v>
      </c>
    </row>
    <row r="154" hidden="1">
      <c r="A154" s="510" t="s">
        <v>2770</v>
      </c>
      <c r="B154" s="510" t="s">
        <v>2771</v>
      </c>
      <c r="C154" s="511">
        <v>45970.490648148145</v>
      </c>
      <c r="D154" s="510" t="s">
        <v>1435</v>
      </c>
      <c r="E154" s="510" t="b">
        <v>1</v>
      </c>
      <c r="F154" s="510" t="b">
        <v>1</v>
      </c>
      <c r="G154" s="510" t="s">
        <v>1436</v>
      </c>
      <c r="H154" s="510" t="b">
        <v>1</v>
      </c>
      <c r="I154" s="510" t="s">
        <v>1437</v>
      </c>
      <c r="J154" s="510" t="b">
        <v>1</v>
      </c>
      <c r="K154" s="494" t="s">
        <v>2772</v>
      </c>
      <c r="L154" s="512" t="s">
        <v>516</v>
      </c>
      <c r="M154" s="510">
        <v>9.0</v>
      </c>
      <c r="N154" s="510">
        <v>9.0</v>
      </c>
      <c r="O154" s="510">
        <v>9.0</v>
      </c>
      <c r="P154" s="512" t="s">
        <v>2773</v>
      </c>
      <c r="Q154" s="510">
        <v>9.0</v>
      </c>
      <c r="R154" s="510">
        <v>9.0</v>
      </c>
      <c r="S154" s="510">
        <v>9.0</v>
      </c>
      <c r="T154" s="512" t="s">
        <v>2774</v>
      </c>
      <c r="U154" s="510">
        <v>9.0</v>
      </c>
      <c r="V154" s="510">
        <v>9.0</v>
      </c>
      <c r="W154" s="510">
        <v>8.0</v>
      </c>
      <c r="X154" s="512" t="s">
        <v>2775</v>
      </c>
      <c r="Y154" s="510">
        <v>9.0</v>
      </c>
      <c r="Z154" s="510">
        <v>9.0</v>
      </c>
      <c r="AA154" s="510">
        <v>9.0</v>
      </c>
      <c r="AB154" s="512" t="s">
        <v>2776</v>
      </c>
      <c r="AC154" s="512" t="s">
        <v>2777</v>
      </c>
      <c r="AD154" s="512" t="s">
        <v>2778</v>
      </c>
      <c r="AE154" s="513"/>
      <c r="AF154" s="12"/>
      <c r="AG154" s="502">
        <f t="shared" si="5"/>
        <v>8.916666667</v>
      </c>
    </row>
    <row r="155" hidden="1">
      <c r="A155" s="510" t="s">
        <v>2779</v>
      </c>
      <c r="B155" s="510" t="s">
        <v>2780</v>
      </c>
      <c r="C155" s="511">
        <v>45986.319699074076</v>
      </c>
      <c r="D155" s="510" t="s">
        <v>1435</v>
      </c>
      <c r="E155" s="510" t="b">
        <v>1</v>
      </c>
      <c r="F155" s="510" t="b">
        <v>1</v>
      </c>
      <c r="G155" s="510" t="s">
        <v>1436</v>
      </c>
      <c r="H155" s="510" t="b">
        <v>1</v>
      </c>
      <c r="I155" s="510" t="s">
        <v>1437</v>
      </c>
      <c r="J155" s="510" t="b">
        <v>1</v>
      </c>
      <c r="K155" s="494" t="s">
        <v>2433</v>
      </c>
      <c r="L155" s="512" t="s">
        <v>516</v>
      </c>
      <c r="M155" s="510">
        <v>9.0</v>
      </c>
      <c r="N155" s="510">
        <v>9.0</v>
      </c>
      <c r="O155" s="510">
        <v>9.0</v>
      </c>
      <c r="P155" s="512" t="s">
        <v>2781</v>
      </c>
      <c r="Q155" s="510">
        <v>9.0</v>
      </c>
      <c r="R155" s="510">
        <v>9.0</v>
      </c>
      <c r="S155" s="510">
        <v>9.0</v>
      </c>
      <c r="T155" s="512" t="s">
        <v>2782</v>
      </c>
      <c r="U155" s="510">
        <v>9.0</v>
      </c>
      <c r="V155" s="510">
        <v>7.0</v>
      </c>
      <c r="W155" s="510">
        <v>7.0</v>
      </c>
      <c r="X155" s="512" t="s">
        <v>2783</v>
      </c>
      <c r="Y155" s="510">
        <v>9.0</v>
      </c>
      <c r="Z155" s="510">
        <v>9.0</v>
      </c>
      <c r="AA155" s="510">
        <v>9.0</v>
      </c>
      <c r="AB155" s="512" t="s">
        <v>2784</v>
      </c>
      <c r="AC155" s="512" t="s">
        <v>2785</v>
      </c>
      <c r="AD155" s="512" t="s">
        <v>2786</v>
      </c>
      <c r="AE155" s="501"/>
      <c r="AF155" s="12"/>
      <c r="AG155" s="502">
        <f t="shared" si="5"/>
        <v>8.666666667</v>
      </c>
    </row>
    <row r="156" hidden="1">
      <c r="A156" s="510" t="s">
        <v>2787</v>
      </c>
      <c r="B156" s="510" t="s">
        <v>2788</v>
      </c>
      <c r="C156" s="511">
        <v>45974.48515046296</v>
      </c>
      <c r="D156" s="510" t="s">
        <v>1435</v>
      </c>
      <c r="E156" s="510" t="b">
        <v>1</v>
      </c>
      <c r="F156" s="510" t="b">
        <v>1</v>
      </c>
      <c r="G156" s="510" t="s">
        <v>1436</v>
      </c>
      <c r="H156" s="510" t="b">
        <v>1</v>
      </c>
      <c r="I156" s="510" t="s">
        <v>1437</v>
      </c>
      <c r="J156" s="510" t="b">
        <v>1</v>
      </c>
      <c r="K156" s="494" t="s">
        <v>471</v>
      </c>
      <c r="L156" s="512" t="s">
        <v>516</v>
      </c>
      <c r="M156" s="510">
        <v>9.0</v>
      </c>
      <c r="N156" s="510">
        <v>8.0</v>
      </c>
      <c r="O156" s="510">
        <v>9.0</v>
      </c>
      <c r="P156" s="512" t="s">
        <v>2789</v>
      </c>
      <c r="Q156" s="510">
        <v>8.0</v>
      </c>
      <c r="R156" s="510">
        <v>9.0</v>
      </c>
      <c r="S156" s="510">
        <v>9.0</v>
      </c>
      <c r="T156" s="512" t="s">
        <v>2790</v>
      </c>
      <c r="U156" s="12">
        <v>8.0</v>
      </c>
      <c r="V156" s="510">
        <v>9.0</v>
      </c>
      <c r="W156" s="510">
        <v>9.0</v>
      </c>
      <c r="X156" s="512" t="s">
        <v>2791</v>
      </c>
      <c r="Y156" s="510">
        <v>8.0</v>
      </c>
      <c r="Z156" s="510">
        <v>8.0</v>
      </c>
      <c r="AA156" s="510">
        <v>9.0</v>
      </c>
      <c r="AB156" s="512" t="s">
        <v>2792</v>
      </c>
      <c r="AC156" s="512" t="s">
        <v>2793</v>
      </c>
      <c r="AD156" s="512" t="s">
        <v>2794</v>
      </c>
      <c r="AE156" s="512" t="s">
        <v>38</v>
      </c>
      <c r="AF156" s="12"/>
      <c r="AG156" s="502">
        <f t="shared" si="5"/>
        <v>8.583333333</v>
      </c>
    </row>
    <row r="157" hidden="1">
      <c r="A157" s="510" t="s">
        <v>2795</v>
      </c>
      <c r="B157" s="510" t="s">
        <v>2796</v>
      </c>
      <c r="C157" s="511">
        <v>45997.61849537037</v>
      </c>
      <c r="D157" s="510" t="s">
        <v>1435</v>
      </c>
      <c r="E157" s="510" t="b">
        <v>1</v>
      </c>
      <c r="F157" s="510" t="b">
        <v>1</v>
      </c>
      <c r="G157" s="510" t="s">
        <v>1436</v>
      </c>
      <c r="H157" s="510" t="b">
        <v>1</v>
      </c>
      <c r="I157" s="510" t="s">
        <v>1437</v>
      </c>
      <c r="J157" s="510" t="b">
        <v>1</v>
      </c>
      <c r="K157" s="494" t="s">
        <v>1346</v>
      </c>
      <c r="L157" s="512" t="s">
        <v>516</v>
      </c>
      <c r="M157" s="510">
        <v>7.0</v>
      </c>
      <c r="N157" s="510">
        <v>9.0</v>
      </c>
      <c r="O157" s="510">
        <v>9.0</v>
      </c>
      <c r="P157" s="512" t="s">
        <v>2797</v>
      </c>
      <c r="Q157" s="510">
        <v>9.0</v>
      </c>
      <c r="R157" s="510">
        <v>9.0</v>
      </c>
      <c r="S157" s="510">
        <v>9.0</v>
      </c>
      <c r="T157" s="512" t="s">
        <v>2798</v>
      </c>
      <c r="U157" s="510">
        <v>8.0</v>
      </c>
      <c r="V157" s="510">
        <v>9.0</v>
      </c>
      <c r="W157" s="510">
        <v>8.0</v>
      </c>
      <c r="X157" s="512" t="s">
        <v>2799</v>
      </c>
      <c r="Y157" s="510">
        <v>9.0</v>
      </c>
      <c r="Z157" s="510">
        <v>7.0</v>
      </c>
      <c r="AA157" s="510">
        <v>9.0</v>
      </c>
      <c r="AB157" s="512" t="s">
        <v>2800</v>
      </c>
      <c r="AC157" s="512" t="s">
        <v>2801</v>
      </c>
      <c r="AD157" s="512" t="s">
        <v>2802</v>
      </c>
      <c r="AE157" s="501"/>
      <c r="AF157" s="12"/>
      <c r="AG157" s="502">
        <f t="shared" si="5"/>
        <v>8.5</v>
      </c>
    </row>
    <row r="158" hidden="1">
      <c r="A158" s="510" t="s">
        <v>2803</v>
      </c>
      <c r="B158" s="510" t="s">
        <v>2804</v>
      </c>
      <c r="C158" s="511">
        <v>45966.366319444445</v>
      </c>
      <c r="D158" s="510" t="s">
        <v>1435</v>
      </c>
      <c r="E158" s="510" t="b">
        <v>1</v>
      </c>
      <c r="F158" s="510" t="b">
        <v>1</v>
      </c>
      <c r="G158" s="510" t="s">
        <v>1436</v>
      </c>
      <c r="H158" s="510" t="b">
        <v>1</v>
      </c>
      <c r="I158" s="510" t="s">
        <v>1437</v>
      </c>
      <c r="J158" s="510" t="b">
        <v>1</v>
      </c>
      <c r="K158" s="494" t="s">
        <v>318</v>
      </c>
      <c r="L158" s="512" t="s">
        <v>516</v>
      </c>
      <c r="M158" s="510">
        <v>7.0</v>
      </c>
      <c r="N158" s="510">
        <v>9.0</v>
      </c>
      <c r="O158" s="510">
        <v>9.0</v>
      </c>
      <c r="P158" s="512" t="s">
        <v>110</v>
      </c>
      <c r="Q158" s="510">
        <v>9.0</v>
      </c>
      <c r="R158" s="510">
        <v>9.0</v>
      </c>
      <c r="S158" s="510">
        <v>9.0</v>
      </c>
      <c r="T158" s="512" t="s">
        <v>110</v>
      </c>
      <c r="U158" s="510">
        <v>8.0</v>
      </c>
      <c r="V158" s="510">
        <v>7.0</v>
      </c>
      <c r="W158" s="510">
        <v>6.0</v>
      </c>
      <c r="X158" s="512" t="s">
        <v>2805</v>
      </c>
      <c r="Y158" s="510">
        <v>9.0</v>
      </c>
      <c r="Z158" s="510">
        <v>7.0</v>
      </c>
      <c r="AA158" s="510">
        <v>9.0</v>
      </c>
      <c r="AB158" s="512" t="s">
        <v>2806</v>
      </c>
      <c r="AC158" s="512" t="s">
        <v>2807</v>
      </c>
      <c r="AD158" s="512" t="s">
        <v>2808</v>
      </c>
      <c r="AE158" s="501"/>
      <c r="AF158" s="12"/>
      <c r="AG158" s="502">
        <f t="shared" si="5"/>
        <v>8.166666667</v>
      </c>
    </row>
    <row r="159" hidden="1">
      <c r="A159" s="510" t="s">
        <v>2809</v>
      </c>
      <c r="B159" s="510" t="s">
        <v>2810</v>
      </c>
      <c r="C159" s="511">
        <v>45966.493946759256</v>
      </c>
      <c r="D159" s="510" t="s">
        <v>1435</v>
      </c>
      <c r="E159" s="510" t="b">
        <v>1</v>
      </c>
      <c r="F159" s="510" t="b">
        <v>1</v>
      </c>
      <c r="G159" s="510" t="s">
        <v>1436</v>
      </c>
      <c r="H159" s="510" t="b">
        <v>1</v>
      </c>
      <c r="I159" s="510" t="s">
        <v>1437</v>
      </c>
      <c r="J159" s="510" t="b">
        <v>1</v>
      </c>
      <c r="K159" s="494" t="s">
        <v>2811</v>
      </c>
      <c r="L159" s="512" t="s">
        <v>516</v>
      </c>
      <c r="M159" s="510">
        <v>6.0</v>
      </c>
      <c r="N159" s="510">
        <v>8.0</v>
      </c>
      <c r="O159" s="510">
        <v>9.0</v>
      </c>
      <c r="P159" s="512" t="s">
        <v>2812</v>
      </c>
      <c r="Q159" s="510">
        <v>7.0</v>
      </c>
      <c r="R159" s="510">
        <v>9.0</v>
      </c>
      <c r="S159" s="510">
        <v>9.0</v>
      </c>
      <c r="T159" s="512" t="s">
        <v>2813</v>
      </c>
      <c r="U159" s="510">
        <v>6.0</v>
      </c>
      <c r="V159" s="510">
        <v>9.0</v>
      </c>
      <c r="W159" s="510">
        <v>6.0</v>
      </c>
      <c r="X159" s="512" t="s">
        <v>2814</v>
      </c>
      <c r="Y159" s="510">
        <v>8.0</v>
      </c>
      <c r="Z159" s="510">
        <v>6.0</v>
      </c>
      <c r="AA159" s="510">
        <v>8.0</v>
      </c>
      <c r="AB159" s="512" t="s">
        <v>2815</v>
      </c>
      <c r="AC159" s="512" t="s">
        <v>2816</v>
      </c>
      <c r="AD159" s="512" t="s">
        <v>2817</v>
      </c>
      <c r="AE159" s="512" t="s">
        <v>2818</v>
      </c>
      <c r="AF159" s="12"/>
      <c r="AG159" s="502">
        <f t="shared" si="5"/>
        <v>7.583333333</v>
      </c>
    </row>
    <row r="160" hidden="1">
      <c r="A160" s="510" t="s">
        <v>2819</v>
      </c>
      <c r="B160" s="510" t="s">
        <v>2820</v>
      </c>
      <c r="C160" s="511">
        <v>45984.317407407405</v>
      </c>
      <c r="D160" s="510" t="s">
        <v>1435</v>
      </c>
      <c r="E160" s="510" t="b">
        <v>1</v>
      </c>
      <c r="F160" s="510" t="b">
        <v>1</v>
      </c>
      <c r="G160" s="510" t="s">
        <v>1436</v>
      </c>
      <c r="H160" s="510" t="b">
        <v>1</v>
      </c>
      <c r="I160" s="510" t="s">
        <v>1437</v>
      </c>
      <c r="J160" s="510" t="b">
        <v>1</v>
      </c>
      <c r="K160" s="494" t="s">
        <v>2821</v>
      </c>
      <c r="L160" s="512" t="s">
        <v>516</v>
      </c>
      <c r="M160" s="510">
        <v>9.0</v>
      </c>
      <c r="N160" s="510">
        <v>6.0</v>
      </c>
      <c r="O160" s="510">
        <v>9.0</v>
      </c>
      <c r="P160" s="513"/>
      <c r="Q160" s="510">
        <v>7.0</v>
      </c>
      <c r="R160" s="510">
        <v>9.0</v>
      </c>
      <c r="S160" s="510">
        <v>6.0</v>
      </c>
      <c r="T160" s="513"/>
      <c r="U160" s="510">
        <v>7.0</v>
      </c>
      <c r="V160" s="510">
        <v>9.0</v>
      </c>
      <c r="W160" s="510">
        <v>7.0</v>
      </c>
      <c r="X160" s="512" t="s">
        <v>2822</v>
      </c>
      <c r="Y160" s="510">
        <v>6.0</v>
      </c>
      <c r="Z160" s="510">
        <v>7.0</v>
      </c>
      <c r="AA160" s="510">
        <v>7.0</v>
      </c>
      <c r="AB160" s="512" t="s">
        <v>2823</v>
      </c>
      <c r="AC160" s="513"/>
      <c r="AD160" s="512" t="s">
        <v>2824</v>
      </c>
      <c r="AE160" s="513"/>
      <c r="AF160" s="12"/>
      <c r="AG160" s="502">
        <f t="shared" si="5"/>
        <v>7.416666667</v>
      </c>
    </row>
    <row r="161" hidden="1">
      <c r="A161" s="510" t="s">
        <v>2825</v>
      </c>
      <c r="B161" s="510" t="s">
        <v>529</v>
      </c>
      <c r="C161" s="511">
        <v>45998.481770833336</v>
      </c>
      <c r="D161" s="510" t="s">
        <v>1435</v>
      </c>
      <c r="E161" s="510" t="b">
        <v>1</v>
      </c>
      <c r="F161" s="510" t="b">
        <v>1</v>
      </c>
      <c r="G161" s="510" t="s">
        <v>1436</v>
      </c>
      <c r="H161" s="510" t="b">
        <v>1</v>
      </c>
      <c r="I161" s="510" t="s">
        <v>1437</v>
      </c>
      <c r="J161" s="510" t="b">
        <v>1</v>
      </c>
      <c r="K161" s="494" t="s">
        <v>530</v>
      </c>
      <c r="L161" s="512" t="s">
        <v>516</v>
      </c>
      <c r="M161" s="510">
        <v>7.0</v>
      </c>
      <c r="N161" s="510">
        <v>7.0</v>
      </c>
      <c r="O161" s="510">
        <v>8.0</v>
      </c>
      <c r="P161" s="512" t="s">
        <v>2826</v>
      </c>
      <c r="Q161" s="510">
        <v>8.0</v>
      </c>
      <c r="R161" s="510">
        <v>8.0</v>
      </c>
      <c r="S161" s="510">
        <v>8.0</v>
      </c>
      <c r="T161" s="512" t="s">
        <v>2827</v>
      </c>
      <c r="U161" s="510">
        <v>7.0</v>
      </c>
      <c r="V161" s="510">
        <v>8.0</v>
      </c>
      <c r="W161" s="510">
        <v>6.0</v>
      </c>
      <c r="X161" s="512" t="s">
        <v>2828</v>
      </c>
      <c r="Y161" s="510">
        <v>8.0</v>
      </c>
      <c r="Z161" s="510">
        <v>6.0</v>
      </c>
      <c r="AA161" s="510">
        <v>6.0</v>
      </c>
      <c r="AB161" s="512" t="s">
        <v>2829</v>
      </c>
      <c r="AC161" s="512" t="s">
        <v>2830</v>
      </c>
      <c r="AD161" s="512" t="s">
        <v>2831</v>
      </c>
      <c r="AE161" s="512" t="s">
        <v>2832</v>
      </c>
      <c r="AF161" s="12"/>
      <c r="AG161" s="502">
        <f t="shared" si="5"/>
        <v>7.25</v>
      </c>
    </row>
    <row r="162" hidden="1">
      <c r="A162" s="510" t="s">
        <v>2833</v>
      </c>
      <c r="B162" s="510" t="s">
        <v>506</v>
      </c>
      <c r="C162" s="511">
        <v>45981.356087962966</v>
      </c>
      <c r="D162" s="510" t="s">
        <v>1435</v>
      </c>
      <c r="E162" s="510" t="b">
        <v>1</v>
      </c>
      <c r="F162" s="510" t="b">
        <v>1</v>
      </c>
      <c r="G162" s="510" t="s">
        <v>1436</v>
      </c>
      <c r="H162" s="510" t="b">
        <v>1</v>
      </c>
      <c r="I162" s="510" t="s">
        <v>1437</v>
      </c>
      <c r="J162" s="510" t="b">
        <v>1</v>
      </c>
      <c r="K162" s="494" t="s">
        <v>507</v>
      </c>
      <c r="L162" s="512" t="s">
        <v>516</v>
      </c>
      <c r="M162" s="510">
        <v>7.0</v>
      </c>
      <c r="N162" s="510">
        <v>7.0</v>
      </c>
      <c r="O162" s="510">
        <v>7.0</v>
      </c>
      <c r="P162" s="512" t="s">
        <v>2834</v>
      </c>
      <c r="Q162" s="510">
        <v>8.0</v>
      </c>
      <c r="R162" s="510">
        <v>6.0</v>
      </c>
      <c r="S162" s="510">
        <v>7.0</v>
      </c>
      <c r="T162" s="512" t="s">
        <v>2835</v>
      </c>
      <c r="U162" s="510">
        <v>8.0</v>
      </c>
      <c r="V162" s="510">
        <v>8.0</v>
      </c>
      <c r="W162" s="510">
        <v>8.0</v>
      </c>
      <c r="X162" s="512" t="s">
        <v>2836</v>
      </c>
      <c r="Y162" s="510">
        <v>6.0</v>
      </c>
      <c r="Z162" s="510">
        <v>5.0</v>
      </c>
      <c r="AA162" s="510">
        <v>6.0</v>
      </c>
      <c r="AB162" s="512" t="s">
        <v>2837</v>
      </c>
      <c r="AC162" s="512" t="s">
        <v>2838</v>
      </c>
      <c r="AD162" s="512" t="s">
        <v>2839</v>
      </c>
      <c r="AE162" s="501"/>
      <c r="AF162" s="12"/>
      <c r="AG162" s="502">
        <f t="shared" si="5"/>
        <v>6.916666667</v>
      </c>
    </row>
    <row r="163" hidden="1">
      <c r="A163" s="510" t="s">
        <v>2840</v>
      </c>
      <c r="B163" s="510" t="s">
        <v>2841</v>
      </c>
      <c r="C163" s="511">
        <v>45997.913148148145</v>
      </c>
      <c r="D163" s="510" t="s">
        <v>1435</v>
      </c>
      <c r="E163" s="510" t="b">
        <v>1</v>
      </c>
      <c r="F163" s="510" t="b">
        <v>1</v>
      </c>
      <c r="G163" s="510" t="s">
        <v>1436</v>
      </c>
      <c r="H163" s="510" t="b">
        <v>1</v>
      </c>
      <c r="I163" s="510" t="s">
        <v>1437</v>
      </c>
      <c r="J163" s="510" t="b">
        <v>1</v>
      </c>
      <c r="K163" s="494" t="s">
        <v>2842</v>
      </c>
      <c r="L163" s="512" t="s">
        <v>516</v>
      </c>
      <c r="M163" s="510">
        <v>5.0</v>
      </c>
      <c r="N163" s="510">
        <v>7.0</v>
      </c>
      <c r="O163" s="510">
        <v>6.0</v>
      </c>
      <c r="P163" s="512" t="s">
        <v>2843</v>
      </c>
      <c r="Q163" s="510">
        <v>5.0</v>
      </c>
      <c r="R163" s="510">
        <v>6.0</v>
      </c>
      <c r="S163" s="510">
        <v>8.0</v>
      </c>
      <c r="T163" s="512" t="s">
        <v>2844</v>
      </c>
      <c r="U163" s="510">
        <v>6.0</v>
      </c>
      <c r="V163" s="510">
        <v>6.0</v>
      </c>
      <c r="W163" s="510">
        <v>7.0</v>
      </c>
      <c r="X163" s="512" t="s">
        <v>2845</v>
      </c>
      <c r="Y163" s="510">
        <v>6.0</v>
      </c>
      <c r="Z163" s="510">
        <v>4.0</v>
      </c>
      <c r="AA163" s="510">
        <v>8.0</v>
      </c>
      <c r="AB163" s="512" t="s">
        <v>2846</v>
      </c>
      <c r="AC163" s="512" t="s">
        <v>2847</v>
      </c>
      <c r="AD163" s="512" t="s">
        <v>2848</v>
      </c>
      <c r="AE163" s="501"/>
      <c r="AF163" s="12"/>
      <c r="AG163" s="502">
        <f t="shared" si="5"/>
        <v>6.166666667</v>
      </c>
    </row>
    <row r="164" hidden="1">
      <c r="A164" s="510" t="s">
        <v>2849</v>
      </c>
      <c r="B164" s="510" t="s">
        <v>2850</v>
      </c>
      <c r="C164" s="511">
        <v>45976.30328703704</v>
      </c>
      <c r="D164" s="510" t="s">
        <v>1435</v>
      </c>
      <c r="E164" s="510" t="b">
        <v>1</v>
      </c>
      <c r="F164" s="510" t="b">
        <v>1</v>
      </c>
      <c r="G164" s="510" t="s">
        <v>1436</v>
      </c>
      <c r="H164" s="510" t="b">
        <v>1</v>
      </c>
      <c r="I164" s="510" t="s">
        <v>1437</v>
      </c>
      <c r="J164" s="510" t="b">
        <v>1</v>
      </c>
      <c r="K164" s="494" t="s">
        <v>972</v>
      </c>
      <c r="L164" s="512" t="s">
        <v>779</v>
      </c>
      <c r="M164" s="510">
        <v>7.0</v>
      </c>
      <c r="N164" s="510">
        <v>8.0</v>
      </c>
      <c r="O164" s="510">
        <v>8.0</v>
      </c>
      <c r="P164" s="512" t="s">
        <v>2851</v>
      </c>
      <c r="Q164" s="510">
        <v>7.0</v>
      </c>
      <c r="R164" s="510">
        <v>8.0</v>
      </c>
      <c r="S164" s="510">
        <v>9.0</v>
      </c>
      <c r="T164" s="512" t="s">
        <v>2852</v>
      </c>
      <c r="U164" s="510">
        <v>7.0</v>
      </c>
      <c r="V164" s="510">
        <v>7.0</v>
      </c>
      <c r="W164" s="510">
        <v>9.0</v>
      </c>
      <c r="X164" s="512" t="s">
        <v>2853</v>
      </c>
      <c r="Y164" s="510">
        <v>7.0</v>
      </c>
      <c r="Z164" s="510">
        <v>4.0</v>
      </c>
      <c r="AA164" s="510">
        <v>6.0</v>
      </c>
      <c r="AB164" s="512" t="s">
        <v>2854</v>
      </c>
      <c r="AC164" s="512" t="s">
        <v>2855</v>
      </c>
      <c r="AD164" s="512" t="s">
        <v>2856</v>
      </c>
      <c r="AE164" s="513"/>
      <c r="AF164" s="12"/>
      <c r="AG164" s="502">
        <f t="shared" si="5"/>
        <v>7.25</v>
      </c>
    </row>
    <row r="165" hidden="1">
      <c r="A165" s="517" t="s">
        <v>2857</v>
      </c>
      <c r="B165" s="518" t="s">
        <v>2858</v>
      </c>
      <c r="C165" s="519">
        <v>46012.24979166667</v>
      </c>
      <c r="D165" s="520" t="s">
        <v>1435</v>
      </c>
      <c r="E165" s="518" t="b">
        <v>1</v>
      </c>
      <c r="F165" s="518" t="b">
        <v>1</v>
      </c>
      <c r="G165" s="520" t="s">
        <v>1436</v>
      </c>
      <c r="H165" s="518" t="b">
        <v>1</v>
      </c>
      <c r="I165" s="520" t="s">
        <v>1437</v>
      </c>
      <c r="J165" s="518" t="b">
        <v>1</v>
      </c>
      <c r="K165" s="521" t="s">
        <v>433</v>
      </c>
      <c r="L165" s="520" t="s">
        <v>113</v>
      </c>
      <c r="M165" s="518">
        <v>7.0</v>
      </c>
      <c r="N165" s="518">
        <v>7.0</v>
      </c>
      <c r="O165" s="518">
        <v>7.0</v>
      </c>
      <c r="P165" s="520" t="s">
        <v>2859</v>
      </c>
      <c r="Q165" s="518">
        <v>7.0</v>
      </c>
      <c r="R165" s="518">
        <v>6.0</v>
      </c>
      <c r="S165" s="518">
        <v>8.0</v>
      </c>
      <c r="T165" s="520" t="s">
        <v>2860</v>
      </c>
      <c r="U165" s="518">
        <v>7.0</v>
      </c>
      <c r="V165" s="518">
        <v>8.0</v>
      </c>
      <c r="W165" s="518">
        <v>7.0</v>
      </c>
      <c r="X165" s="518" t="s">
        <v>110</v>
      </c>
      <c r="Y165" s="518">
        <v>9.0</v>
      </c>
      <c r="Z165" s="518">
        <v>7.0</v>
      </c>
      <c r="AA165" s="518">
        <v>7.0</v>
      </c>
      <c r="AB165" s="520" t="s">
        <v>2861</v>
      </c>
      <c r="AC165" s="520" t="s">
        <v>2862</v>
      </c>
      <c r="AD165" s="520" t="s">
        <v>2863</v>
      </c>
      <c r="AE165" s="513"/>
      <c r="AF165" s="501"/>
      <c r="AG165" s="502">
        <f t="shared" si="5"/>
        <v>7.25</v>
      </c>
    </row>
    <row r="166" hidden="1">
      <c r="A166" s="510" t="s">
        <v>2864</v>
      </c>
      <c r="B166" s="510" t="s">
        <v>2865</v>
      </c>
      <c r="C166" s="511">
        <v>45997.6</v>
      </c>
      <c r="D166" s="510" t="s">
        <v>1435</v>
      </c>
      <c r="E166" s="510" t="b">
        <v>1</v>
      </c>
      <c r="F166" s="510" t="b">
        <v>1</v>
      </c>
      <c r="G166" s="510" t="s">
        <v>1436</v>
      </c>
      <c r="H166" s="510" t="b">
        <v>1</v>
      </c>
      <c r="I166" s="510" t="s">
        <v>1437</v>
      </c>
      <c r="J166" s="510" t="b">
        <v>1</v>
      </c>
      <c r="K166" s="494" t="s">
        <v>1017</v>
      </c>
      <c r="L166" s="512" t="s">
        <v>113</v>
      </c>
      <c r="M166" s="510">
        <v>8.0</v>
      </c>
      <c r="N166" s="510">
        <v>8.0</v>
      </c>
      <c r="O166" s="510">
        <v>8.0</v>
      </c>
      <c r="P166" s="512" t="s">
        <v>2866</v>
      </c>
      <c r="Q166" s="510">
        <v>8.0</v>
      </c>
      <c r="R166" s="510">
        <v>6.0</v>
      </c>
      <c r="S166" s="510">
        <v>7.0</v>
      </c>
      <c r="T166" s="512" t="s">
        <v>2867</v>
      </c>
      <c r="U166" s="510">
        <v>7.0</v>
      </c>
      <c r="V166" s="510">
        <v>9.0</v>
      </c>
      <c r="W166" s="510">
        <v>7.0</v>
      </c>
      <c r="X166" s="512" t="s">
        <v>2868</v>
      </c>
      <c r="Y166" s="510">
        <v>7.0</v>
      </c>
      <c r="Z166" s="510">
        <v>9.0</v>
      </c>
      <c r="AA166" s="510">
        <v>9.0</v>
      </c>
      <c r="AB166" s="512" t="s">
        <v>2868</v>
      </c>
      <c r="AC166" s="512" t="s">
        <v>2869</v>
      </c>
      <c r="AD166" s="512" t="s">
        <v>2868</v>
      </c>
      <c r="AE166" s="501"/>
      <c r="AF166" s="12"/>
      <c r="AG166" s="502">
        <f t="shared" si="5"/>
        <v>7.75</v>
      </c>
    </row>
    <row r="167" hidden="1">
      <c r="A167" s="510" t="s">
        <v>2870</v>
      </c>
      <c r="B167" s="510" t="s">
        <v>2871</v>
      </c>
      <c r="C167" s="511">
        <v>45997.65834490741</v>
      </c>
      <c r="D167" s="510" t="s">
        <v>1807</v>
      </c>
      <c r="E167" s="510" t="b">
        <v>1</v>
      </c>
      <c r="F167" s="510" t="b">
        <v>0</v>
      </c>
      <c r="G167" s="510" t="s">
        <v>1436</v>
      </c>
      <c r="H167" s="510" t="b">
        <v>1</v>
      </c>
      <c r="I167" s="510" t="s">
        <v>1437</v>
      </c>
      <c r="J167" s="510" t="b">
        <v>1</v>
      </c>
      <c r="K167" s="494" t="s">
        <v>2872</v>
      </c>
      <c r="L167" s="512" t="s">
        <v>113</v>
      </c>
      <c r="M167" s="510">
        <v>8.0</v>
      </c>
      <c r="N167" s="510">
        <v>9.0</v>
      </c>
      <c r="O167" s="510">
        <v>9.0</v>
      </c>
      <c r="P167" s="512" t="s">
        <v>2873</v>
      </c>
      <c r="Q167" s="510">
        <v>5.0</v>
      </c>
      <c r="R167" s="510">
        <v>7.0</v>
      </c>
      <c r="S167" s="510">
        <v>7.0</v>
      </c>
      <c r="T167" s="512" t="s">
        <v>2874</v>
      </c>
      <c r="U167" s="510">
        <v>9.0</v>
      </c>
      <c r="V167" s="510">
        <v>9.0</v>
      </c>
      <c r="W167" s="510">
        <v>9.0</v>
      </c>
      <c r="X167" s="512" t="s">
        <v>2875</v>
      </c>
      <c r="Y167" s="510">
        <v>7.0</v>
      </c>
      <c r="Z167" s="510">
        <v>6.0</v>
      </c>
      <c r="AA167" s="510">
        <v>7.0</v>
      </c>
      <c r="AB167" s="512" t="s">
        <v>2876</v>
      </c>
      <c r="AC167" s="512" t="s">
        <v>2877</v>
      </c>
      <c r="AD167" s="512" t="s">
        <v>2878</v>
      </c>
      <c r="AE167" s="513"/>
      <c r="AF167" s="12"/>
      <c r="AG167" s="502">
        <f t="shared" si="5"/>
        <v>7.666666667</v>
      </c>
    </row>
    <row r="168" hidden="1">
      <c r="A168" s="510" t="s">
        <v>2879</v>
      </c>
      <c r="B168" s="510" t="s">
        <v>2880</v>
      </c>
      <c r="C168" s="511">
        <v>45986.68130787037</v>
      </c>
      <c r="D168" s="510" t="s">
        <v>1435</v>
      </c>
      <c r="E168" s="510" t="b">
        <v>1</v>
      </c>
      <c r="F168" s="510" t="b">
        <v>1</v>
      </c>
      <c r="G168" s="510" t="s">
        <v>1436</v>
      </c>
      <c r="H168" s="510" t="b">
        <v>1</v>
      </c>
      <c r="I168" s="510" t="s">
        <v>1437</v>
      </c>
      <c r="J168" s="510" t="b">
        <v>1</v>
      </c>
      <c r="K168" s="494" t="s">
        <v>2881</v>
      </c>
      <c r="L168" s="512" t="s">
        <v>2882</v>
      </c>
      <c r="M168" s="510">
        <v>9.0</v>
      </c>
      <c r="N168" s="510">
        <v>9.0</v>
      </c>
      <c r="O168" s="510">
        <v>9.0</v>
      </c>
      <c r="P168" s="512" t="s">
        <v>2883</v>
      </c>
      <c r="Q168" s="510">
        <v>9.0</v>
      </c>
      <c r="R168" s="510">
        <v>9.0</v>
      </c>
      <c r="S168" s="510">
        <v>9.0</v>
      </c>
      <c r="T168" s="512" t="s">
        <v>2884</v>
      </c>
      <c r="U168" s="510">
        <v>8.0</v>
      </c>
      <c r="V168" s="510">
        <v>8.0</v>
      </c>
      <c r="W168" s="510">
        <v>8.0</v>
      </c>
      <c r="X168" s="512" t="s">
        <v>2885</v>
      </c>
      <c r="Y168" s="510">
        <v>9.0</v>
      </c>
      <c r="Z168" s="510">
        <v>9.0</v>
      </c>
      <c r="AA168" s="510">
        <v>9.0</v>
      </c>
      <c r="AB168" s="512" t="s">
        <v>2886</v>
      </c>
      <c r="AC168" s="512" t="s">
        <v>2887</v>
      </c>
      <c r="AD168" s="512" t="s">
        <v>2888</v>
      </c>
      <c r="AE168" s="501"/>
      <c r="AF168" s="12"/>
      <c r="AG168" s="502">
        <f t="shared" si="5"/>
        <v>8.75</v>
      </c>
    </row>
    <row r="169" hidden="1">
      <c r="A169" s="510" t="s">
        <v>2889</v>
      </c>
      <c r="B169" s="510" t="s">
        <v>2890</v>
      </c>
      <c r="C169" s="511">
        <v>45970.535775462966</v>
      </c>
      <c r="D169" s="510" t="s">
        <v>1435</v>
      </c>
      <c r="E169" s="510" t="b">
        <v>1</v>
      </c>
      <c r="F169" s="510" t="b">
        <v>1</v>
      </c>
      <c r="G169" s="510" t="s">
        <v>1436</v>
      </c>
      <c r="H169" s="510" t="b">
        <v>1</v>
      </c>
      <c r="I169" s="510" t="s">
        <v>1437</v>
      </c>
      <c r="J169" s="510" t="b">
        <v>1</v>
      </c>
      <c r="K169" s="494" t="s">
        <v>2891</v>
      </c>
      <c r="L169" s="512" t="s">
        <v>2882</v>
      </c>
      <c r="M169" s="510">
        <v>8.0</v>
      </c>
      <c r="N169" s="510">
        <v>9.0</v>
      </c>
      <c r="O169" s="510">
        <v>9.0</v>
      </c>
      <c r="P169" s="512" t="s">
        <v>2892</v>
      </c>
      <c r="Q169" s="510">
        <v>9.0</v>
      </c>
      <c r="R169" s="510">
        <v>9.0</v>
      </c>
      <c r="S169" s="510">
        <v>9.0</v>
      </c>
      <c r="T169" s="512" t="s">
        <v>2893</v>
      </c>
      <c r="U169" s="510">
        <v>6.0</v>
      </c>
      <c r="V169" s="510">
        <v>8.0</v>
      </c>
      <c r="W169" s="510">
        <v>5.0</v>
      </c>
      <c r="X169" s="512" t="s">
        <v>2894</v>
      </c>
      <c r="Y169" s="510">
        <v>8.0</v>
      </c>
      <c r="Z169" s="510">
        <v>7.0</v>
      </c>
      <c r="AA169" s="510">
        <v>9.0</v>
      </c>
      <c r="AB169" s="512" t="s">
        <v>2895</v>
      </c>
      <c r="AC169" s="512" t="s">
        <v>2896</v>
      </c>
      <c r="AD169" s="512" t="s">
        <v>2897</v>
      </c>
      <c r="AE169" s="501"/>
      <c r="AF169" s="12"/>
      <c r="AG169" s="502">
        <f t="shared" si="5"/>
        <v>8</v>
      </c>
    </row>
    <row r="170" hidden="1">
      <c r="A170" s="510" t="s">
        <v>2898</v>
      </c>
      <c r="B170" s="510" t="s">
        <v>2899</v>
      </c>
      <c r="C170" s="511">
        <v>45984.36988425926</v>
      </c>
      <c r="D170" s="510" t="s">
        <v>1435</v>
      </c>
      <c r="E170" s="510" t="b">
        <v>1</v>
      </c>
      <c r="F170" s="510" t="b">
        <v>1</v>
      </c>
      <c r="G170" s="510" t="s">
        <v>1436</v>
      </c>
      <c r="H170" s="510" t="b">
        <v>1</v>
      </c>
      <c r="I170" s="510" t="s">
        <v>1437</v>
      </c>
      <c r="J170" s="510" t="b">
        <v>1</v>
      </c>
      <c r="K170" s="494" t="s">
        <v>292</v>
      </c>
      <c r="L170" s="512" t="s">
        <v>2882</v>
      </c>
      <c r="M170" s="510">
        <v>7.0</v>
      </c>
      <c r="N170" s="510">
        <v>7.0</v>
      </c>
      <c r="O170" s="510">
        <v>7.0</v>
      </c>
      <c r="P170" s="512" t="s">
        <v>2900</v>
      </c>
      <c r="Q170" s="510">
        <v>7.0</v>
      </c>
      <c r="R170" s="510">
        <v>9.0</v>
      </c>
      <c r="S170" s="510">
        <v>7.0</v>
      </c>
      <c r="T170" s="512" t="s">
        <v>2901</v>
      </c>
      <c r="U170" s="510">
        <v>6.0</v>
      </c>
      <c r="V170" s="510">
        <v>4.0</v>
      </c>
      <c r="W170" s="510">
        <v>6.0</v>
      </c>
      <c r="X170" s="512" t="s">
        <v>2902</v>
      </c>
      <c r="Y170" s="510">
        <v>7.0</v>
      </c>
      <c r="Z170" s="510">
        <v>4.0</v>
      </c>
      <c r="AA170" s="510">
        <v>6.0</v>
      </c>
      <c r="AB170" s="512" t="s">
        <v>2903</v>
      </c>
      <c r="AC170" s="512" t="s">
        <v>2904</v>
      </c>
      <c r="AD170" s="512" t="s">
        <v>2905</v>
      </c>
      <c r="AE170" s="501"/>
      <c r="AF170" s="12"/>
      <c r="AG170" s="502">
        <f t="shared" si="5"/>
        <v>6.416666667</v>
      </c>
    </row>
    <row r="171" hidden="1">
      <c r="A171" s="510" t="s">
        <v>2906</v>
      </c>
      <c r="B171" s="510" t="s">
        <v>2907</v>
      </c>
      <c r="C171" s="511">
        <v>45974.101006944446</v>
      </c>
      <c r="D171" s="510" t="s">
        <v>1435</v>
      </c>
      <c r="E171" s="510" t="b">
        <v>1</v>
      </c>
      <c r="F171" s="510" t="b">
        <v>1</v>
      </c>
      <c r="G171" s="510" t="s">
        <v>1436</v>
      </c>
      <c r="H171" s="510" t="b">
        <v>1</v>
      </c>
      <c r="I171" s="510" t="s">
        <v>1437</v>
      </c>
      <c r="J171" s="510" t="b">
        <v>1</v>
      </c>
      <c r="K171" s="494" t="s">
        <v>2908</v>
      </c>
      <c r="L171" s="512" t="s">
        <v>2882</v>
      </c>
      <c r="M171" s="510">
        <v>6.0</v>
      </c>
      <c r="N171" s="510">
        <v>5.0</v>
      </c>
      <c r="O171" s="510">
        <v>7.0</v>
      </c>
      <c r="P171" s="512" t="s">
        <v>2909</v>
      </c>
      <c r="Q171" s="510">
        <v>8.0</v>
      </c>
      <c r="R171" s="510">
        <v>9.0</v>
      </c>
      <c r="S171" s="510">
        <v>8.0</v>
      </c>
      <c r="T171" s="512" t="s">
        <v>2910</v>
      </c>
      <c r="U171" s="510">
        <v>5.0</v>
      </c>
      <c r="V171" s="510">
        <v>5.0</v>
      </c>
      <c r="W171" s="510">
        <v>5.0</v>
      </c>
      <c r="X171" s="512" t="s">
        <v>2911</v>
      </c>
      <c r="Y171" s="510">
        <v>5.0</v>
      </c>
      <c r="Z171" s="510">
        <v>9.0</v>
      </c>
      <c r="AA171" s="510">
        <v>5.0</v>
      </c>
      <c r="AB171" s="512" t="s">
        <v>2912</v>
      </c>
      <c r="AC171" s="512" t="s">
        <v>2913</v>
      </c>
      <c r="AD171" s="512" t="s">
        <v>2914</v>
      </c>
      <c r="AE171" s="512" t="s">
        <v>2915</v>
      </c>
      <c r="AF171" s="12"/>
      <c r="AG171" s="502">
        <f t="shared" si="5"/>
        <v>6.416666667</v>
      </c>
    </row>
    <row r="172" hidden="1">
      <c r="A172" s="510" t="s">
        <v>2916</v>
      </c>
      <c r="B172" s="510" t="s">
        <v>2917</v>
      </c>
      <c r="C172" s="511">
        <v>45966.607152777775</v>
      </c>
      <c r="D172" s="510" t="s">
        <v>1435</v>
      </c>
      <c r="E172" s="510" t="b">
        <v>1</v>
      </c>
      <c r="F172" s="510" t="b">
        <v>1</v>
      </c>
      <c r="G172" s="510" t="s">
        <v>1436</v>
      </c>
      <c r="H172" s="510" t="b">
        <v>1</v>
      </c>
      <c r="I172" s="510" t="s">
        <v>1437</v>
      </c>
      <c r="J172" s="510" t="b">
        <v>1</v>
      </c>
      <c r="K172" s="494" t="s">
        <v>465</v>
      </c>
      <c r="L172" s="512" t="s">
        <v>449</v>
      </c>
      <c r="M172" s="510">
        <v>9.0</v>
      </c>
      <c r="N172" s="510">
        <v>9.0</v>
      </c>
      <c r="O172" s="510">
        <v>9.0</v>
      </c>
      <c r="P172" s="512" t="s">
        <v>2918</v>
      </c>
      <c r="Q172" s="510">
        <v>9.0</v>
      </c>
      <c r="R172" s="510">
        <v>9.0</v>
      </c>
      <c r="S172" s="510">
        <v>9.0</v>
      </c>
      <c r="T172" s="512" t="s">
        <v>2919</v>
      </c>
      <c r="U172" s="510">
        <v>7.0</v>
      </c>
      <c r="V172" s="510">
        <v>7.0</v>
      </c>
      <c r="W172" s="510">
        <v>7.0</v>
      </c>
      <c r="X172" s="512" t="s">
        <v>2920</v>
      </c>
      <c r="Y172" s="510">
        <v>9.0</v>
      </c>
      <c r="Z172" s="510">
        <v>9.0</v>
      </c>
      <c r="AA172" s="510">
        <v>9.0</v>
      </c>
      <c r="AB172" s="512" t="s">
        <v>2921</v>
      </c>
      <c r="AC172" s="512" t="s">
        <v>2922</v>
      </c>
      <c r="AD172" s="512" t="s">
        <v>2923</v>
      </c>
      <c r="AE172" s="501"/>
      <c r="AF172" s="12"/>
      <c r="AG172" s="502">
        <f t="shared" si="5"/>
        <v>8.5</v>
      </c>
    </row>
    <row r="173" hidden="1">
      <c r="A173" s="510" t="s">
        <v>2924</v>
      </c>
      <c r="B173" s="510" t="s">
        <v>2925</v>
      </c>
      <c r="C173" s="511">
        <v>45973.88628472222</v>
      </c>
      <c r="D173" s="510" t="s">
        <v>1435</v>
      </c>
      <c r="E173" s="510" t="b">
        <v>1</v>
      </c>
      <c r="F173" s="510" t="b">
        <v>1</v>
      </c>
      <c r="G173" s="510" t="s">
        <v>1436</v>
      </c>
      <c r="H173" s="510" t="b">
        <v>1</v>
      </c>
      <c r="I173" s="510" t="s">
        <v>1437</v>
      </c>
      <c r="J173" s="510" t="b">
        <v>1</v>
      </c>
      <c r="K173" s="494" t="s">
        <v>2926</v>
      </c>
      <c r="L173" s="512" t="s">
        <v>449</v>
      </c>
      <c r="M173" s="510">
        <v>9.0</v>
      </c>
      <c r="N173" s="510">
        <v>7.0</v>
      </c>
      <c r="O173" s="510">
        <v>9.0</v>
      </c>
      <c r="P173" s="512" t="s">
        <v>2927</v>
      </c>
      <c r="Q173" s="510">
        <v>9.0</v>
      </c>
      <c r="R173" s="510">
        <v>9.0</v>
      </c>
      <c r="S173" s="510">
        <v>9.0</v>
      </c>
      <c r="T173" s="512" t="s">
        <v>2928</v>
      </c>
      <c r="U173" s="510">
        <v>7.0</v>
      </c>
      <c r="V173" s="510">
        <v>7.0</v>
      </c>
      <c r="W173" s="510">
        <v>8.0</v>
      </c>
      <c r="X173" s="512" t="s">
        <v>2929</v>
      </c>
      <c r="Y173" s="510">
        <v>7.0</v>
      </c>
      <c r="Z173" s="510">
        <v>7.0</v>
      </c>
      <c r="AA173" s="510">
        <v>8.0</v>
      </c>
      <c r="AB173" s="512" t="s">
        <v>2930</v>
      </c>
      <c r="AC173" s="512" t="s">
        <v>2931</v>
      </c>
      <c r="AD173" s="512" t="s">
        <v>2932</v>
      </c>
      <c r="AE173" s="513"/>
      <c r="AF173" s="12"/>
      <c r="AG173" s="502">
        <f t="shared" si="5"/>
        <v>8</v>
      </c>
    </row>
    <row r="174" hidden="1">
      <c r="A174" s="510" t="s">
        <v>2933</v>
      </c>
      <c r="B174" s="510" t="s">
        <v>2934</v>
      </c>
      <c r="C174" s="511">
        <v>45970.46604166667</v>
      </c>
      <c r="D174" s="510" t="s">
        <v>1435</v>
      </c>
      <c r="E174" s="510" t="b">
        <v>1</v>
      </c>
      <c r="F174" s="510" t="b">
        <v>1</v>
      </c>
      <c r="G174" s="510" t="s">
        <v>1436</v>
      </c>
      <c r="H174" s="510" t="b">
        <v>1</v>
      </c>
      <c r="I174" s="510" t="s">
        <v>1437</v>
      </c>
      <c r="J174" s="510" t="b">
        <v>1</v>
      </c>
      <c r="K174" s="494" t="s">
        <v>478</v>
      </c>
      <c r="L174" s="512" t="s">
        <v>449</v>
      </c>
      <c r="M174" s="510">
        <v>8.0</v>
      </c>
      <c r="N174" s="510">
        <v>7.0</v>
      </c>
      <c r="O174" s="510">
        <v>9.0</v>
      </c>
      <c r="P174" s="512" t="s">
        <v>2935</v>
      </c>
      <c r="Q174" s="510">
        <v>9.0</v>
      </c>
      <c r="R174" s="510">
        <v>9.0</v>
      </c>
      <c r="S174" s="510">
        <v>8.0</v>
      </c>
      <c r="T174" s="512" t="s">
        <v>2936</v>
      </c>
      <c r="U174" s="510">
        <v>6.0</v>
      </c>
      <c r="V174" s="510">
        <v>9.0</v>
      </c>
      <c r="W174" s="510">
        <v>7.0</v>
      </c>
      <c r="X174" s="512" t="s">
        <v>2937</v>
      </c>
      <c r="Y174" s="510">
        <v>8.0</v>
      </c>
      <c r="Z174" s="510">
        <v>6.0</v>
      </c>
      <c r="AA174" s="510">
        <v>9.0</v>
      </c>
      <c r="AB174" s="512" t="s">
        <v>2938</v>
      </c>
      <c r="AC174" s="512" t="s">
        <v>2939</v>
      </c>
      <c r="AD174" s="512" t="s">
        <v>2940</v>
      </c>
      <c r="AE174" s="513"/>
      <c r="AF174" s="12"/>
      <c r="AG174" s="502">
        <f t="shared" si="5"/>
        <v>7.916666667</v>
      </c>
    </row>
    <row r="175" hidden="1">
      <c r="A175" s="510" t="s">
        <v>2941</v>
      </c>
      <c r="B175" s="510" t="s">
        <v>2796</v>
      </c>
      <c r="C175" s="511">
        <v>45997.626851851855</v>
      </c>
      <c r="D175" s="510" t="s">
        <v>1435</v>
      </c>
      <c r="E175" s="510" t="b">
        <v>1</v>
      </c>
      <c r="F175" s="510" t="b">
        <v>1</v>
      </c>
      <c r="G175" s="510" t="s">
        <v>1436</v>
      </c>
      <c r="H175" s="510" t="b">
        <v>1</v>
      </c>
      <c r="I175" s="510" t="s">
        <v>1437</v>
      </c>
      <c r="J175" s="510" t="b">
        <v>1</v>
      </c>
      <c r="K175" s="494" t="s">
        <v>1346</v>
      </c>
      <c r="L175" s="512" t="s">
        <v>449</v>
      </c>
      <c r="M175" s="510">
        <v>6.0</v>
      </c>
      <c r="N175" s="510">
        <v>6.0</v>
      </c>
      <c r="O175" s="510">
        <v>8.0</v>
      </c>
      <c r="P175" s="512" t="s">
        <v>2942</v>
      </c>
      <c r="Q175" s="510">
        <v>8.0</v>
      </c>
      <c r="R175" s="510">
        <v>9.0</v>
      </c>
      <c r="S175" s="510">
        <v>9.0</v>
      </c>
      <c r="T175" s="512" t="s">
        <v>2943</v>
      </c>
      <c r="U175" s="510">
        <v>6.0</v>
      </c>
      <c r="V175" s="510">
        <v>7.0</v>
      </c>
      <c r="W175" s="510">
        <v>9.0</v>
      </c>
      <c r="X175" s="512" t="s">
        <v>2944</v>
      </c>
      <c r="Y175" s="510">
        <v>9.0</v>
      </c>
      <c r="Z175" s="510">
        <v>7.0</v>
      </c>
      <c r="AA175" s="510">
        <v>9.0</v>
      </c>
      <c r="AB175" s="512" t="s">
        <v>2945</v>
      </c>
      <c r="AC175" s="512" t="s">
        <v>2946</v>
      </c>
      <c r="AD175" s="512" t="s">
        <v>38</v>
      </c>
      <c r="AE175" s="501"/>
      <c r="AF175" s="12"/>
      <c r="AG175" s="502">
        <f t="shared" si="5"/>
        <v>7.75</v>
      </c>
    </row>
    <row r="176" hidden="1">
      <c r="A176" s="510" t="s">
        <v>2947</v>
      </c>
      <c r="B176" s="510" t="s">
        <v>2948</v>
      </c>
      <c r="C176" s="511">
        <v>45997.684583333335</v>
      </c>
      <c r="D176" s="510" t="s">
        <v>1435</v>
      </c>
      <c r="E176" s="510" t="b">
        <v>1</v>
      </c>
      <c r="F176" s="510" t="b">
        <v>1</v>
      </c>
      <c r="G176" s="510" t="s">
        <v>1436</v>
      </c>
      <c r="H176" s="510" t="b">
        <v>1</v>
      </c>
      <c r="I176" s="510" t="s">
        <v>1437</v>
      </c>
      <c r="J176" s="510" t="b">
        <v>1</v>
      </c>
      <c r="K176" s="494" t="s">
        <v>2949</v>
      </c>
      <c r="L176" s="512" t="s">
        <v>449</v>
      </c>
      <c r="M176" s="510">
        <v>7.0</v>
      </c>
      <c r="N176" s="510">
        <v>6.0</v>
      </c>
      <c r="O176" s="510">
        <v>8.0</v>
      </c>
      <c r="P176" s="512" t="s">
        <v>2950</v>
      </c>
      <c r="Q176" s="510">
        <v>6.0</v>
      </c>
      <c r="R176" s="510">
        <v>8.0</v>
      </c>
      <c r="S176" s="510">
        <v>9.0</v>
      </c>
      <c r="T176" s="512" t="s">
        <v>2951</v>
      </c>
      <c r="U176" s="510">
        <v>6.0</v>
      </c>
      <c r="V176" s="510">
        <v>7.0</v>
      </c>
      <c r="W176" s="510">
        <v>7.0</v>
      </c>
      <c r="X176" s="512" t="s">
        <v>951</v>
      </c>
      <c r="Y176" s="510">
        <v>9.0</v>
      </c>
      <c r="Z176" s="510">
        <v>6.0</v>
      </c>
      <c r="AA176" s="510">
        <v>8.0</v>
      </c>
      <c r="AB176" s="512" t="s">
        <v>951</v>
      </c>
      <c r="AC176" s="512" t="s">
        <v>2952</v>
      </c>
      <c r="AD176" s="512" t="s">
        <v>2953</v>
      </c>
      <c r="AE176" s="18" t="s">
        <v>2954</v>
      </c>
      <c r="AF176" s="12"/>
      <c r="AG176" s="502">
        <f t="shared" si="5"/>
        <v>7.25</v>
      </c>
    </row>
    <row r="177" hidden="1">
      <c r="A177" s="510" t="s">
        <v>2955</v>
      </c>
      <c r="B177" s="510" t="s">
        <v>2956</v>
      </c>
      <c r="C177" s="511">
        <v>45982.871354166666</v>
      </c>
      <c r="D177" s="510" t="s">
        <v>1435</v>
      </c>
      <c r="E177" s="510" t="b">
        <v>1</v>
      </c>
      <c r="F177" s="510" t="b">
        <v>1</v>
      </c>
      <c r="G177" s="510" t="s">
        <v>1436</v>
      </c>
      <c r="H177" s="510" t="b">
        <v>1</v>
      </c>
      <c r="I177" s="510" t="s">
        <v>1437</v>
      </c>
      <c r="J177" s="510" t="b">
        <v>1</v>
      </c>
      <c r="K177" s="494" t="s">
        <v>448</v>
      </c>
      <c r="L177" s="512" t="s">
        <v>449</v>
      </c>
      <c r="M177" s="510">
        <v>7.0</v>
      </c>
      <c r="N177" s="510">
        <v>6.0</v>
      </c>
      <c r="O177" s="510">
        <v>6.0</v>
      </c>
      <c r="P177" s="512" t="s">
        <v>2957</v>
      </c>
      <c r="Q177" s="510">
        <v>9.0</v>
      </c>
      <c r="R177" s="510">
        <v>7.0</v>
      </c>
      <c r="S177" s="510">
        <v>9.0</v>
      </c>
      <c r="T177" s="512" t="s">
        <v>2958</v>
      </c>
      <c r="U177" s="510">
        <v>6.0</v>
      </c>
      <c r="V177" s="510">
        <v>6.0</v>
      </c>
      <c r="W177" s="510">
        <v>5.0</v>
      </c>
      <c r="X177" s="512" t="s">
        <v>2959</v>
      </c>
      <c r="Y177" s="510">
        <v>7.0</v>
      </c>
      <c r="Z177" s="510">
        <v>5.0</v>
      </c>
      <c r="AA177" s="510">
        <v>9.0</v>
      </c>
      <c r="AB177" s="512" t="s">
        <v>2960</v>
      </c>
      <c r="AC177" s="512" t="s">
        <v>2961</v>
      </c>
      <c r="AD177" s="512" t="s">
        <v>2962</v>
      </c>
      <c r="AE177" s="18" t="s">
        <v>2963</v>
      </c>
      <c r="AF177" s="12"/>
      <c r="AG177" s="502">
        <f t="shared" si="5"/>
        <v>6.833333333</v>
      </c>
    </row>
    <row r="178" hidden="1">
      <c r="A178" s="510" t="s">
        <v>2964</v>
      </c>
      <c r="B178" s="510" t="s">
        <v>2965</v>
      </c>
      <c r="C178" s="511">
        <v>45997.61729166667</v>
      </c>
      <c r="D178" s="510" t="s">
        <v>1435</v>
      </c>
      <c r="E178" s="510" t="b">
        <v>1</v>
      </c>
      <c r="F178" s="510" t="b">
        <v>1</v>
      </c>
      <c r="G178" s="510" t="s">
        <v>1436</v>
      </c>
      <c r="H178" s="510" t="b">
        <v>1</v>
      </c>
      <c r="I178" s="510" t="s">
        <v>1437</v>
      </c>
      <c r="J178" s="510" t="b">
        <v>1</v>
      </c>
      <c r="K178" s="494" t="s">
        <v>2966</v>
      </c>
      <c r="L178" s="512" t="s">
        <v>373</v>
      </c>
      <c r="M178" s="510">
        <v>7.0</v>
      </c>
      <c r="N178" s="510">
        <v>9.0</v>
      </c>
      <c r="O178" s="510">
        <v>6.0</v>
      </c>
      <c r="P178" s="512" t="s">
        <v>2967</v>
      </c>
      <c r="Q178" s="510">
        <v>9.0</v>
      </c>
      <c r="R178" s="510">
        <v>9.0</v>
      </c>
      <c r="S178" s="510">
        <v>9.0</v>
      </c>
      <c r="T178" s="512" t="s">
        <v>2968</v>
      </c>
      <c r="U178" s="510">
        <v>9.0</v>
      </c>
      <c r="V178" s="510">
        <v>9.0</v>
      </c>
      <c r="W178" s="510">
        <v>9.0</v>
      </c>
      <c r="X178" s="512" t="s">
        <v>2969</v>
      </c>
      <c r="Y178" s="510">
        <v>9.0</v>
      </c>
      <c r="Z178" s="510">
        <v>9.0</v>
      </c>
      <c r="AA178" s="510">
        <v>9.0</v>
      </c>
      <c r="AB178" s="512" t="s">
        <v>2970</v>
      </c>
      <c r="AC178" s="512" t="s">
        <v>2971</v>
      </c>
      <c r="AD178" s="512" t="s">
        <v>2972</v>
      </c>
      <c r="AE178" s="513"/>
      <c r="AF178" s="12"/>
      <c r="AG178" s="502">
        <f t="shared" si="5"/>
        <v>8.583333333</v>
      </c>
    </row>
    <row r="179" hidden="1">
      <c r="A179" s="510" t="s">
        <v>2973</v>
      </c>
      <c r="B179" s="510" t="s">
        <v>2974</v>
      </c>
      <c r="C179" s="511">
        <v>45997.967835648145</v>
      </c>
      <c r="D179" s="510" t="s">
        <v>1435</v>
      </c>
      <c r="E179" s="510" t="b">
        <v>1</v>
      </c>
      <c r="F179" s="510" t="b">
        <v>1</v>
      </c>
      <c r="G179" s="510" t="s">
        <v>1436</v>
      </c>
      <c r="H179" s="510" t="b">
        <v>1</v>
      </c>
      <c r="I179" s="510" t="s">
        <v>1437</v>
      </c>
      <c r="J179" s="510" t="b">
        <v>1</v>
      </c>
      <c r="K179" s="494" t="s">
        <v>2975</v>
      </c>
      <c r="L179" s="512" t="s">
        <v>1715</v>
      </c>
      <c r="M179" s="510">
        <v>7.0</v>
      </c>
      <c r="N179" s="510">
        <v>9.0</v>
      </c>
      <c r="O179" s="510">
        <v>9.0</v>
      </c>
      <c r="P179" s="512" t="s">
        <v>2976</v>
      </c>
      <c r="Q179" s="510">
        <v>9.0</v>
      </c>
      <c r="R179" s="510">
        <v>9.0</v>
      </c>
      <c r="S179" s="510">
        <v>9.0</v>
      </c>
      <c r="T179" s="512" t="s">
        <v>2977</v>
      </c>
      <c r="U179" s="510">
        <v>7.0</v>
      </c>
      <c r="V179" s="510">
        <v>9.0</v>
      </c>
      <c r="W179" s="510">
        <v>7.0</v>
      </c>
      <c r="X179" s="512" t="s">
        <v>2978</v>
      </c>
      <c r="Y179" s="510">
        <v>9.0</v>
      </c>
      <c r="Z179" s="510">
        <v>6.0</v>
      </c>
      <c r="AA179" s="510">
        <v>9.0</v>
      </c>
      <c r="AB179" s="512" t="s">
        <v>2979</v>
      </c>
      <c r="AC179" s="512" t="s">
        <v>2980</v>
      </c>
      <c r="AD179" s="512" t="s">
        <v>2981</v>
      </c>
      <c r="AE179" s="513"/>
      <c r="AF179" s="12"/>
      <c r="AG179" s="502">
        <f t="shared" si="5"/>
        <v>8.25</v>
      </c>
    </row>
    <row r="180" hidden="1">
      <c r="A180" s="510" t="s">
        <v>2982</v>
      </c>
      <c r="B180" s="510" t="s">
        <v>1707</v>
      </c>
      <c r="C180" s="511">
        <v>45974.31178240741</v>
      </c>
      <c r="D180" s="510" t="s">
        <v>1435</v>
      </c>
      <c r="E180" s="510" t="b">
        <v>1</v>
      </c>
      <c r="F180" s="510" t="b">
        <v>1</v>
      </c>
      <c r="G180" s="510" t="s">
        <v>1436</v>
      </c>
      <c r="H180" s="510" t="b">
        <v>1</v>
      </c>
      <c r="I180" s="510" t="s">
        <v>1437</v>
      </c>
      <c r="J180" s="510" t="b">
        <v>1</v>
      </c>
      <c r="K180" s="494" t="s">
        <v>1275</v>
      </c>
      <c r="L180" s="512" t="s">
        <v>1715</v>
      </c>
      <c r="M180" s="510">
        <v>9.0</v>
      </c>
      <c r="N180" s="510">
        <v>7.0</v>
      </c>
      <c r="O180" s="510">
        <v>9.0</v>
      </c>
      <c r="P180" s="512" t="s">
        <v>2983</v>
      </c>
      <c r="Q180" s="510">
        <v>9.0</v>
      </c>
      <c r="R180" s="510">
        <v>9.0</v>
      </c>
      <c r="S180" s="510">
        <v>8.0</v>
      </c>
      <c r="T180" s="512" t="s">
        <v>2984</v>
      </c>
      <c r="U180" s="510">
        <v>9.0</v>
      </c>
      <c r="V180" s="510">
        <v>9.0</v>
      </c>
      <c r="W180" s="510">
        <v>8.0</v>
      </c>
      <c r="X180" s="512" t="s">
        <v>2984</v>
      </c>
      <c r="Y180" s="510">
        <v>7.0</v>
      </c>
      <c r="Z180" s="510">
        <v>6.0</v>
      </c>
      <c r="AA180" s="510">
        <v>9.0</v>
      </c>
      <c r="AB180" s="512" t="s">
        <v>2984</v>
      </c>
      <c r="AC180" s="512" t="s">
        <v>2985</v>
      </c>
      <c r="AD180" s="512" t="s">
        <v>2986</v>
      </c>
      <c r="AE180" s="18" t="s">
        <v>2984</v>
      </c>
      <c r="AF180" s="12"/>
      <c r="AG180" s="502">
        <f t="shared" si="5"/>
        <v>8.25</v>
      </c>
    </row>
    <row r="181" hidden="1">
      <c r="A181" s="510" t="s">
        <v>2987</v>
      </c>
      <c r="B181" s="510" t="s">
        <v>2988</v>
      </c>
      <c r="C181" s="511">
        <v>45970.75965277778</v>
      </c>
      <c r="D181" s="510" t="s">
        <v>1435</v>
      </c>
      <c r="E181" s="510" t="b">
        <v>1</v>
      </c>
      <c r="F181" s="510" t="b">
        <v>1</v>
      </c>
      <c r="G181" s="510" t="s">
        <v>1436</v>
      </c>
      <c r="H181" s="510" t="b">
        <v>1</v>
      </c>
      <c r="I181" s="510" t="s">
        <v>1437</v>
      </c>
      <c r="J181" s="510" t="b">
        <v>1</v>
      </c>
      <c r="K181" s="494" t="s">
        <v>2989</v>
      </c>
      <c r="L181" s="512" t="s">
        <v>537</v>
      </c>
      <c r="M181" s="510">
        <v>9.0</v>
      </c>
      <c r="N181" s="510">
        <v>9.0</v>
      </c>
      <c r="O181" s="510">
        <v>9.0</v>
      </c>
      <c r="P181" s="512" t="s">
        <v>2990</v>
      </c>
      <c r="Q181" s="510">
        <v>9.0</v>
      </c>
      <c r="R181" s="510">
        <v>9.0</v>
      </c>
      <c r="S181" s="510">
        <v>9.0</v>
      </c>
      <c r="T181" s="512" t="s">
        <v>2991</v>
      </c>
      <c r="U181" s="510">
        <v>9.0</v>
      </c>
      <c r="V181" s="510">
        <v>9.0</v>
      </c>
      <c r="W181" s="510">
        <v>9.0</v>
      </c>
      <c r="X181" s="512" t="s">
        <v>2992</v>
      </c>
      <c r="Y181" s="510">
        <v>9.0</v>
      </c>
      <c r="Z181" s="510">
        <v>9.0</v>
      </c>
      <c r="AA181" s="510">
        <v>9.0</v>
      </c>
      <c r="AB181" s="512" t="s">
        <v>2993</v>
      </c>
      <c r="AC181" s="512" t="s">
        <v>2994</v>
      </c>
      <c r="AD181" s="512" t="s">
        <v>2995</v>
      </c>
      <c r="AE181" s="513"/>
      <c r="AF181" s="12"/>
      <c r="AG181" s="502">
        <f t="shared" si="5"/>
        <v>9</v>
      </c>
    </row>
    <row r="182" hidden="1">
      <c r="A182" s="510" t="s">
        <v>2996</v>
      </c>
      <c r="B182" s="510" t="s">
        <v>2997</v>
      </c>
      <c r="C182" s="511">
        <v>45997.650416666664</v>
      </c>
      <c r="D182" s="510" t="s">
        <v>1435</v>
      </c>
      <c r="E182" s="510" t="b">
        <v>1</v>
      </c>
      <c r="F182" s="510" t="b">
        <v>1</v>
      </c>
      <c r="G182" s="510" t="s">
        <v>1436</v>
      </c>
      <c r="H182" s="510" t="b">
        <v>1</v>
      </c>
      <c r="I182" s="510" t="s">
        <v>1437</v>
      </c>
      <c r="J182" s="510" t="b">
        <v>1</v>
      </c>
      <c r="K182" s="494" t="s">
        <v>2998</v>
      </c>
      <c r="L182" s="512" t="s">
        <v>537</v>
      </c>
      <c r="M182" s="510">
        <v>9.0</v>
      </c>
      <c r="N182" s="510">
        <v>9.0</v>
      </c>
      <c r="O182" s="510">
        <v>9.0</v>
      </c>
      <c r="P182" s="512" t="s">
        <v>2999</v>
      </c>
      <c r="Q182" s="510">
        <v>9.0</v>
      </c>
      <c r="R182" s="510">
        <v>9.0</v>
      </c>
      <c r="S182" s="510">
        <v>9.0</v>
      </c>
      <c r="T182" s="512" t="s">
        <v>3000</v>
      </c>
      <c r="U182" s="510">
        <v>7.0</v>
      </c>
      <c r="V182" s="510">
        <v>9.0</v>
      </c>
      <c r="W182" s="510">
        <v>9.0</v>
      </c>
      <c r="X182" s="512" t="s">
        <v>3001</v>
      </c>
      <c r="Y182" s="510">
        <v>9.0</v>
      </c>
      <c r="Z182" s="510">
        <v>9.0</v>
      </c>
      <c r="AA182" s="510">
        <v>9.0</v>
      </c>
      <c r="AB182" s="512" t="s">
        <v>3002</v>
      </c>
      <c r="AC182" s="512" t="s">
        <v>3003</v>
      </c>
      <c r="AD182" s="512" t="s">
        <v>3004</v>
      </c>
      <c r="AE182" s="18" t="s">
        <v>3005</v>
      </c>
      <c r="AF182" s="12"/>
      <c r="AG182" s="502">
        <f t="shared" si="5"/>
        <v>8.833333333</v>
      </c>
    </row>
    <row r="183" hidden="1">
      <c r="A183" s="510" t="s">
        <v>3006</v>
      </c>
      <c r="B183" s="510" t="s">
        <v>572</v>
      </c>
      <c r="C183" s="511">
        <v>45970.381898148145</v>
      </c>
      <c r="D183" s="510" t="s">
        <v>1435</v>
      </c>
      <c r="E183" s="510" t="b">
        <v>1</v>
      </c>
      <c r="F183" s="510" t="b">
        <v>1</v>
      </c>
      <c r="G183" s="510" t="s">
        <v>1436</v>
      </c>
      <c r="H183" s="510" t="b">
        <v>1</v>
      </c>
      <c r="I183" s="510" t="s">
        <v>1437</v>
      </c>
      <c r="J183" s="510" t="b">
        <v>1</v>
      </c>
      <c r="K183" s="494" t="s">
        <v>573</v>
      </c>
      <c r="L183" s="512" t="s">
        <v>537</v>
      </c>
      <c r="M183" s="510">
        <v>9.0</v>
      </c>
      <c r="N183" s="510">
        <v>9.0</v>
      </c>
      <c r="O183" s="510">
        <v>9.0</v>
      </c>
      <c r="P183" s="512" t="s">
        <v>3007</v>
      </c>
      <c r="Q183" s="510">
        <v>9.0</v>
      </c>
      <c r="R183" s="510">
        <v>9.0</v>
      </c>
      <c r="S183" s="510">
        <v>9.0</v>
      </c>
      <c r="T183" s="512" t="s">
        <v>3008</v>
      </c>
      <c r="U183" s="510">
        <v>8.0</v>
      </c>
      <c r="V183" s="510">
        <v>6.0</v>
      </c>
      <c r="W183" s="510">
        <v>9.0</v>
      </c>
      <c r="X183" s="512" t="s">
        <v>3009</v>
      </c>
      <c r="Y183" s="510">
        <v>9.0</v>
      </c>
      <c r="Z183" s="510">
        <v>7.0</v>
      </c>
      <c r="AA183" s="510">
        <v>9.0</v>
      </c>
      <c r="AB183" s="512" t="s">
        <v>3010</v>
      </c>
      <c r="AC183" s="512" t="s">
        <v>3011</v>
      </c>
      <c r="AD183" s="512" t="s">
        <v>3012</v>
      </c>
      <c r="AE183" s="501"/>
      <c r="AF183" s="12"/>
      <c r="AG183" s="502">
        <f t="shared" si="5"/>
        <v>8.5</v>
      </c>
    </row>
    <row r="184" hidden="1">
      <c r="A184" s="510" t="s">
        <v>3013</v>
      </c>
      <c r="B184" s="510" t="s">
        <v>3014</v>
      </c>
      <c r="C184" s="511">
        <v>45998.6093287037</v>
      </c>
      <c r="D184" s="510" t="s">
        <v>1435</v>
      </c>
      <c r="E184" s="510" t="b">
        <v>1</v>
      </c>
      <c r="F184" s="510" t="b">
        <v>1</v>
      </c>
      <c r="G184" s="510" t="s">
        <v>1436</v>
      </c>
      <c r="H184" s="510" t="b">
        <v>1</v>
      </c>
      <c r="I184" s="510" t="s">
        <v>1437</v>
      </c>
      <c r="J184" s="510" t="b">
        <v>1</v>
      </c>
      <c r="K184" s="494" t="s">
        <v>3015</v>
      </c>
      <c r="L184" s="512" t="s">
        <v>537</v>
      </c>
      <c r="M184" s="510">
        <v>9.0</v>
      </c>
      <c r="N184" s="510">
        <v>9.0</v>
      </c>
      <c r="O184" s="510">
        <v>9.0</v>
      </c>
      <c r="P184" s="512" t="s">
        <v>3016</v>
      </c>
      <c r="Q184" s="510">
        <v>9.0</v>
      </c>
      <c r="R184" s="510">
        <v>9.0</v>
      </c>
      <c r="S184" s="510">
        <v>9.0</v>
      </c>
      <c r="T184" s="512" t="s">
        <v>3017</v>
      </c>
      <c r="U184" s="510">
        <v>7.0</v>
      </c>
      <c r="V184" s="510">
        <v>9.0</v>
      </c>
      <c r="W184" s="510">
        <v>7.0</v>
      </c>
      <c r="X184" s="512" t="s">
        <v>3018</v>
      </c>
      <c r="Y184" s="510">
        <v>7.0</v>
      </c>
      <c r="Z184" s="510">
        <v>9.0</v>
      </c>
      <c r="AA184" s="510">
        <v>9.0</v>
      </c>
      <c r="AB184" s="512" t="s">
        <v>3019</v>
      </c>
      <c r="AC184" s="512" t="s">
        <v>3020</v>
      </c>
      <c r="AD184" s="512" t="s">
        <v>3021</v>
      </c>
      <c r="AE184" s="512" t="s">
        <v>553</v>
      </c>
      <c r="AF184" s="12"/>
      <c r="AG184" s="502">
        <f t="shared" si="5"/>
        <v>8.5</v>
      </c>
    </row>
    <row r="185" hidden="1">
      <c r="A185" s="510" t="s">
        <v>3022</v>
      </c>
      <c r="B185" s="510" t="s">
        <v>3023</v>
      </c>
      <c r="C185" s="511">
        <v>45966.476018518515</v>
      </c>
      <c r="D185" s="510" t="s">
        <v>1435</v>
      </c>
      <c r="E185" s="510" t="b">
        <v>1</v>
      </c>
      <c r="F185" s="510" t="b">
        <v>1</v>
      </c>
      <c r="G185" s="510" t="s">
        <v>1436</v>
      </c>
      <c r="H185" s="510" t="b">
        <v>1</v>
      </c>
      <c r="I185" s="510" t="s">
        <v>1437</v>
      </c>
      <c r="J185" s="510" t="b">
        <v>1</v>
      </c>
      <c r="K185" s="494" t="s">
        <v>881</v>
      </c>
      <c r="L185" s="512" t="s">
        <v>537</v>
      </c>
      <c r="M185" s="510">
        <v>8.0</v>
      </c>
      <c r="N185" s="510">
        <v>8.0</v>
      </c>
      <c r="O185" s="510">
        <v>8.0</v>
      </c>
      <c r="P185" s="512" t="s">
        <v>3024</v>
      </c>
      <c r="Q185" s="510">
        <v>8.0</v>
      </c>
      <c r="R185" s="510">
        <v>8.0</v>
      </c>
      <c r="S185" s="510">
        <v>8.0</v>
      </c>
      <c r="T185" s="512" t="s">
        <v>3025</v>
      </c>
      <c r="U185" s="510">
        <v>8.0</v>
      </c>
      <c r="V185" s="510">
        <v>8.0</v>
      </c>
      <c r="W185" s="510">
        <v>8.0</v>
      </c>
      <c r="X185" s="512" t="s">
        <v>3026</v>
      </c>
      <c r="Y185" s="510">
        <v>8.0</v>
      </c>
      <c r="Z185" s="510">
        <v>8.0</v>
      </c>
      <c r="AA185" s="510">
        <v>8.0</v>
      </c>
      <c r="AB185" s="512" t="s">
        <v>3027</v>
      </c>
      <c r="AC185" s="512" t="s">
        <v>3028</v>
      </c>
      <c r="AD185" s="512" t="s">
        <v>3029</v>
      </c>
      <c r="AE185" s="512" t="s">
        <v>3030</v>
      </c>
      <c r="AF185" s="12"/>
      <c r="AG185" s="502">
        <f t="shared" si="5"/>
        <v>8</v>
      </c>
    </row>
    <row r="186" hidden="1">
      <c r="A186" s="510" t="s">
        <v>3031</v>
      </c>
      <c r="B186" s="510" t="s">
        <v>3032</v>
      </c>
      <c r="C186" s="511">
        <v>45984.87101851852</v>
      </c>
      <c r="D186" s="510" t="s">
        <v>1435</v>
      </c>
      <c r="E186" s="510" t="b">
        <v>1</v>
      </c>
      <c r="F186" s="510" t="b">
        <v>1</v>
      </c>
      <c r="G186" s="510" t="s">
        <v>1436</v>
      </c>
      <c r="H186" s="510" t="b">
        <v>1</v>
      </c>
      <c r="I186" s="510" t="s">
        <v>1437</v>
      </c>
      <c r="J186" s="510" t="b">
        <v>1</v>
      </c>
      <c r="K186" s="494" t="s">
        <v>1382</v>
      </c>
      <c r="L186" s="512" t="s">
        <v>867</v>
      </c>
      <c r="M186" s="510">
        <v>9.0</v>
      </c>
      <c r="N186" s="510">
        <v>9.0</v>
      </c>
      <c r="O186" s="510">
        <v>9.0</v>
      </c>
      <c r="P186" s="512" t="s">
        <v>3033</v>
      </c>
      <c r="Q186" s="510">
        <v>9.0</v>
      </c>
      <c r="R186" s="510">
        <v>9.0</v>
      </c>
      <c r="S186" s="510">
        <v>9.0</v>
      </c>
      <c r="T186" s="512" t="s">
        <v>3034</v>
      </c>
      <c r="U186" s="510">
        <v>9.0</v>
      </c>
      <c r="V186" s="510">
        <v>9.0</v>
      </c>
      <c r="W186" s="510">
        <v>9.0</v>
      </c>
      <c r="X186" s="512" t="s">
        <v>3035</v>
      </c>
      <c r="Y186" s="510">
        <v>9.0</v>
      </c>
      <c r="Z186" s="510">
        <v>9.0</v>
      </c>
      <c r="AA186" s="510">
        <v>9.0</v>
      </c>
      <c r="AB186" s="512" t="s">
        <v>3036</v>
      </c>
      <c r="AC186" s="512" t="s">
        <v>3037</v>
      </c>
      <c r="AD186" s="512" t="s">
        <v>3038</v>
      </c>
      <c r="AE186" s="512" t="s">
        <v>3039</v>
      </c>
      <c r="AF186" s="12"/>
      <c r="AG186" s="502">
        <f t="shared" si="5"/>
        <v>9</v>
      </c>
    </row>
    <row r="187" hidden="1">
      <c r="A187" s="510" t="s">
        <v>3040</v>
      </c>
      <c r="B187" s="510" t="s">
        <v>3041</v>
      </c>
      <c r="C187" s="511">
        <v>45984.37260416667</v>
      </c>
      <c r="D187" s="510" t="s">
        <v>1435</v>
      </c>
      <c r="E187" s="510" t="b">
        <v>1</v>
      </c>
      <c r="F187" s="510" t="b">
        <v>1</v>
      </c>
      <c r="G187" s="510" t="s">
        <v>1436</v>
      </c>
      <c r="H187" s="510" t="b">
        <v>1</v>
      </c>
      <c r="I187" s="510" t="s">
        <v>1437</v>
      </c>
      <c r="J187" s="510" t="b">
        <v>1</v>
      </c>
      <c r="K187" s="494" t="s">
        <v>3042</v>
      </c>
      <c r="L187" s="512" t="s">
        <v>724</v>
      </c>
      <c r="M187" s="513"/>
      <c r="N187" s="513"/>
      <c r="O187" s="513"/>
      <c r="P187" s="512" t="s">
        <v>3043</v>
      </c>
      <c r="Q187" s="513"/>
      <c r="R187" s="513"/>
      <c r="S187" s="513"/>
      <c r="T187" s="512" t="s">
        <v>3044</v>
      </c>
      <c r="U187" s="513"/>
      <c r="V187" s="513"/>
      <c r="W187" s="513"/>
      <c r="X187" s="512" t="s">
        <v>110</v>
      </c>
      <c r="Y187" s="513"/>
      <c r="Z187" s="513"/>
      <c r="AA187" s="513"/>
      <c r="AB187" s="512" t="s">
        <v>110</v>
      </c>
      <c r="AC187" s="512" t="s">
        <v>110</v>
      </c>
      <c r="AD187" s="512" t="s">
        <v>110</v>
      </c>
      <c r="AE187" s="512" t="s">
        <v>3045</v>
      </c>
      <c r="AF187" s="12"/>
      <c r="AG187" s="502" t="str">
        <f t="shared" si="5"/>
        <v>#DIV/0!</v>
      </c>
    </row>
    <row r="188" hidden="1">
      <c r="A188" s="510" t="s">
        <v>3046</v>
      </c>
      <c r="B188" s="510" t="s">
        <v>3047</v>
      </c>
      <c r="C188" s="511">
        <v>45970.68545138889</v>
      </c>
      <c r="D188" s="510" t="s">
        <v>1435</v>
      </c>
      <c r="E188" s="510" t="b">
        <v>1</v>
      </c>
      <c r="F188" s="510" t="b">
        <v>1</v>
      </c>
      <c r="G188" s="510" t="s">
        <v>1436</v>
      </c>
      <c r="H188" s="510" t="b">
        <v>1</v>
      </c>
      <c r="I188" s="510" t="s">
        <v>1437</v>
      </c>
      <c r="J188" s="510" t="b">
        <v>1</v>
      </c>
      <c r="K188" s="494" t="s">
        <v>3048</v>
      </c>
      <c r="L188" s="512" t="s">
        <v>724</v>
      </c>
      <c r="M188" s="510">
        <v>9.0</v>
      </c>
      <c r="N188" s="510">
        <v>9.0</v>
      </c>
      <c r="O188" s="510">
        <v>9.0</v>
      </c>
      <c r="P188" s="512" t="s">
        <v>3049</v>
      </c>
      <c r="Q188" s="510">
        <v>9.0</v>
      </c>
      <c r="R188" s="510">
        <v>8.0</v>
      </c>
      <c r="S188" s="510">
        <v>9.0</v>
      </c>
      <c r="T188" s="512" t="s">
        <v>3050</v>
      </c>
      <c r="U188" s="510">
        <v>9.0</v>
      </c>
      <c r="V188" s="510">
        <v>9.0</v>
      </c>
      <c r="W188" s="510">
        <v>9.0</v>
      </c>
      <c r="X188" s="512" t="s">
        <v>3051</v>
      </c>
      <c r="Y188" s="510">
        <v>9.0</v>
      </c>
      <c r="Z188" s="510">
        <v>9.0</v>
      </c>
      <c r="AA188" s="510">
        <v>9.0</v>
      </c>
      <c r="AB188" s="512" t="s">
        <v>3052</v>
      </c>
      <c r="AC188" s="512" t="s">
        <v>3053</v>
      </c>
      <c r="AD188" s="512" t="s">
        <v>3054</v>
      </c>
      <c r="AE188" s="18" t="s">
        <v>3055</v>
      </c>
      <c r="AF188" s="12"/>
      <c r="AG188" s="502">
        <f t="shared" si="5"/>
        <v>8.916666667</v>
      </c>
    </row>
    <row r="189" hidden="1">
      <c r="A189" s="510" t="s">
        <v>3056</v>
      </c>
      <c r="B189" s="510" t="s">
        <v>3057</v>
      </c>
      <c r="C189" s="511">
        <v>45970.76474537037</v>
      </c>
      <c r="D189" s="510" t="s">
        <v>1435</v>
      </c>
      <c r="E189" s="510" t="b">
        <v>1</v>
      </c>
      <c r="F189" s="510" t="b">
        <v>1</v>
      </c>
      <c r="G189" s="510" t="s">
        <v>1436</v>
      </c>
      <c r="H189" s="510" t="b">
        <v>1</v>
      </c>
      <c r="I189" s="510" t="s">
        <v>1437</v>
      </c>
      <c r="J189" s="510" t="b">
        <v>1</v>
      </c>
      <c r="K189" s="494" t="s">
        <v>173</v>
      </c>
      <c r="L189" s="512" t="s">
        <v>724</v>
      </c>
      <c r="M189" s="510">
        <v>9.0</v>
      </c>
      <c r="N189" s="510">
        <v>9.0</v>
      </c>
      <c r="O189" s="510">
        <v>9.0</v>
      </c>
      <c r="P189" s="512" t="s">
        <v>3058</v>
      </c>
      <c r="Q189" s="510">
        <v>8.0</v>
      </c>
      <c r="R189" s="510">
        <v>7.0</v>
      </c>
      <c r="S189" s="510">
        <v>9.0</v>
      </c>
      <c r="T189" s="512" t="s">
        <v>3059</v>
      </c>
      <c r="U189" s="510">
        <v>9.0</v>
      </c>
      <c r="V189" s="510">
        <v>9.0</v>
      </c>
      <c r="W189" s="510">
        <v>9.0</v>
      </c>
      <c r="X189" s="512" t="s">
        <v>178</v>
      </c>
      <c r="Y189" s="510">
        <v>9.0</v>
      </c>
      <c r="Z189" s="510">
        <v>9.0</v>
      </c>
      <c r="AA189" s="510">
        <v>9.0</v>
      </c>
      <c r="AB189" s="512" t="s">
        <v>178</v>
      </c>
      <c r="AC189" s="512" t="s">
        <v>3060</v>
      </c>
      <c r="AD189" s="512" t="s">
        <v>3061</v>
      </c>
      <c r="AE189" s="18" t="s">
        <v>3062</v>
      </c>
      <c r="AF189" s="12"/>
      <c r="AG189" s="502">
        <f t="shared" si="5"/>
        <v>8.75</v>
      </c>
    </row>
    <row r="190" hidden="1">
      <c r="A190" s="510" t="s">
        <v>3063</v>
      </c>
      <c r="B190" s="510" t="s">
        <v>3064</v>
      </c>
      <c r="C190" s="511">
        <v>45998.059432870374</v>
      </c>
      <c r="D190" s="510" t="s">
        <v>1435</v>
      </c>
      <c r="E190" s="510" t="b">
        <v>1</v>
      </c>
      <c r="F190" s="510" t="b">
        <v>1</v>
      </c>
      <c r="G190" s="510" t="s">
        <v>1436</v>
      </c>
      <c r="H190" s="510" t="b">
        <v>1</v>
      </c>
      <c r="I190" s="510" t="s">
        <v>1437</v>
      </c>
      <c r="J190" s="510" t="b">
        <v>1</v>
      </c>
      <c r="K190" s="494" t="s">
        <v>3065</v>
      </c>
      <c r="L190" s="512" t="s">
        <v>724</v>
      </c>
      <c r="M190" s="510">
        <v>9.0</v>
      </c>
      <c r="N190" s="510">
        <v>9.0</v>
      </c>
      <c r="O190" s="510">
        <v>9.0</v>
      </c>
      <c r="P190" s="512" t="s">
        <v>3066</v>
      </c>
      <c r="Q190" s="510">
        <v>8.0</v>
      </c>
      <c r="R190" s="510">
        <v>9.0</v>
      </c>
      <c r="S190" s="510">
        <v>9.0</v>
      </c>
      <c r="T190" s="512" t="s">
        <v>3067</v>
      </c>
      <c r="U190" s="510">
        <v>9.0</v>
      </c>
      <c r="V190" s="510">
        <v>7.0</v>
      </c>
      <c r="W190" s="510">
        <v>7.0</v>
      </c>
      <c r="X190" s="512" t="s">
        <v>3068</v>
      </c>
      <c r="Y190" s="510">
        <v>9.0</v>
      </c>
      <c r="Z190" s="510">
        <v>7.0</v>
      </c>
      <c r="AA190" s="510">
        <v>9.0</v>
      </c>
      <c r="AB190" s="512" t="s">
        <v>3069</v>
      </c>
      <c r="AC190" s="512" t="s">
        <v>3070</v>
      </c>
      <c r="AD190" s="512" t="s">
        <v>3071</v>
      </c>
      <c r="AE190" s="512" t="s">
        <v>3072</v>
      </c>
      <c r="AF190" s="12"/>
      <c r="AG190" s="502">
        <f t="shared" si="5"/>
        <v>8.416666667</v>
      </c>
    </row>
    <row r="191" hidden="1">
      <c r="A191" s="510" t="s">
        <v>3073</v>
      </c>
      <c r="B191" s="510" t="s">
        <v>3074</v>
      </c>
      <c r="C191" s="511">
        <v>45997.61892361111</v>
      </c>
      <c r="D191" s="510" t="s">
        <v>1435</v>
      </c>
      <c r="E191" s="510" t="b">
        <v>1</v>
      </c>
      <c r="F191" s="510" t="b">
        <v>1</v>
      </c>
      <c r="G191" s="510" t="s">
        <v>1436</v>
      </c>
      <c r="H191" s="510" t="b">
        <v>1</v>
      </c>
      <c r="I191" s="510" t="s">
        <v>1437</v>
      </c>
      <c r="J191" s="510" t="b">
        <v>1</v>
      </c>
      <c r="K191" s="494" t="s">
        <v>3075</v>
      </c>
      <c r="L191" s="512" t="s">
        <v>724</v>
      </c>
      <c r="M191" s="510">
        <v>8.0</v>
      </c>
      <c r="N191" s="510">
        <v>9.0</v>
      </c>
      <c r="O191" s="510">
        <v>8.0</v>
      </c>
      <c r="P191" s="512" t="s">
        <v>3076</v>
      </c>
      <c r="Q191" s="510">
        <v>8.0</v>
      </c>
      <c r="R191" s="510">
        <v>8.0</v>
      </c>
      <c r="S191" s="510">
        <v>9.0</v>
      </c>
      <c r="T191" s="512" t="s">
        <v>3077</v>
      </c>
      <c r="U191" s="510">
        <v>7.0</v>
      </c>
      <c r="V191" s="510">
        <v>8.0</v>
      </c>
      <c r="W191" s="510">
        <v>8.0</v>
      </c>
      <c r="X191" s="512" t="s">
        <v>1517</v>
      </c>
      <c r="Y191" s="510">
        <v>9.0</v>
      </c>
      <c r="Z191" s="510">
        <v>6.0</v>
      </c>
      <c r="AA191" s="510">
        <v>8.0</v>
      </c>
      <c r="AB191" s="512" t="s">
        <v>3078</v>
      </c>
      <c r="AC191" s="512" t="s">
        <v>3079</v>
      </c>
      <c r="AD191" s="512" t="s">
        <v>1587</v>
      </c>
      <c r="AE191" s="513"/>
      <c r="AF191" s="12"/>
      <c r="AG191" s="502">
        <f t="shared" si="5"/>
        <v>8</v>
      </c>
    </row>
    <row r="192" hidden="1">
      <c r="A192" s="510" t="s">
        <v>3080</v>
      </c>
      <c r="B192" s="510" t="s">
        <v>3081</v>
      </c>
      <c r="C192" s="511">
        <v>45986.35870370371</v>
      </c>
      <c r="D192" s="510" t="s">
        <v>1435</v>
      </c>
      <c r="E192" s="510" t="b">
        <v>1</v>
      </c>
      <c r="F192" s="510" t="b">
        <v>1</v>
      </c>
      <c r="G192" s="510" t="s">
        <v>1436</v>
      </c>
      <c r="H192" s="510" t="b">
        <v>1</v>
      </c>
      <c r="I192" s="510" t="s">
        <v>1437</v>
      </c>
      <c r="J192" s="510" t="b">
        <v>1</v>
      </c>
      <c r="K192" s="494" t="s">
        <v>166</v>
      </c>
      <c r="L192" s="512" t="s">
        <v>724</v>
      </c>
      <c r="M192" s="510">
        <v>8.0</v>
      </c>
      <c r="N192" s="510">
        <v>7.0</v>
      </c>
      <c r="O192" s="510">
        <v>9.0</v>
      </c>
      <c r="P192" s="512" t="s">
        <v>3082</v>
      </c>
      <c r="Q192" s="510">
        <v>8.0</v>
      </c>
      <c r="R192" s="510">
        <v>8.0</v>
      </c>
      <c r="S192" s="510">
        <v>8.0</v>
      </c>
      <c r="T192" s="512" t="s">
        <v>3083</v>
      </c>
      <c r="U192" s="510">
        <v>8.0</v>
      </c>
      <c r="V192" s="510">
        <v>8.0</v>
      </c>
      <c r="W192" s="510">
        <v>8.0</v>
      </c>
      <c r="X192" s="512" t="s">
        <v>863</v>
      </c>
      <c r="Y192" s="510">
        <v>8.0</v>
      </c>
      <c r="Z192" s="510">
        <v>7.0</v>
      </c>
      <c r="AA192" s="510">
        <v>8.0</v>
      </c>
      <c r="AB192" s="512" t="s">
        <v>3084</v>
      </c>
      <c r="AC192" s="512" t="s">
        <v>3085</v>
      </c>
      <c r="AD192" s="512" t="s">
        <v>3086</v>
      </c>
      <c r="AE192" s="501"/>
      <c r="AF192" s="12"/>
      <c r="AG192" s="502">
        <f t="shared" si="5"/>
        <v>7.916666667</v>
      </c>
    </row>
    <row r="193" hidden="1">
      <c r="A193" s="510" t="s">
        <v>3087</v>
      </c>
      <c r="B193" s="510" t="s">
        <v>3088</v>
      </c>
      <c r="C193" s="511">
        <v>45984.63548611111</v>
      </c>
      <c r="D193" s="510" t="s">
        <v>1435</v>
      </c>
      <c r="E193" s="510" t="b">
        <v>1</v>
      </c>
      <c r="F193" s="510" t="b">
        <v>1</v>
      </c>
      <c r="G193" s="510" t="s">
        <v>1436</v>
      </c>
      <c r="H193" s="510" t="b">
        <v>1</v>
      </c>
      <c r="I193" s="510" t="s">
        <v>1437</v>
      </c>
      <c r="J193" s="510" t="b">
        <v>1</v>
      </c>
      <c r="K193" s="494" t="s">
        <v>1355</v>
      </c>
      <c r="L193" s="512" t="s">
        <v>724</v>
      </c>
      <c r="M193" s="510">
        <v>7.0</v>
      </c>
      <c r="N193" s="510">
        <v>8.0</v>
      </c>
      <c r="O193" s="510">
        <v>8.0</v>
      </c>
      <c r="P193" s="512" t="s">
        <v>3089</v>
      </c>
      <c r="Q193" s="510">
        <v>8.0</v>
      </c>
      <c r="R193" s="510">
        <v>7.0</v>
      </c>
      <c r="S193" s="510">
        <v>9.0</v>
      </c>
      <c r="T193" s="512" t="s">
        <v>3090</v>
      </c>
      <c r="U193" s="510">
        <v>6.0</v>
      </c>
      <c r="V193" s="510">
        <v>7.0</v>
      </c>
      <c r="W193" s="510">
        <v>7.0</v>
      </c>
      <c r="X193" s="512" t="s">
        <v>3091</v>
      </c>
      <c r="Y193" s="510">
        <v>6.0</v>
      </c>
      <c r="Z193" s="510">
        <v>9.0</v>
      </c>
      <c r="AA193" s="510">
        <v>9.0</v>
      </c>
      <c r="AB193" s="512" t="s">
        <v>3092</v>
      </c>
      <c r="AC193" s="512" t="s">
        <v>3093</v>
      </c>
      <c r="AD193" s="512" t="s">
        <v>3094</v>
      </c>
      <c r="AE193" s="512" t="s">
        <v>186</v>
      </c>
      <c r="AF193" s="12"/>
      <c r="AG193" s="502">
        <f t="shared" si="5"/>
        <v>7.583333333</v>
      </c>
    </row>
    <row r="194" hidden="1">
      <c r="A194" s="510" t="s">
        <v>3095</v>
      </c>
      <c r="B194" s="510" t="s">
        <v>3096</v>
      </c>
      <c r="C194" s="511">
        <v>45984.33068287037</v>
      </c>
      <c r="D194" s="510" t="s">
        <v>1435</v>
      </c>
      <c r="E194" s="510" t="b">
        <v>1</v>
      </c>
      <c r="F194" s="510" t="b">
        <v>1</v>
      </c>
      <c r="G194" s="510" t="s">
        <v>1436</v>
      </c>
      <c r="H194" s="510" t="b">
        <v>1</v>
      </c>
      <c r="I194" s="510" t="s">
        <v>1437</v>
      </c>
      <c r="J194" s="510" t="b">
        <v>1</v>
      </c>
      <c r="K194" s="494" t="s">
        <v>3097</v>
      </c>
      <c r="L194" s="512" t="s">
        <v>724</v>
      </c>
      <c r="M194" s="510">
        <v>7.0</v>
      </c>
      <c r="N194" s="510">
        <v>9.0</v>
      </c>
      <c r="O194" s="510">
        <v>9.0</v>
      </c>
      <c r="P194" s="512" t="s">
        <v>3098</v>
      </c>
      <c r="Q194" s="510">
        <v>7.0</v>
      </c>
      <c r="R194" s="510">
        <v>7.0</v>
      </c>
      <c r="S194" s="510">
        <v>9.0</v>
      </c>
      <c r="T194" s="512" t="s">
        <v>3099</v>
      </c>
      <c r="U194" s="510">
        <v>6.0</v>
      </c>
      <c r="V194" s="510">
        <v>8.0</v>
      </c>
      <c r="W194" s="510">
        <v>6.0</v>
      </c>
      <c r="X194" s="512" t="s">
        <v>3100</v>
      </c>
      <c r="Y194" s="510">
        <v>8.0</v>
      </c>
      <c r="Z194" s="510">
        <v>6.0</v>
      </c>
      <c r="AA194" s="510">
        <v>9.0</v>
      </c>
      <c r="AB194" s="512" t="s">
        <v>3101</v>
      </c>
      <c r="AC194" s="512" t="s">
        <v>3102</v>
      </c>
      <c r="AD194" s="512" t="s">
        <v>3103</v>
      </c>
      <c r="AE194" s="18" t="s">
        <v>154</v>
      </c>
      <c r="AF194" s="12"/>
      <c r="AG194" s="502">
        <f t="shared" si="5"/>
        <v>7.583333333</v>
      </c>
    </row>
    <row r="195" hidden="1">
      <c r="A195" s="510" t="s">
        <v>3104</v>
      </c>
      <c r="B195" s="510" t="s">
        <v>3105</v>
      </c>
      <c r="C195" s="511">
        <v>45997.647893518515</v>
      </c>
      <c r="D195" s="510" t="s">
        <v>1435</v>
      </c>
      <c r="E195" s="510" t="b">
        <v>1</v>
      </c>
      <c r="F195" s="510" t="b">
        <v>1</v>
      </c>
      <c r="G195" s="510" t="s">
        <v>1436</v>
      </c>
      <c r="H195" s="510" t="b">
        <v>1</v>
      </c>
      <c r="I195" s="510" t="s">
        <v>1437</v>
      </c>
      <c r="J195" s="510" t="b">
        <v>1</v>
      </c>
      <c r="K195" s="494" t="s">
        <v>3106</v>
      </c>
      <c r="L195" s="512" t="s">
        <v>724</v>
      </c>
      <c r="M195" s="510">
        <v>5.0</v>
      </c>
      <c r="N195" s="510">
        <v>6.0</v>
      </c>
      <c r="O195" s="510">
        <v>6.0</v>
      </c>
      <c r="P195" s="512" t="s">
        <v>3107</v>
      </c>
      <c r="Q195" s="510">
        <v>6.0</v>
      </c>
      <c r="R195" s="510">
        <v>7.0</v>
      </c>
      <c r="S195" s="510">
        <v>9.0</v>
      </c>
      <c r="T195" s="512" t="s">
        <v>3108</v>
      </c>
      <c r="U195" s="510">
        <v>3.0</v>
      </c>
      <c r="V195" s="510">
        <v>3.0</v>
      </c>
      <c r="W195" s="510">
        <v>6.0</v>
      </c>
      <c r="X195" s="512" t="s">
        <v>3109</v>
      </c>
      <c r="Y195" s="510">
        <v>7.0</v>
      </c>
      <c r="Z195" s="510">
        <v>4.0</v>
      </c>
      <c r="AA195" s="510">
        <v>4.0</v>
      </c>
      <c r="AB195" s="512" t="s">
        <v>3110</v>
      </c>
      <c r="AC195" s="512" t="s">
        <v>3111</v>
      </c>
      <c r="AD195" s="512" t="s">
        <v>3112</v>
      </c>
      <c r="AE195" s="512" t="s">
        <v>3113</v>
      </c>
      <c r="AF195" s="12"/>
      <c r="AG195" s="502">
        <f t="shared" si="5"/>
        <v>5.5</v>
      </c>
    </row>
    <row r="196" hidden="1">
      <c r="A196" s="510" t="s">
        <v>3114</v>
      </c>
      <c r="B196" s="510" t="s">
        <v>3115</v>
      </c>
      <c r="C196" s="511">
        <v>45998.516226851854</v>
      </c>
      <c r="D196" s="510" t="s">
        <v>1435</v>
      </c>
      <c r="E196" s="510" t="b">
        <v>1</v>
      </c>
      <c r="F196" s="510" t="b">
        <v>1</v>
      </c>
      <c r="G196" s="510" t="s">
        <v>1436</v>
      </c>
      <c r="H196" s="510" t="b">
        <v>1</v>
      </c>
      <c r="I196" s="510" t="s">
        <v>1437</v>
      </c>
      <c r="J196" s="510" t="b">
        <v>1</v>
      </c>
      <c r="K196" s="494" t="s">
        <v>3116</v>
      </c>
      <c r="L196" s="512" t="s">
        <v>3117</v>
      </c>
      <c r="M196" s="510">
        <v>9.0</v>
      </c>
      <c r="N196" s="510">
        <v>9.0</v>
      </c>
      <c r="O196" s="510">
        <v>9.0</v>
      </c>
      <c r="P196" s="512" t="s">
        <v>3118</v>
      </c>
      <c r="Q196" s="510">
        <v>9.0</v>
      </c>
      <c r="R196" s="510">
        <v>9.0</v>
      </c>
      <c r="S196" s="510">
        <v>9.0</v>
      </c>
      <c r="T196" s="512" t="s">
        <v>3119</v>
      </c>
      <c r="U196" s="510">
        <v>9.0</v>
      </c>
      <c r="V196" s="510">
        <v>7.0</v>
      </c>
      <c r="W196" s="510">
        <v>9.0</v>
      </c>
      <c r="X196" s="512" t="s">
        <v>3120</v>
      </c>
      <c r="Y196" s="510">
        <v>9.0</v>
      </c>
      <c r="Z196" s="510">
        <v>8.0</v>
      </c>
      <c r="AA196" s="510">
        <v>8.0</v>
      </c>
      <c r="AB196" s="512" t="s">
        <v>3121</v>
      </c>
      <c r="AC196" s="512" t="s">
        <v>3122</v>
      </c>
      <c r="AD196" s="512" t="s">
        <v>3123</v>
      </c>
      <c r="AE196" s="513"/>
      <c r="AF196" s="12"/>
      <c r="AG196" s="502">
        <f t="shared" si="5"/>
        <v>8.666666667</v>
      </c>
    </row>
    <row r="197" hidden="1">
      <c r="A197" s="510" t="s">
        <v>3124</v>
      </c>
      <c r="B197" s="510" t="s">
        <v>3125</v>
      </c>
      <c r="C197" s="511">
        <v>45999.03050925926</v>
      </c>
      <c r="D197" s="510" t="s">
        <v>1435</v>
      </c>
      <c r="E197" s="510" t="b">
        <v>1</v>
      </c>
      <c r="F197" s="510" t="b">
        <v>1</v>
      </c>
      <c r="G197" s="510" t="s">
        <v>1436</v>
      </c>
      <c r="H197" s="510" t="b">
        <v>1</v>
      </c>
      <c r="I197" s="510" t="s">
        <v>1437</v>
      </c>
      <c r="J197" s="510" t="b">
        <v>1</v>
      </c>
      <c r="K197" s="494" t="s">
        <v>3126</v>
      </c>
      <c r="L197" s="512" t="s">
        <v>3117</v>
      </c>
      <c r="M197" s="510">
        <v>6.0</v>
      </c>
      <c r="N197" s="510">
        <v>6.0</v>
      </c>
      <c r="O197" s="510">
        <v>2.0</v>
      </c>
      <c r="P197" s="512" t="s">
        <v>3127</v>
      </c>
      <c r="Q197" s="510">
        <v>6.0</v>
      </c>
      <c r="R197" s="510">
        <v>9.0</v>
      </c>
      <c r="S197" s="510">
        <v>5.0</v>
      </c>
      <c r="T197" s="512" t="s">
        <v>3128</v>
      </c>
      <c r="U197" s="510">
        <v>7.0</v>
      </c>
      <c r="V197" s="510">
        <v>7.0</v>
      </c>
      <c r="W197" s="510">
        <v>9.0</v>
      </c>
      <c r="X197" s="512" t="s">
        <v>3129</v>
      </c>
      <c r="Y197" s="510">
        <v>7.0</v>
      </c>
      <c r="Z197" s="510">
        <v>3.0</v>
      </c>
      <c r="AA197" s="510">
        <v>6.0</v>
      </c>
      <c r="AB197" s="512" t="s">
        <v>3130</v>
      </c>
      <c r="AC197" s="512" t="s">
        <v>3131</v>
      </c>
      <c r="AD197" s="512" t="s">
        <v>3132</v>
      </c>
      <c r="AE197" s="512" t="s">
        <v>3133</v>
      </c>
      <c r="AF197" s="12"/>
      <c r="AG197" s="502">
        <f t="shared" si="5"/>
        <v>6.083333333</v>
      </c>
    </row>
    <row r="198">
      <c r="A198" s="530"/>
      <c r="B198" s="530"/>
      <c r="C198" s="530"/>
      <c r="D198" s="530"/>
      <c r="E198" s="530"/>
      <c r="F198" s="530"/>
      <c r="G198" s="530"/>
      <c r="H198" s="530"/>
      <c r="I198" s="530"/>
      <c r="J198" s="530"/>
      <c r="K198" s="2" t="s">
        <v>3134</v>
      </c>
      <c r="L198" s="4"/>
      <c r="M198" s="502">
        <f t="shared" ref="M198:O198" si="6">AVERAGE(M2:M197)</f>
        <v>7.335078534</v>
      </c>
      <c r="N198" s="502">
        <f t="shared" si="6"/>
        <v>7.376963351</v>
      </c>
      <c r="O198" s="502">
        <f t="shared" si="6"/>
        <v>7.759162304</v>
      </c>
      <c r="P198" s="4"/>
      <c r="Q198" s="502">
        <f t="shared" ref="Q198:S198" si="7">AVERAGE(Q2:Q197)</f>
        <v>7.664921466</v>
      </c>
      <c r="R198" s="502">
        <f t="shared" si="7"/>
        <v>7.869109948</v>
      </c>
      <c r="S198" s="502">
        <f t="shared" si="7"/>
        <v>7.717277487</v>
      </c>
      <c r="T198" s="4"/>
      <c r="U198" s="502">
        <f t="shared" ref="U198:W198" si="8">AVERAGE(U2:U197)</f>
        <v>7.442105263</v>
      </c>
      <c r="V198" s="502">
        <f t="shared" si="8"/>
        <v>7.408376963</v>
      </c>
      <c r="W198" s="502">
        <f t="shared" si="8"/>
        <v>7.261780105</v>
      </c>
      <c r="X198" s="4"/>
      <c r="Y198" s="502">
        <f t="shared" ref="Y198:AA198" si="9">AVERAGE(Y2:Y197)</f>
        <v>7.581151832</v>
      </c>
      <c r="Z198" s="502">
        <f t="shared" si="9"/>
        <v>6.984293194</v>
      </c>
      <c r="AA198" s="502">
        <f t="shared" si="9"/>
        <v>7.633507853</v>
      </c>
      <c r="AB198" s="4"/>
      <c r="AC198" s="4"/>
      <c r="AD198" s="4"/>
      <c r="AE198" s="4"/>
      <c r="AF198" s="530"/>
      <c r="AG198" s="502"/>
    </row>
  </sheetData>
  <autoFilter ref="$A$1:$AG$197">
    <filterColumn colId="11">
      <filters>
        <filter val="أنس الأهدل"/>
      </filters>
    </filterColumn>
    <sortState ref="A1:AG197">
      <sortCondition ref="L1:L197"/>
      <sortCondition descending="1" ref="AG1:AG197"/>
      <sortCondition ref="K1:K197"/>
    </sortState>
  </autoFil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rightToLeft="1" workbookViewId="0"/>
  </sheetViews>
  <sheetFormatPr customHeight="1" defaultColWidth="12.63" defaultRowHeight="15.75"/>
  <cols>
    <col customWidth="1" min="1" max="1" width="4.25"/>
    <col customWidth="1" min="2" max="2" width="18.38"/>
    <col customWidth="1" hidden="1" min="7" max="8" width="13.88"/>
    <col customWidth="1" hidden="1" min="9" max="9" width="62.63"/>
    <col customWidth="1" hidden="1" min="10" max="10" width="73.13"/>
    <col customWidth="1" hidden="1" min="11" max="11" width="103.0"/>
    <col customWidth="1" min="16" max="16" width="13.88"/>
    <col customWidth="1" min="17" max="17" width="103.75"/>
    <col customWidth="1" min="18" max="18" width="18.38"/>
  </cols>
  <sheetData>
    <row r="1">
      <c r="A1" s="531"/>
      <c r="B1" s="532" t="s">
        <v>700</v>
      </c>
      <c r="C1" s="251"/>
      <c r="D1" s="251"/>
      <c r="E1" s="251"/>
      <c r="F1" s="94"/>
      <c r="G1" s="533"/>
      <c r="H1" s="534"/>
      <c r="I1" s="43"/>
      <c r="J1" s="535"/>
      <c r="K1" s="535"/>
      <c r="L1" s="535"/>
      <c r="M1" s="535"/>
      <c r="N1" s="535"/>
      <c r="O1" s="534"/>
      <c r="P1" s="44"/>
    </row>
    <row r="2">
      <c r="A2" s="531"/>
      <c r="B2" s="46"/>
      <c r="C2" s="536" t="s">
        <v>701</v>
      </c>
      <c r="D2" s="536" t="s">
        <v>709</v>
      </c>
      <c r="E2" s="537" t="s">
        <v>3135</v>
      </c>
      <c r="F2" s="538" t="s">
        <v>3136</v>
      </c>
      <c r="G2" s="539"/>
      <c r="H2" s="540"/>
      <c r="I2" s="541"/>
      <c r="J2" s="541"/>
      <c r="K2" s="541"/>
      <c r="L2" s="542"/>
      <c r="M2" s="542"/>
      <c r="N2" s="539"/>
      <c r="O2" s="539"/>
      <c r="P2" s="56"/>
      <c r="Q2" s="56"/>
      <c r="R2" s="78"/>
      <c r="S2" s="56"/>
      <c r="T2" s="56"/>
    </row>
    <row r="3">
      <c r="A3" s="45"/>
      <c r="B3" s="543" t="s">
        <v>702</v>
      </c>
      <c r="C3" s="544">
        <v>8.2</v>
      </c>
      <c r="D3" s="545">
        <v>7.91</v>
      </c>
      <c r="E3" s="546">
        <v>7.54</v>
      </c>
      <c r="F3" s="547">
        <f t="shared" ref="F3:F6" si="1">(E3-C3)/C3</f>
        <v>-0.08048780488</v>
      </c>
      <c r="G3" s="51"/>
      <c r="H3" s="52"/>
      <c r="I3" s="548"/>
      <c r="J3" s="548"/>
      <c r="K3" s="548"/>
      <c r="L3" s="549"/>
      <c r="M3" s="99" t="s">
        <v>3137</v>
      </c>
      <c r="N3" s="187"/>
      <c r="O3" s="187"/>
      <c r="P3" s="188"/>
      <c r="Q3" s="54"/>
      <c r="R3" s="54"/>
      <c r="S3" s="55"/>
      <c r="T3" s="56"/>
    </row>
    <row r="4">
      <c r="A4" s="45"/>
      <c r="B4" s="543" t="s">
        <v>703</v>
      </c>
      <c r="C4" s="550">
        <v>85.0</v>
      </c>
      <c r="D4" s="59">
        <v>85.0</v>
      </c>
      <c r="E4" s="551">
        <v>206.0</v>
      </c>
      <c r="F4" s="547">
        <f t="shared" si="1"/>
        <v>1.423529412</v>
      </c>
      <c r="G4" s="62"/>
      <c r="H4" s="63"/>
      <c r="I4" s="552"/>
      <c r="J4" s="552"/>
      <c r="K4" s="552"/>
      <c r="L4" s="553"/>
      <c r="M4" s="554" t="s">
        <v>3138</v>
      </c>
      <c r="N4" s="554" t="s">
        <v>3139</v>
      </c>
      <c r="O4" s="554" t="s">
        <v>3140</v>
      </c>
      <c r="P4" s="374" t="s">
        <v>3141</v>
      </c>
      <c r="Q4" s="39" t="s">
        <v>3142</v>
      </c>
      <c r="R4" s="54"/>
      <c r="S4" s="58"/>
      <c r="T4" s="65"/>
    </row>
    <row r="5">
      <c r="A5" s="45"/>
      <c r="B5" s="555" t="s">
        <v>704</v>
      </c>
      <c r="C5" s="556">
        <v>10.0</v>
      </c>
      <c r="D5" s="67">
        <v>5.0</v>
      </c>
      <c r="E5" s="557">
        <v>15.0</v>
      </c>
      <c r="F5" s="547">
        <f t="shared" si="1"/>
        <v>0.5</v>
      </c>
      <c r="G5" s="70"/>
      <c r="H5" s="71"/>
      <c r="I5" s="558"/>
      <c r="J5" s="558"/>
      <c r="K5" s="558"/>
      <c r="L5" s="144"/>
      <c r="M5" s="374" t="s">
        <v>3143</v>
      </c>
      <c r="N5" s="374" t="s">
        <v>3144</v>
      </c>
      <c r="O5" s="374" t="s">
        <v>3145</v>
      </c>
      <c r="P5" s="374" t="s">
        <v>3146</v>
      </c>
      <c r="Q5" s="39" t="s">
        <v>3147</v>
      </c>
      <c r="R5" s="72"/>
      <c r="S5" s="64"/>
      <c r="T5" s="73"/>
    </row>
    <row r="6">
      <c r="A6" s="45"/>
      <c r="B6" s="559" t="s">
        <v>706</v>
      </c>
      <c r="C6" s="560">
        <v>23.0</v>
      </c>
      <c r="D6" s="76">
        <v>20.0</v>
      </c>
      <c r="E6" s="561">
        <v>49.0</v>
      </c>
      <c r="F6" s="562">
        <f t="shared" si="1"/>
        <v>1.130434783</v>
      </c>
      <c r="G6" s="70"/>
      <c r="H6" s="71"/>
      <c r="I6" s="178"/>
      <c r="J6" s="178"/>
      <c r="K6" s="178"/>
      <c r="L6" s="178"/>
      <c r="M6" s="99" t="s">
        <v>3148</v>
      </c>
      <c r="N6" s="187"/>
      <c r="O6" s="187"/>
      <c r="P6" s="188"/>
      <c r="Q6" s="54"/>
      <c r="R6" s="54"/>
      <c r="S6" s="54"/>
      <c r="T6" s="78"/>
    </row>
    <row r="7">
      <c r="A7" s="45"/>
      <c r="B7" s="79"/>
      <c r="C7" s="79"/>
      <c r="D7" s="80"/>
      <c r="E7" s="80"/>
      <c r="F7" s="80"/>
      <c r="G7" s="80"/>
      <c r="H7" s="36"/>
      <c r="I7" s="36"/>
      <c r="J7" s="36"/>
      <c r="K7" s="81"/>
      <c r="L7" s="563"/>
      <c r="M7" s="554" t="s">
        <v>3138</v>
      </c>
      <c r="N7" s="554" t="s">
        <v>3139</v>
      </c>
      <c r="O7" s="554" t="s">
        <v>3140</v>
      </c>
      <c r="P7" s="374" t="s">
        <v>3141</v>
      </c>
      <c r="Q7" s="39" t="s">
        <v>3142</v>
      </c>
      <c r="R7" s="54"/>
      <c r="S7" s="54"/>
      <c r="T7" s="36"/>
      <c r="U7" s="36"/>
      <c r="V7" s="36"/>
      <c r="W7" s="82"/>
    </row>
    <row r="8">
      <c r="A8" s="45"/>
      <c r="B8" s="83"/>
      <c r="C8" s="83"/>
      <c r="D8" s="36"/>
      <c r="E8" s="36"/>
      <c r="F8" s="36"/>
      <c r="G8" s="36"/>
      <c r="H8" s="36"/>
      <c r="I8" s="36"/>
      <c r="J8" s="36"/>
      <c r="K8" s="81"/>
      <c r="L8" s="39"/>
      <c r="M8" s="374" t="s">
        <v>3149</v>
      </c>
      <c r="N8" s="374" t="s">
        <v>3150</v>
      </c>
      <c r="O8" s="374" t="s">
        <v>3151</v>
      </c>
      <c r="P8" s="374" t="s">
        <v>3152</v>
      </c>
      <c r="Q8" s="39" t="s">
        <v>3153</v>
      </c>
      <c r="R8" s="83"/>
      <c r="S8" s="83"/>
      <c r="T8" s="36"/>
      <c r="U8" s="36"/>
      <c r="V8" s="36"/>
      <c r="W8" s="84"/>
    </row>
    <row r="9">
      <c r="A9" s="45"/>
      <c r="B9" s="85"/>
      <c r="C9" s="86"/>
      <c r="D9" s="87"/>
      <c r="E9" s="86" t="s">
        <v>708</v>
      </c>
      <c r="F9" s="86"/>
      <c r="G9" s="87"/>
      <c r="H9" s="87"/>
      <c r="I9" s="87"/>
      <c r="J9" s="87"/>
      <c r="K9" s="88"/>
      <c r="L9" s="86"/>
      <c r="M9" s="86"/>
      <c r="N9" s="86"/>
      <c r="O9" s="86"/>
      <c r="P9" s="87"/>
      <c r="Q9" s="87"/>
      <c r="R9" s="85"/>
      <c r="S9" s="86"/>
      <c r="T9" s="87"/>
      <c r="U9" s="87"/>
      <c r="V9" s="87"/>
      <c r="W9" s="89"/>
    </row>
    <row r="10">
      <c r="A10" s="45"/>
      <c r="B10" s="90"/>
      <c r="C10" s="91" t="s">
        <v>701</v>
      </c>
      <c r="D10" s="92"/>
      <c r="E10" s="93" t="s">
        <v>709</v>
      </c>
      <c r="F10" s="94"/>
      <c r="G10" s="95"/>
      <c r="H10" s="95" t="s">
        <v>710</v>
      </c>
      <c r="I10" s="95"/>
      <c r="J10" s="95"/>
      <c r="K10" s="95"/>
      <c r="L10" s="95"/>
      <c r="M10" s="93" t="s">
        <v>3135</v>
      </c>
      <c r="N10" s="251"/>
      <c r="O10" s="94"/>
      <c r="P10" s="95"/>
      <c r="Q10" s="95"/>
      <c r="R10" s="96"/>
      <c r="S10" s="97"/>
      <c r="T10" s="98"/>
      <c r="U10" s="97"/>
      <c r="V10" s="94"/>
      <c r="W10" s="99"/>
    </row>
    <row r="11">
      <c r="A11" s="45"/>
      <c r="B11" s="100" t="s">
        <v>712</v>
      </c>
      <c r="C11" s="101" t="s">
        <v>29</v>
      </c>
      <c r="D11" s="102" t="s">
        <v>713</v>
      </c>
      <c r="E11" s="103" t="s">
        <v>29</v>
      </c>
      <c r="F11" s="102" t="s">
        <v>713</v>
      </c>
      <c r="G11" s="564"/>
      <c r="H11" s="104"/>
      <c r="I11" s="95"/>
      <c r="J11" s="95"/>
      <c r="K11" s="95" t="s">
        <v>711</v>
      </c>
      <c r="L11" s="93"/>
      <c r="M11" s="93" t="s">
        <v>3154</v>
      </c>
      <c r="N11" s="103" t="s">
        <v>29</v>
      </c>
      <c r="O11" s="102" t="s">
        <v>713</v>
      </c>
      <c r="P11" s="95" t="s">
        <v>710</v>
      </c>
      <c r="Q11" s="95" t="s">
        <v>711</v>
      </c>
      <c r="R11" s="106"/>
      <c r="S11" s="49"/>
      <c r="T11" s="107"/>
      <c r="U11" s="49"/>
      <c r="V11" s="107"/>
      <c r="W11" s="99"/>
    </row>
    <row r="12">
      <c r="A12" s="45"/>
      <c r="B12" s="108" t="s">
        <v>241</v>
      </c>
      <c r="C12" s="109">
        <v>6.9375</v>
      </c>
      <c r="D12" s="110">
        <v>7.0</v>
      </c>
      <c r="E12" s="111" t="s">
        <v>110</v>
      </c>
      <c r="F12" s="110">
        <v>1.0</v>
      </c>
      <c r="G12" s="84"/>
      <c r="H12" s="112"/>
      <c r="I12" s="565"/>
      <c r="J12" s="565"/>
      <c r="K12" s="113" t="s">
        <v>715</v>
      </c>
      <c r="L12" s="566"/>
      <c r="M12" s="567" t="s">
        <v>782</v>
      </c>
      <c r="N12" s="568">
        <v>9.0</v>
      </c>
      <c r="O12" s="569">
        <v>3.0</v>
      </c>
      <c r="P12" s="570"/>
      <c r="Q12" s="126" t="s">
        <v>3155</v>
      </c>
      <c r="R12" s="571"/>
      <c r="S12" s="115"/>
      <c r="T12" s="116"/>
      <c r="U12" s="60"/>
      <c r="V12" s="116"/>
      <c r="W12" s="117"/>
    </row>
    <row r="13" ht="31.5" customHeight="1">
      <c r="A13" s="45"/>
      <c r="B13" s="118" t="s">
        <v>717</v>
      </c>
      <c r="C13" s="119">
        <v>9.25</v>
      </c>
      <c r="D13" s="120">
        <v>2.0</v>
      </c>
      <c r="E13" s="121" t="s">
        <v>110</v>
      </c>
      <c r="F13" s="120">
        <v>1.0</v>
      </c>
      <c r="G13" s="89"/>
      <c r="H13" s="122"/>
      <c r="I13" s="565"/>
      <c r="J13" s="565"/>
      <c r="K13" s="123" t="s">
        <v>718</v>
      </c>
      <c r="L13" s="566"/>
      <c r="M13" s="572" t="s">
        <v>91</v>
      </c>
      <c r="N13" s="573">
        <v>8.67</v>
      </c>
      <c r="O13" s="574">
        <v>3.0</v>
      </c>
      <c r="P13" s="571"/>
      <c r="Q13" s="575" t="s">
        <v>3156</v>
      </c>
      <c r="R13" s="571"/>
      <c r="S13" s="115"/>
      <c r="T13" s="116"/>
      <c r="U13" s="60"/>
      <c r="V13" s="116"/>
      <c r="W13" s="117"/>
    </row>
    <row r="14" ht="21.0" customHeight="1">
      <c r="A14" s="45"/>
      <c r="B14" s="118" t="s">
        <v>720</v>
      </c>
      <c r="C14" s="119">
        <v>9.40625</v>
      </c>
      <c r="D14" s="120">
        <v>2.0</v>
      </c>
      <c r="E14" s="121" t="s">
        <v>110</v>
      </c>
      <c r="F14" s="120">
        <v>0.0</v>
      </c>
      <c r="G14" s="89"/>
      <c r="H14" s="122"/>
      <c r="I14" s="565"/>
      <c r="J14" s="565"/>
      <c r="K14" s="123" t="s">
        <v>721</v>
      </c>
      <c r="L14" s="566"/>
      <c r="M14" s="576" t="s">
        <v>1884</v>
      </c>
      <c r="N14" s="573">
        <v>8.67</v>
      </c>
      <c r="O14" s="574">
        <v>2.0</v>
      </c>
      <c r="P14" s="571"/>
      <c r="Q14" s="575" t="s">
        <v>3157</v>
      </c>
      <c r="R14" s="571"/>
      <c r="S14" s="115"/>
      <c r="T14" s="116"/>
      <c r="U14" s="60"/>
      <c r="V14" s="116"/>
      <c r="W14" s="117"/>
    </row>
    <row r="15" ht="30.0" customHeight="1">
      <c r="A15" s="45"/>
      <c r="B15" s="118" t="s">
        <v>722</v>
      </c>
      <c r="C15" s="119">
        <v>9.041666666666666</v>
      </c>
      <c r="D15" s="120">
        <v>3.0</v>
      </c>
      <c r="E15" s="121" t="s">
        <v>110</v>
      </c>
      <c r="F15" s="120">
        <v>1.0</v>
      </c>
      <c r="G15" s="89"/>
      <c r="H15" s="122"/>
      <c r="I15" s="565"/>
      <c r="J15" s="565"/>
      <c r="K15" s="123" t="s">
        <v>723</v>
      </c>
      <c r="L15" s="566"/>
      <c r="M15" s="577" t="s">
        <v>1913</v>
      </c>
      <c r="N15" s="573">
        <v>8.67</v>
      </c>
      <c r="O15" s="574">
        <v>2.0</v>
      </c>
      <c r="P15" s="571"/>
      <c r="Q15" s="113" t="s">
        <v>3158</v>
      </c>
      <c r="R15" s="571"/>
      <c r="S15" s="115"/>
      <c r="T15" s="116"/>
      <c r="U15" s="60"/>
      <c r="V15" s="116"/>
      <c r="W15" s="117"/>
    </row>
    <row r="16" ht="21.0" customHeight="1">
      <c r="A16" s="45"/>
      <c r="B16" s="118" t="s">
        <v>724</v>
      </c>
      <c r="C16" s="119">
        <v>7.390625</v>
      </c>
      <c r="D16" s="120">
        <v>4.0</v>
      </c>
      <c r="E16" s="124">
        <v>9.33</v>
      </c>
      <c r="F16" s="120">
        <v>3.0</v>
      </c>
      <c r="G16" s="578"/>
      <c r="H16" s="125" t="s">
        <v>725</v>
      </c>
      <c r="I16" s="579"/>
      <c r="J16" s="579"/>
      <c r="K16" s="126" t="s">
        <v>726</v>
      </c>
      <c r="L16" s="566"/>
      <c r="M16" s="572" t="s">
        <v>537</v>
      </c>
      <c r="N16" s="573">
        <v>8.57</v>
      </c>
      <c r="O16" s="574">
        <v>5.0</v>
      </c>
      <c r="P16" s="571"/>
      <c r="Q16" s="575" t="s">
        <v>3159</v>
      </c>
      <c r="R16" s="571"/>
      <c r="S16" s="115"/>
      <c r="T16" s="116"/>
      <c r="U16" s="127"/>
      <c r="V16" s="116"/>
      <c r="W16" s="117"/>
    </row>
    <row r="17" ht="35.25" customHeight="1">
      <c r="A17" s="45"/>
      <c r="B17" s="118" t="s">
        <v>113</v>
      </c>
      <c r="C17" s="119">
        <v>7.4375</v>
      </c>
      <c r="D17" s="120">
        <v>3.0</v>
      </c>
      <c r="E17" s="124">
        <v>9.25</v>
      </c>
      <c r="F17" s="120">
        <v>2.0</v>
      </c>
      <c r="G17" s="578"/>
      <c r="H17" s="125" t="s">
        <v>725</v>
      </c>
      <c r="I17" s="579"/>
      <c r="J17" s="579"/>
      <c r="K17" s="123" t="s">
        <v>727</v>
      </c>
      <c r="L17" s="566"/>
      <c r="M17" s="580" t="s">
        <v>781</v>
      </c>
      <c r="N17" s="581">
        <v>8.44</v>
      </c>
      <c r="O17" s="574">
        <v>3.0</v>
      </c>
      <c r="P17" s="571"/>
      <c r="Q17" s="123" t="s">
        <v>3160</v>
      </c>
      <c r="R17" s="571"/>
      <c r="S17" s="115"/>
      <c r="T17" s="116"/>
      <c r="U17" s="127"/>
      <c r="V17" s="116"/>
      <c r="W17" s="117"/>
    </row>
    <row r="18" ht="59.25" customHeight="1">
      <c r="A18" s="45"/>
      <c r="B18" s="118" t="s">
        <v>134</v>
      </c>
      <c r="C18" s="119">
        <v>9.071428571428571</v>
      </c>
      <c r="D18" s="120">
        <v>7.0</v>
      </c>
      <c r="E18" s="128">
        <v>9.09</v>
      </c>
      <c r="F18" s="120">
        <v>2.0</v>
      </c>
      <c r="G18" s="89"/>
      <c r="H18" s="122"/>
      <c r="I18" s="565"/>
      <c r="J18" s="565"/>
      <c r="K18" s="129" t="s">
        <v>728</v>
      </c>
      <c r="L18" s="566"/>
      <c r="M18" s="580" t="s">
        <v>1715</v>
      </c>
      <c r="N18" s="582">
        <v>8.25</v>
      </c>
      <c r="O18" s="580">
        <v>2.0</v>
      </c>
      <c r="P18" s="571"/>
      <c r="Q18" s="113" t="s">
        <v>3161</v>
      </c>
      <c r="R18" s="571"/>
      <c r="S18" s="115"/>
      <c r="T18" s="116"/>
      <c r="U18" s="127"/>
      <c r="V18" s="116"/>
      <c r="W18" s="117"/>
    </row>
    <row r="19" ht="21.0" customHeight="1">
      <c r="A19" s="45"/>
      <c r="B19" s="118" t="s">
        <v>270</v>
      </c>
      <c r="C19" s="119" t="s">
        <v>110</v>
      </c>
      <c r="D19" s="120"/>
      <c r="E19" s="130">
        <v>9.01</v>
      </c>
      <c r="F19" s="120">
        <v>3.0</v>
      </c>
      <c r="G19" s="89"/>
      <c r="H19" s="122"/>
      <c r="I19" s="565"/>
      <c r="J19" s="565"/>
      <c r="K19" s="123" t="s">
        <v>729</v>
      </c>
      <c r="L19" s="566"/>
      <c r="M19" s="583" t="s">
        <v>1211</v>
      </c>
      <c r="N19" s="582">
        <v>7.97</v>
      </c>
      <c r="O19" s="580">
        <v>5.0</v>
      </c>
      <c r="P19" s="571"/>
      <c r="Q19" s="113" t="s">
        <v>3162</v>
      </c>
      <c r="R19" s="571"/>
      <c r="S19" s="115"/>
      <c r="T19" s="116"/>
      <c r="U19" s="127"/>
      <c r="V19" s="116"/>
      <c r="W19" s="117"/>
    </row>
    <row r="20" ht="21.0" customHeight="1">
      <c r="A20" s="45"/>
      <c r="B20" s="118" t="s">
        <v>49</v>
      </c>
      <c r="C20" s="119">
        <v>8.140625</v>
      </c>
      <c r="D20" s="120">
        <v>8.0</v>
      </c>
      <c r="E20" s="131">
        <v>8.8</v>
      </c>
      <c r="F20" s="120">
        <v>8.0</v>
      </c>
      <c r="G20" s="584"/>
      <c r="H20" s="132" t="s">
        <v>716</v>
      </c>
      <c r="I20" s="585"/>
      <c r="J20" s="585"/>
      <c r="K20" s="123" t="s">
        <v>730</v>
      </c>
      <c r="L20" s="566"/>
      <c r="M20" s="583" t="s">
        <v>188</v>
      </c>
      <c r="N20" s="582">
        <v>7.91</v>
      </c>
      <c r="O20" s="580">
        <v>15.0</v>
      </c>
      <c r="P20" s="571"/>
      <c r="Q20" s="586" t="s">
        <v>3163</v>
      </c>
      <c r="R20" s="571"/>
      <c r="S20" s="115"/>
      <c r="T20" s="116"/>
      <c r="U20" s="115"/>
      <c r="V20" s="116"/>
      <c r="W20" s="117"/>
    </row>
    <row r="21">
      <c r="A21" s="45"/>
      <c r="B21" s="118" t="s">
        <v>731</v>
      </c>
      <c r="C21" s="119" t="s">
        <v>110</v>
      </c>
      <c r="D21" s="120"/>
      <c r="E21" s="131">
        <v>8.76</v>
      </c>
      <c r="F21" s="120">
        <v>5.0</v>
      </c>
      <c r="G21" s="89"/>
      <c r="H21" s="122"/>
      <c r="I21" s="565"/>
      <c r="J21" s="565"/>
      <c r="K21" s="123" t="s">
        <v>732</v>
      </c>
      <c r="L21" s="566"/>
      <c r="M21" s="580" t="s">
        <v>724</v>
      </c>
      <c r="N21" s="582">
        <v>7.83</v>
      </c>
      <c r="O21" s="580">
        <v>8.0</v>
      </c>
      <c r="P21" s="571"/>
      <c r="Q21" s="137" t="s">
        <v>3164</v>
      </c>
      <c r="R21" s="571"/>
      <c r="S21" s="115"/>
      <c r="T21" s="116"/>
      <c r="U21" s="115"/>
      <c r="V21" s="116"/>
      <c r="W21" s="117"/>
    </row>
    <row r="22" ht="21.0" customHeight="1">
      <c r="A22" s="45"/>
      <c r="B22" s="118" t="s">
        <v>195</v>
      </c>
      <c r="C22" s="119">
        <v>8.6875</v>
      </c>
      <c r="D22" s="120">
        <v>3.0</v>
      </c>
      <c r="E22" s="131">
        <v>8.51</v>
      </c>
      <c r="F22" s="120">
        <v>6.0</v>
      </c>
      <c r="G22" s="89"/>
      <c r="H22" s="122"/>
      <c r="I22" s="565"/>
      <c r="J22" s="565"/>
      <c r="K22" s="123" t="s">
        <v>733</v>
      </c>
      <c r="L22" s="566"/>
      <c r="M22" s="580" t="s">
        <v>516</v>
      </c>
      <c r="N22" s="582">
        <v>7.82</v>
      </c>
      <c r="O22" s="580">
        <v>10.0</v>
      </c>
      <c r="P22" s="571"/>
      <c r="Q22" s="113" t="s">
        <v>3165</v>
      </c>
      <c r="R22" s="571"/>
      <c r="S22" s="115"/>
      <c r="T22" s="116"/>
      <c r="U22" s="115"/>
      <c r="V22" s="116"/>
      <c r="W22" s="117"/>
    </row>
    <row r="23">
      <c r="A23" s="45"/>
      <c r="B23" s="118" t="s">
        <v>42</v>
      </c>
      <c r="C23" s="119">
        <v>8.229166666666666</v>
      </c>
      <c r="D23" s="120">
        <v>6.0</v>
      </c>
      <c r="E23" s="131">
        <v>8.28</v>
      </c>
      <c r="F23" s="120">
        <v>6.0</v>
      </c>
      <c r="G23" s="89"/>
      <c r="H23" s="122"/>
      <c r="I23" s="565"/>
      <c r="J23" s="565"/>
      <c r="K23" s="123" t="s">
        <v>734</v>
      </c>
      <c r="L23" s="566"/>
      <c r="M23" s="580" t="s">
        <v>2221</v>
      </c>
      <c r="N23" s="582">
        <v>7.79</v>
      </c>
      <c r="O23" s="580">
        <v>2.0</v>
      </c>
      <c r="P23" s="571"/>
      <c r="Q23" s="586" t="s">
        <v>3166</v>
      </c>
      <c r="R23" s="571"/>
      <c r="S23" s="115"/>
      <c r="T23" s="116"/>
      <c r="U23" s="115"/>
      <c r="V23" s="116"/>
      <c r="W23" s="117"/>
    </row>
    <row r="24" ht="74.25" customHeight="1">
      <c r="A24" s="45"/>
      <c r="B24" s="118" t="s">
        <v>109</v>
      </c>
      <c r="C24" s="119">
        <v>7.88</v>
      </c>
      <c r="D24" s="120">
        <v>7.0</v>
      </c>
      <c r="E24" s="131">
        <v>7.51</v>
      </c>
      <c r="F24" s="120">
        <v>5.0</v>
      </c>
      <c r="G24" s="587"/>
      <c r="H24" s="133" t="s">
        <v>719</v>
      </c>
      <c r="I24" s="588"/>
      <c r="J24" s="588"/>
      <c r="K24" s="123" t="s">
        <v>735</v>
      </c>
      <c r="L24" s="566"/>
      <c r="M24" s="580" t="s">
        <v>449</v>
      </c>
      <c r="N24" s="582">
        <v>7.71</v>
      </c>
      <c r="O24" s="580">
        <v>6.0</v>
      </c>
      <c r="P24" s="571"/>
      <c r="Q24" s="113" t="s">
        <v>3167</v>
      </c>
      <c r="R24" s="571"/>
      <c r="S24" s="115"/>
      <c r="T24" s="116"/>
      <c r="U24" s="115"/>
      <c r="V24" s="116"/>
      <c r="W24" s="117"/>
    </row>
    <row r="25" hidden="1">
      <c r="A25" s="45"/>
      <c r="B25" s="134" t="s">
        <v>736</v>
      </c>
      <c r="C25" s="119">
        <v>7.67</v>
      </c>
      <c r="D25" s="120">
        <v>7.0</v>
      </c>
      <c r="E25" s="131">
        <v>7.66</v>
      </c>
      <c r="F25" s="120">
        <v>2.0</v>
      </c>
      <c r="G25" s="89"/>
      <c r="H25" s="122"/>
      <c r="I25" s="565"/>
      <c r="J25" s="565"/>
      <c r="K25" s="135" t="s">
        <v>110</v>
      </c>
      <c r="L25" s="566"/>
      <c r="M25" s="580" t="s">
        <v>334</v>
      </c>
      <c r="N25" s="589">
        <v>8.25</v>
      </c>
      <c r="O25" s="580">
        <v>5.0</v>
      </c>
      <c r="P25" s="571"/>
      <c r="Q25" s="571" t="s">
        <v>3168</v>
      </c>
      <c r="R25" s="571"/>
      <c r="S25" s="115"/>
      <c r="T25" s="116"/>
      <c r="U25" s="115"/>
      <c r="V25" s="116"/>
      <c r="W25" s="117"/>
    </row>
    <row r="26" ht="34.5" customHeight="1">
      <c r="A26" s="45"/>
      <c r="B26" s="118" t="s">
        <v>242</v>
      </c>
      <c r="C26" s="119">
        <v>8.09375</v>
      </c>
      <c r="D26" s="120">
        <v>6.0</v>
      </c>
      <c r="E26" s="131">
        <v>7.47</v>
      </c>
      <c r="F26" s="120">
        <v>4.0</v>
      </c>
      <c r="G26" s="587"/>
      <c r="H26" s="133" t="s">
        <v>719</v>
      </c>
      <c r="I26" s="588"/>
      <c r="J26" s="588"/>
      <c r="K26" s="137" t="s">
        <v>737</v>
      </c>
      <c r="L26" s="566"/>
      <c r="M26" s="580" t="s">
        <v>113</v>
      </c>
      <c r="N26" s="590">
        <v>7.7</v>
      </c>
      <c r="O26" s="580">
        <v>2.0</v>
      </c>
      <c r="P26" s="571"/>
      <c r="Q26" s="123" t="s">
        <v>3169</v>
      </c>
      <c r="R26" s="571"/>
      <c r="S26" s="115"/>
      <c r="T26" s="116"/>
      <c r="U26" s="115"/>
      <c r="V26" s="116"/>
      <c r="W26" s="117"/>
    </row>
    <row r="27" ht="21.0" customHeight="1">
      <c r="A27" s="45"/>
      <c r="B27" s="118" t="s">
        <v>188</v>
      </c>
      <c r="C27" s="119" t="s">
        <v>110</v>
      </c>
      <c r="D27" s="120"/>
      <c r="E27" s="131">
        <v>7.47</v>
      </c>
      <c r="F27" s="120">
        <v>4.0</v>
      </c>
      <c r="G27" s="89"/>
      <c r="H27" s="122"/>
      <c r="I27" s="565"/>
      <c r="J27" s="565"/>
      <c r="K27" s="123" t="s">
        <v>738</v>
      </c>
      <c r="L27" s="566"/>
      <c r="M27" s="580" t="s">
        <v>1642</v>
      </c>
      <c r="N27" s="589">
        <v>7.65</v>
      </c>
      <c r="O27" s="580">
        <v>11.0</v>
      </c>
      <c r="P27" s="571"/>
      <c r="Q27" s="113" t="s">
        <v>3170</v>
      </c>
      <c r="R27" s="571"/>
      <c r="S27" s="115"/>
      <c r="T27" s="116"/>
      <c r="U27" s="115"/>
      <c r="V27" s="116"/>
      <c r="W27" s="117"/>
    </row>
    <row r="28" ht="21.0" customHeight="1">
      <c r="A28" s="45"/>
      <c r="B28" s="118" t="s">
        <v>144</v>
      </c>
      <c r="C28" s="119" t="s">
        <v>110</v>
      </c>
      <c r="D28" s="120"/>
      <c r="E28" s="138">
        <v>7.46</v>
      </c>
      <c r="F28" s="120">
        <v>4.0</v>
      </c>
      <c r="G28" s="89"/>
      <c r="H28" s="122"/>
      <c r="I28" s="565"/>
      <c r="J28" s="565"/>
      <c r="K28" s="137" t="s">
        <v>739</v>
      </c>
      <c r="L28" s="566"/>
      <c r="M28" s="580" t="s">
        <v>433</v>
      </c>
      <c r="N28" s="589">
        <v>7.62</v>
      </c>
      <c r="O28" s="580">
        <v>12.0</v>
      </c>
      <c r="P28" s="571"/>
      <c r="Q28" s="123" t="s">
        <v>3171</v>
      </c>
      <c r="R28" s="571"/>
      <c r="S28" s="115"/>
      <c r="T28" s="116"/>
      <c r="U28" s="115"/>
      <c r="V28" s="116"/>
      <c r="W28" s="117"/>
    </row>
    <row r="29" ht="33.75" customHeight="1">
      <c r="A29" s="45"/>
      <c r="B29" s="118" t="s">
        <v>516</v>
      </c>
      <c r="C29" s="119">
        <v>7.71875</v>
      </c>
      <c r="D29" s="120">
        <v>4.0</v>
      </c>
      <c r="E29" s="131">
        <v>7.34</v>
      </c>
      <c r="F29" s="120">
        <v>7.0</v>
      </c>
      <c r="G29" s="587"/>
      <c r="H29" s="133" t="s">
        <v>719</v>
      </c>
      <c r="I29" s="588"/>
      <c r="J29" s="588"/>
      <c r="K29" s="137" t="s">
        <v>740</v>
      </c>
      <c r="L29" s="566"/>
      <c r="M29" s="580" t="s">
        <v>144</v>
      </c>
      <c r="N29" s="589">
        <v>7.62</v>
      </c>
      <c r="O29" s="580">
        <v>2.0</v>
      </c>
      <c r="P29" s="571"/>
      <c r="Q29" s="126" t="s">
        <v>3172</v>
      </c>
      <c r="R29" s="571"/>
      <c r="S29" s="115"/>
      <c r="T29" s="116"/>
      <c r="U29" s="115"/>
      <c r="V29" s="116"/>
      <c r="W29" s="117"/>
    </row>
    <row r="30" ht="32.25" customHeight="1">
      <c r="A30" s="45"/>
      <c r="B30" s="139" t="s">
        <v>741</v>
      </c>
      <c r="C30" s="119">
        <v>7.29375</v>
      </c>
      <c r="D30" s="120">
        <v>10.0</v>
      </c>
      <c r="E30" s="131">
        <v>7.19</v>
      </c>
      <c r="F30" s="120">
        <v>4.0</v>
      </c>
      <c r="G30" s="591"/>
      <c r="H30" s="140" t="s">
        <v>719</v>
      </c>
      <c r="I30" s="592"/>
      <c r="J30" s="592"/>
      <c r="K30" s="123" t="s">
        <v>742</v>
      </c>
      <c r="L30" s="566"/>
      <c r="M30" s="580" t="s">
        <v>2173</v>
      </c>
      <c r="N30" s="589">
        <v>7.42</v>
      </c>
      <c r="O30" s="580">
        <v>2.0</v>
      </c>
      <c r="P30" s="571"/>
      <c r="Q30" s="123" t="s">
        <v>3173</v>
      </c>
      <c r="R30" s="571"/>
      <c r="S30" s="115"/>
      <c r="T30" s="116"/>
      <c r="U30" s="115"/>
      <c r="V30" s="116"/>
      <c r="W30" s="117"/>
    </row>
    <row r="31" ht="24.0" customHeight="1">
      <c r="A31" s="45"/>
      <c r="B31" s="118" t="s">
        <v>537</v>
      </c>
      <c r="C31" s="119" t="s">
        <v>110</v>
      </c>
      <c r="D31" s="120"/>
      <c r="E31" s="131">
        <v>7.17</v>
      </c>
      <c r="F31" s="120">
        <v>5.0</v>
      </c>
      <c r="G31" s="89"/>
      <c r="H31" s="122"/>
      <c r="I31" s="565"/>
      <c r="J31" s="565"/>
      <c r="K31" s="137" t="s">
        <v>743</v>
      </c>
      <c r="L31" s="566"/>
      <c r="M31" s="580" t="s">
        <v>2882</v>
      </c>
      <c r="N31" s="589">
        <v>7.4</v>
      </c>
      <c r="O31" s="580">
        <v>4.0</v>
      </c>
      <c r="P31" s="571"/>
      <c r="Q31" s="123" t="s">
        <v>3174</v>
      </c>
      <c r="R31" s="571"/>
      <c r="S31" s="115"/>
      <c r="T31" s="116"/>
      <c r="U31" s="115"/>
      <c r="V31" s="116"/>
      <c r="W31" s="117"/>
    </row>
    <row r="32" hidden="1">
      <c r="A32" s="45"/>
      <c r="B32" s="134" t="s">
        <v>744</v>
      </c>
      <c r="C32" s="119">
        <v>6.35</v>
      </c>
      <c r="D32" s="120">
        <v>3.0</v>
      </c>
      <c r="E32" s="131">
        <v>6.66</v>
      </c>
      <c r="F32" s="120">
        <v>2.0</v>
      </c>
      <c r="G32" s="144"/>
      <c r="H32" s="142"/>
      <c r="I32" s="593"/>
      <c r="J32" s="593"/>
      <c r="K32" s="143" t="s">
        <v>110</v>
      </c>
      <c r="L32" s="566"/>
      <c r="M32" s="580" t="s">
        <v>1017</v>
      </c>
      <c r="N32" s="589">
        <v>7.83</v>
      </c>
      <c r="O32" s="580">
        <v>3.0</v>
      </c>
      <c r="P32" s="571"/>
      <c r="Q32" s="571" t="s">
        <v>3175</v>
      </c>
      <c r="R32" s="571"/>
      <c r="S32" s="115"/>
      <c r="T32" s="116"/>
      <c r="U32" s="115"/>
      <c r="V32" s="116"/>
      <c r="W32" s="117"/>
    </row>
    <row r="33" ht="43.5" customHeight="1">
      <c r="A33" s="45"/>
      <c r="B33" s="145" t="s">
        <v>486</v>
      </c>
      <c r="C33" s="146">
        <v>8.5</v>
      </c>
      <c r="D33" s="147">
        <v>7.0</v>
      </c>
      <c r="E33" s="148">
        <v>5.22</v>
      </c>
      <c r="F33" s="147">
        <v>7.0</v>
      </c>
      <c r="G33" s="594"/>
      <c r="H33" s="149" t="s">
        <v>745</v>
      </c>
      <c r="I33" s="595"/>
      <c r="J33" s="595"/>
      <c r="K33" s="150" t="s">
        <v>746</v>
      </c>
      <c r="L33" s="566"/>
      <c r="M33" s="577" t="s">
        <v>3117</v>
      </c>
      <c r="N33" s="589">
        <v>7.38</v>
      </c>
      <c r="O33" s="580">
        <v>2.0</v>
      </c>
      <c r="P33" s="571"/>
      <c r="Q33" s="123" t="s">
        <v>3176</v>
      </c>
      <c r="R33" s="571"/>
      <c r="S33" s="153"/>
      <c r="T33" s="154"/>
      <c r="U33" s="153"/>
      <c r="V33" s="154"/>
      <c r="W33" s="117"/>
    </row>
    <row r="34">
      <c r="A34" s="40"/>
      <c r="B34" s="80"/>
      <c r="C34" s="80"/>
      <c r="D34" s="80"/>
      <c r="E34" s="80"/>
      <c r="F34" s="80"/>
      <c r="G34" s="159"/>
      <c r="H34" s="155"/>
      <c r="I34" s="596"/>
      <c r="J34" s="596"/>
      <c r="K34" s="156"/>
      <c r="L34" s="566"/>
      <c r="M34" s="597" t="s">
        <v>717</v>
      </c>
      <c r="N34" s="598">
        <v>7.08</v>
      </c>
      <c r="O34" s="574">
        <v>3.0</v>
      </c>
      <c r="P34" s="571"/>
      <c r="Q34" s="599"/>
      <c r="R34" s="571"/>
      <c r="S34" s="158"/>
      <c r="T34" s="159"/>
      <c r="U34" s="158"/>
      <c r="V34" s="159"/>
      <c r="W34" s="89"/>
    </row>
    <row r="35">
      <c r="A35" s="160"/>
      <c r="B35" s="36"/>
      <c r="C35" s="36"/>
      <c r="D35" s="36"/>
      <c r="E35" s="36"/>
      <c r="F35" s="36"/>
      <c r="G35" s="80"/>
      <c r="H35" s="600"/>
      <c r="I35" s="601"/>
      <c r="J35" s="601"/>
      <c r="K35" s="162"/>
      <c r="L35" s="566"/>
      <c r="M35" s="580" t="s">
        <v>134</v>
      </c>
      <c r="N35" s="589">
        <v>7.23</v>
      </c>
      <c r="O35" s="580">
        <v>7.0</v>
      </c>
      <c r="P35" s="571"/>
      <c r="Q35" s="113" t="s">
        <v>3177</v>
      </c>
      <c r="R35" s="571"/>
      <c r="S35" s="80"/>
      <c r="T35" s="80"/>
      <c r="U35" s="80"/>
      <c r="V35" s="80"/>
      <c r="W35" s="89"/>
    </row>
    <row r="36">
      <c r="A36" s="45"/>
      <c r="B36" s="602" t="s">
        <v>747</v>
      </c>
      <c r="C36" s="602" t="s">
        <v>748</v>
      </c>
      <c r="D36" s="603" t="s">
        <v>749</v>
      </c>
      <c r="E36" s="603" t="s">
        <v>750</v>
      </c>
      <c r="F36" s="602" t="s">
        <v>751</v>
      </c>
      <c r="G36" s="36"/>
      <c r="H36" s="604"/>
      <c r="I36" s="605"/>
      <c r="J36" s="606"/>
      <c r="K36" s="162"/>
      <c r="L36" s="566"/>
      <c r="M36" s="580" t="s">
        <v>33</v>
      </c>
      <c r="N36" s="589">
        <v>7.19</v>
      </c>
      <c r="O36" s="580">
        <v>3.0</v>
      </c>
      <c r="P36" s="571"/>
      <c r="Q36" s="137" t="s">
        <v>3178</v>
      </c>
      <c r="R36" s="571"/>
      <c r="S36" s="158"/>
      <c r="T36" s="166"/>
      <c r="U36" s="166"/>
      <c r="V36" s="158"/>
      <c r="W36" s="89"/>
    </row>
    <row r="37">
      <c r="A37" s="45"/>
      <c r="B37" s="87"/>
      <c r="C37" s="87"/>
      <c r="D37" s="167"/>
      <c r="E37" s="167"/>
      <c r="F37" s="86" t="s">
        <v>708</v>
      </c>
      <c r="G37" s="87"/>
      <c r="H37" s="607"/>
      <c r="I37" s="608"/>
      <c r="J37" s="609"/>
      <c r="K37" s="169"/>
      <c r="L37" s="566"/>
      <c r="M37" s="580" t="s">
        <v>2433</v>
      </c>
      <c r="N37" s="589">
        <v>7.12</v>
      </c>
      <c r="O37" s="580">
        <v>4.0</v>
      </c>
      <c r="P37" s="571"/>
      <c r="Q37" s="575" t="s">
        <v>3179</v>
      </c>
      <c r="R37" s="571"/>
      <c r="S37" s="87"/>
      <c r="T37" s="167"/>
      <c r="U37" s="167"/>
      <c r="V37" s="87"/>
      <c r="W37" s="89"/>
    </row>
    <row r="38">
      <c r="A38" s="45"/>
      <c r="B38" s="610" t="s">
        <v>752</v>
      </c>
      <c r="C38" s="611"/>
      <c r="D38" s="612"/>
      <c r="E38" s="613" t="s">
        <v>701</v>
      </c>
      <c r="F38" s="613" t="s">
        <v>709</v>
      </c>
      <c r="G38" s="613" t="s">
        <v>3135</v>
      </c>
      <c r="H38" s="614" t="s">
        <v>753</v>
      </c>
      <c r="I38" s="615"/>
      <c r="J38" s="616"/>
      <c r="K38" s="174"/>
      <c r="L38" s="566"/>
      <c r="M38" s="580" t="s">
        <v>794</v>
      </c>
      <c r="N38" s="589">
        <v>7.1</v>
      </c>
      <c r="O38" s="580">
        <v>4.0</v>
      </c>
      <c r="P38" s="571"/>
      <c r="Q38" s="113" t="s">
        <v>3180</v>
      </c>
      <c r="R38" s="571"/>
      <c r="S38" s="617"/>
      <c r="T38" s="618"/>
      <c r="U38" s="49"/>
      <c r="V38" s="107"/>
      <c r="W38" s="178"/>
    </row>
    <row r="39">
      <c r="A39" s="45"/>
      <c r="B39" s="619" t="s">
        <v>12</v>
      </c>
      <c r="C39" s="180"/>
      <c r="D39" s="620"/>
      <c r="E39" s="621">
        <v>9.160919540229886</v>
      </c>
      <c r="F39" s="622">
        <v>8.922845087402049</v>
      </c>
      <c r="G39" s="623">
        <v>7.906077348066298</v>
      </c>
      <c r="H39" s="184" t="s">
        <v>719</v>
      </c>
      <c r="I39" s="624"/>
      <c r="J39" s="625"/>
      <c r="K39" s="626"/>
      <c r="L39" s="566"/>
      <c r="M39" s="580" t="s">
        <v>1095</v>
      </c>
      <c r="N39" s="598">
        <v>6.72</v>
      </c>
      <c r="O39" s="574">
        <v>3.0</v>
      </c>
      <c r="P39" s="571"/>
      <c r="Q39" s="113" t="s">
        <v>3181</v>
      </c>
      <c r="R39" s="571"/>
      <c r="S39" s="627"/>
      <c r="T39" s="628"/>
      <c r="U39" s="115"/>
      <c r="V39" s="189"/>
      <c r="W39" s="190"/>
    </row>
    <row r="40">
      <c r="A40" s="45"/>
      <c r="B40" s="629" t="s">
        <v>7</v>
      </c>
      <c r="C40" s="187"/>
      <c r="D40" s="630"/>
      <c r="E40" s="131">
        <v>8.517241379310345</v>
      </c>
      <c r="F40" s="631">
        <v>8.32537673297167</v>
      </c>
      <c r="G40" s="632">
        <v>7.801104972375691</v>
      </c>
      <c r="H40" s="193" t="s">
        <v>719</v>
      </c>
      <c r="I40" s="624"/>
      <c r="J40" s="625"/>
      <c r="K40" s="626"/>
      <c r="L40" s="566"/>
      <c r="M40" s="597" t="s">
        <v>918</v>
      </c>
      <c r="N40" s="597">
        <v>7.01</v>
      </c>
      <c r="O40" s="580">
        <v>7.0</v>
      </c>
      <c r="P40" s="571"/>
      <c r="Q40" s="123" t="s">
        <v>3182</v>
      </c>
      <c r="R40" s="571"/>
      <c r="S40" s="627"/>
      <c r="T40" s="628"/>
      <c r="U40" s="115"/>
      <c r="V40" s="189"/>
      <c r="W40" s="190"/>
    </row>
    <row r="41">
      <c r="A41" s="45"/>
      <c r="B41" s="186" t="s">
        <v>13</v>
      </c>
      <c r="C41" s="187"/>
      <c r="D41" s="630"/>
      <c r="E41" s="131">
        <v>8.435294117647059</v>
      </c>
      <c r="F41" s="633">
        <v>8.03438818565401</v>
      </c>
      <c r="G41" s="632">
        <v>7.795580110497237</v>
      </c>
      <c r="H41" s="193" t="s">
        <v>719</v>
      </c>
      <c r="I41" s="624"/>
      <c r="J41" s="625"/>
      <c r="K41" s="626"/>
      <c r="L41" s="566"/>
      <c r="M41" s="597" t="s">
        <v>42</v>
      </c>
      <c r="N41" s="597">
        <v>6.89</v>
      </c>
      <c r="O41" s="580">
        <v>11.0</v>
      </c>
      <c r="P41" s="571"/>
      <c r="Q41" s="113" t="s">
        <v>3183</v>
      </c>
      <c r="R41" s="571"/>
      <c r="S41" s="627"/>
      <c r="T41" s="628"/>
      <c r="U41" s="115"/>
      <c r="V41" s="189"/>
      <c r="W41" s="190"/>
    </row>
    <row r="42">
      <c r="A42" s="45"/>
      <c r="B42" s="629" t="s">
        <v>10</v>
      </c>
      <c r="C42" s="187"/>
      <c r="D42" s="630"/>
      <c r="E42" s="131">
        <v>8.632183908045977</v>
      </c>
      <c r="F42" s="631">
        <v>8.477305605786619</v>
      </c>
      <c r="G42" s="632">
        <v>7.69060773480663</v>
      </c>
      <c r="H42" s="634" t="s">
        <v>745</v>
      </c>
      <c r="I42" s="624"/>
      <c r="J42" s="625"/>
      <c r="K42" s="626"/>
      <c r="L42" s="566"/>
      <c r="M42" s="597" t="s">
        <v>241</v>
      </c>
      <c r="N42" s="598">
        <v>6.7</v>
      </c>
      <c r="O42" s="574">
        <v>4.0</v>
      </c>
      <c r="P42" s="571"/>
      <c r="Q42" s="123" t="s">
        <v>3184</v>
      </c>
      <c r="R42" s="571"/>
      <c r="S42" s="627"/>
      <c r="T42" s="628"/>
      <c r="U42" s="115"/>
      <c r="V42" s="189"/>
      <c r="W42" s="190"/>
    </row>
    <row r="43">
      <c r="A43" s="45"/>
      <c r="B43" s="186" t="s">
        <v>23</v>
      </c>
      <c r="C43" s="187"/>
      <c r="D43" s="630"/>
      <c r="E43" s="131">
        <v>8.611764705882353</v>
      </c>
      <c r="F43" s="631">
        <v>8.812087912087913</v>
      </c>
      <c r="G43" s="632">
        <v>7.6464088397790055</v>
      </c>
      <c r="H43" s="634" t="s">
        <v>745</v>
      </c>
      <c r="I43" s="624"/>
      <c r="J43" s="625"/>
      <c r="K43" s="626"/>
      <c r="L43" s="566"/>
      <c r="M43" s="597" t="s">
        <v>109</v>
      </c>
      <c r="N43" s="598">
        <v>6.61</v>
      </c>
      <c r="O43" s="574">
        <v>6.0</v>
      </c>
      <c r="P43" s="571"/>
      <c r="Q43" s="586" t="s">
        <v>3185</v>
      </c>
      <c r="R43" s="571"/>
      <c r="S43" s="627"/>
      <c r="T43" s="628"/>
      <c r="U43" s="115"/>
      <c r="V43" s="189"/>
      <c r="W43" s="190"/>
    </row>
    <row r="44">
      <c r="A44" s="45"/>
      <c r="B44" s="186" t="s">
        <v>16</v>
      </c>
      <c r="C44" s="187"/>
      <c r="D44" s="630"/>
      <c r="E44" s="131">
        <v>8.563218390804598</v>
      </c>
      <c r="F44" s="633">
        <v>7.9745328511151286</v>
      </c>
      <c r="G44" s="635">
        <v>7.483333333333333</v>
      </c>
      <c r="H44" s="193" t="s">
        <v>719</v>
      </c>
      <c r="I44" s="624"/>
      <c r="J44" s="625"/>
      <c r="K44" s="626"/>
      <c r="L44" s="566"/>
      <c r="M44" s="597" t="s">
        <v>242</v>
      </c>
      <c r="N44" s="636">
        <v>6.4</v>
      </c>
      <c r="O44" s="574">
        <v>5.0</v>
      </c>
      <c r="P44" s="571"/>
      <c r="Q44" s="586" t="s">
        <v>3186</v>
      </c>
      <c r="R44" s="571"/>
      <c r="S44" s="627"/>
      <c r="T44" s="628"/>
      <c r="U44" s="115"/>
      <c r="V44" s="189"/>
      <c r="W44" s="190"/>
    </row>
    <row r="45">
      <c r="A45" s="45"/>
      <c r="B45" s="186" t="s">
        <v>6</v>
      </c>
      <c r="C45" s="187"/>
      <c r="D45" s="630"/>
      <c r="E45" s="637">
        <v>7.988505747126437</v>
      </c>
      <c r="F45" s="638">
        <v>7.552742616033756</v>
      </c>
      <c r="G45" s="635">
        <v>7.43646408839779</v>
      </c>
      <c r="H45" s="193" t="s">
        <v>719</v>
      </c>
      <c r="I45" s="624"/>
      <c r="J45" s="625"/>
      <c r="K45" s="626"/>
      <c r="L45" s="566"/>
      <c r="M45" s="576" t="s">
        <v>1750</v>
      </c>
      <c r="N45" s="639">
        <v>6.17</v>
      </c>
      <c r="O45" s="580">
        <v>2.0</v>
      </c>
      <c r="P45" s="571"/>
      <c r="Q45" s="113" t="s">
        <v>3187</v>
      </c>
      <c r="R45" s="571"/>
      <c r="S45" s="627"/>
      <c r="T45" s="628"/>
      <c r="U45" s="115"/>
      <c r="V45" s="189"/>
      <c r="W45" s="190"/>
    </row>
    <row r="46">
      <c r="A46" s="45"/>
      <c r="B46" s="186" t="s">
        <v>22</v>
      </c>
      <c r="C46" s="187"/>
      <c r="D46" s="630"/>
      <c r="E46" s="637">
        <v>8.034883720930232</v>
      </c>
      <c r="F46" s="633">
        <v>7.755067155067154</v>
      </c>
      <c r="G46" s="635">
        <v>7.419889502762431</v>
      </c>
      <c r="H46" s="193" t="s">
        <v>719</v>
      </c>
      <c r="I46" s="624"/>
      <c r="J46" s="625"/>
      <c r="K46" s="626"/>
      <c r="L46" s="566"/>
      <c r="M46" s="577" t="s">
        <v>2009</v>
      </c>
      <c r="N46" s="639">
        <v>5.72</v>
      </c>
      <c r="O46" s="580">
        <v>5.0</v>
      </c>
      <c r="P46" s="571"/>
      <c r="Q46" s="113" t="s">
        <v>3188</v>
      </c>
      <c r="R46" s="186"/>
      <c r="S46" s="187"/>
      <c r="T46" s="188"/>
      <c r="U46" s="115"/>
      <c r="V46" s="189"/>
      <c r="W46" s="190"/>
    </row>
    <row r="47">
      <c r="A47" s="45"/>
      <c r="B47" s="640" t="s">
        <v>5</v>
      </c>
      <c r="C47" s="187"/>
      <c r="D47" s="630"/>
      <c r="E47" s="131">
        <v>8.25287356321839</v>
      </c>
      <c r="F47" s="633">
        <v>7.987974683544303</v>
      </c>
      <c r="G47" s="641">
        <v>7.348066298342541</v>
      </c>
      <c r="H47" s="193" t="s">
        <v>719</v>
      </c>
      <c r="I47" s="624"/>
      <c r="J47" s="625"/>
      <c r="K47" s="626"/>
      <c r="L47" s="566"/>
      <c r="M47" s="580" t="s">
        <v>1454</v>
      </c>
      <c r="N47" s="574">
        <v>9.0</v>
      </c>
      <c r="O47" s="574">
        <v>1.0</v>
      </c>
      <c r="P47" s="571"/>
      <c r="Q47" s="571"/>
      <c r="R47" s="186"/>
      <c r="S47" s="187"/>
      <c r="T47" s="188"/>
      <c r="U47" s="115"/>
      <c r="V47" s="189"/>
      <c r="W47" s="190"/>
    </row>
    <row r="48">
      <c r="A48" s="45"/>
      <c r="B48" s="640" t="s">
        <v>18</v>
      </c>
      <c r="C48" s="187"/>
      <c r="D48" s="630"/>
      <c r="E48" s="637">
        <v>8.022988505747126</v>
      </c>
      <c r="F48" s="638">
        <v>7.582264957264958</v>
      </c>
      <c r="G48" s="641">
        <v>7.276243093922652</v>
      </c>
      <c r="H48" s="193" t="s">
        <v>719</v>
      </c>
      <c r="I48" s="624"/>
      <c r="J48" s="625"/>
      <c r="K48" s="642"/>
      <c r="L48" s="566"/>
      <c r="M48" s="580" t="s">
        <v>1472</v>
      </c>
      <c r="N48" s="574">
        <v>9.0</v>
      </c>
      <c r="O48" s="574">
        <v>1.0</v>
      </c>
      <c r="P48" s="571"/>
      <c r="Q48" s="192"/>
      <c r="R48" s="186"/>
      <c r="S48" s="187"/>
      <c r="T48" s="188"/>
      <c r="U48" s="115"/>
      <c r="V48" s="189"/>
      <c r="W48" s="190"/>
    </row>
    <row r="49">
      <c r="A49" s="45"/>
      <c r="B49" s="640" t="s">
        <v>21</v>
      </c>
      <c r="C49" s="187"/>
      <c r="D49" s="630"/>
      <c r="E49" s="643">
        <v>7.390804597701149</v>
      </c>
      <c r="F49" s="638">
        <v>7.406781193490052</v>
      </c>
      <c r="G49" s="641">
        <v>7.038674033149171</v>
      </c>
      <c r="H49" s="193" t="s">
        <v>719</v>
      </c>
      <c r="I49" s="624"/>
      <c r="J49" s="625"/>
      <c r="K49" s="626"/>
      <c r="L49" s="566"/>
      <c r="M49" s="580" t="s">
        <v>867</v>
      </c>
      <c r="N49" s="574">
        <v>9.0</v>
      </c>
      <c r="O49" s="574">
        <v>1.0</v>
      </c>
      <c r="P49" s="571"/>
      <c r="Q49" s="192"/>
      <c r="R49" s="186"/>
      <c r="S49" s="187"/>
      <c r="T49" s="188"/>
      <c r="U49" s="115"/>
      <c r="V49" s="189"/>
      <c r="W49" s="190"/>
    </row>
    <row r="50">
      <c r="A50" s="45"/>
      <c r="B50" s="186" t="s">
        <v>15</v>
      </c>
      <c r="C50" s="187"/>
      <c r="D50" s="630"/>
      <c r="E50" s="637">
        <v>7.9655172413793105</v>
      </c>
      <c r="F50" s="633">
        <v>7.680892103676913</v>
      </c>
      <c r="G50" s="317"/>
      <c r="H50" s="193"/>
      <c r="I50" s="644"/>
      <c r="J50" s="645"/>
      <c r="K50" s="646"/>
      <c r="L50" s="647"/>
      <c r="M50" s="580" t="s">
        <v>2551</v>
      </c>
      <c r="N50" s="574">
        <v>8.92</v>
      </c>
      <c r="O50" s="574">
        <v>1.0</v>
      </c>
      <c r="P50" s="571"/>
      <c r="Q50" s="192"/>
      <c r="R50" s="186"/>
      <c r="S50" s="187"/>
      <c r="T50" s="188"/>
      <c r="U50" s="115"/>
      <c r="V50" s="189"/>
      <c r="W50" s="190"/>
    </row>
    <row r="51">
      <c r="A51" s="45"/>
      <c r="B51" s="186" t="s">
        <v>8</v>
      </c>
      <c r="C51" s="187"/>
      <c r="D51" s="630"/>
      <c r="E51" s="637">
        <v>8.011494252873563</v>
      </c>
      <c r="F51" s="633">
        <v>7.670584689572033</v>
      </c>
      <c r="G51" s="317"/>
      <c r="H51" s="193"/>
      <c r="I51" s="648"/>
      <c r="J51" s="374"/>
      <c r="K51" s="649"/>
      <c r="L51" s="580"/>
      <c r="M51" s="580" t="s">
        <v>2211</v>
      </c>
      <c r="N51" s="574">
        <v>8.83</v>
      </c>
      <c r="O51" s="574">
        <v>1.0</v>
      </c>
      <c r="P51" s="571"/>
      <c r="Q51" s="192"/>
      <c r="R51" s="186"/>
      <c r="S51" s="187"/>
      <c r="T51" s="188"/>
      <c r="U51" s="115"/>
      <c r="V51" s="189"/>
      <c r="W51" s="190"/>
    </row>
    <row r="52">
      <c r="A52" s="45"/>
      <c r="B52" s="186" t="s">
        <v>11</v>
      </c>
      <c r="C52" s="187"/>
      <c r="D52" s="630"/>
      <c r="E52" s="131">
        <v>8.476744186046512</v>
      </c>
      <c r="F52" s="631">
        <v>8.20895117540687</v>
      </c>
      <c r="G52" s="317"/>
      <c r="H52" s="193"/>
      <c r="I52" s="648"/>
      <c r="J52" s="374"/>
      <c r="K52" s="649"/>
      <c r="L52" s="580"/>
      <c r="M52" s="580" t="s">
        <v>373</v>
      </c>
      <c r="N52" s="574">
        <v>8.58</v>
      </c>
      <c r="O52" s="574">
        <v>1.0</v>
      </c>
      <c r="P52" s="571"/>
      <c r="Q52" s="192"/>
      <c r="R52" s="186"/>
      <c r="S52" s="187"/>
      <c r="T52" s="188"/>
      <c r="U52" s="115"/>
      <c r="V52" s="189"/>
      <c r="W52" s="190"/>
    </row>
    <row r="53">
      <c r="A53" s="45"/>
      <c r="B53" s="186" t="s">
        <v>20</v>
      </c>
      <c r="C53" s="187"/>
      <c r="D53" s="630"/>
      <c r="E53" s="643">
        <v>6.764705882352941</v>
      </c>
      <c r="F53" s="650">
        <v>6.538461538461539</v>
      </c>
      <c r="G53" s="317"/>
      <c r="H53" s="193"/>
      <c r="I53" s="70"/>
      <c r="J53" s="36"/>
      <c r="K53" s="651"/>
      <c r="L53" s="580"/>
      <c r="M53" s="580" t="s">
        <v>2138</v>
      </c>
      <c r="N53" s="574">
        <v>8.55</v>
      </c>
      <c r="O53" s="574">
        <v>1.0</v>
      </c>
      <c r="P53" s="571"/>
      <c r="Q53" s="117"/>
      <c r="R53" s="186"/>
      <c r="S53" s="187"/>
      <c r="T53" s="188"/>
      <c r="U53" s="115"/>
      <c r="V53" s="189"/>
      <c r="W53" s="190"/>
    </row>
    <row r="54">
      <c r="A54" s="45"/>
      <c r="B54" s="199" t="s">
        <v>17</v>
      </c>
      <c r="C54" s="200"/>
      <c r="D54" s="652"/>
      <c r="E54" s="148">
        <v>8.25287356321839</v>
      </c>
      <c r="F54" s="653">
        <v>7.701556776556776</v>
      </c>
      <c r="G54" s="654"/>
      <c r="H54" s="204"/>
      <c r="I54" s="648"/>
      <c r="J54" s="374"/>
      <c r="K54" s="649"/>
      <c r="L54" s="580"/>
      <c r="M54" s="580" t="s">
        <v>2481</v>
      </c>
      <c r="N54" s="580">
        <v>8.0</v>
      </c>
      <c r="O54" s="580">
        <v>1.0</v>
      </c>
      <c r="P54" s="571"/>
      <c r="Q54" s="89"/>
      <c r="R54" s="199"/>
      <c r="S54" s="200"/>
      <c r="T54" s="201"/>
      <c r="U54" s="153"/>
      <c r="V54" s="206"/>
      <c r="W54" s="190"/>
    </row>
    <row r="55">
      <c r="A55" s="160"/>
      <c r="B55" s="158"/>
      <c r="C55" s="158"/>
      <c r="D55" s="158"/>
      <c r="E55" s="158"/>
      <c r="F55" s="655"/>
      <c r="G55" s="158"/>
      <c r="H55" s="158"/>
      <c r="I55" s="85"/>
      <c r="J55" s="85"/>
      <c r="K55" s="651"/>
      <c r="L55" s="580"/>
      <c r="M55" s="580" t="s">
        <v>1377</v>
      </c>
      <c r="N55" s="580">
        <v>7.92</v>
      </c>
      <c r="O55" s="580">
        <v>1.0</v>
      </c>
      <c r="P55" s="571"/>
      <c r="Q55" s="656"/>
      <c r="R55" s="157"/>
      <c r="S55" s="157"/>
      <c r="T55" s="157"/>
      <c r="U55" s="158"/>
      <c r="V55" s="207"/>
      <c r="W55" s="207"/>
    </row>
    <row r="56">
      <c r="A56" s="45"/>
      <c r="B56" s="657"/>
      <c r="C56" s="658"/>
      <c r="D56" s="658"/>
      <c r="E56" s="613" t="s">
        <v>701</v>
      </c>
      <c r="F56" s="613" t="s">
        <v>709</v>
      </c>
      <c r="G56" s="613" t="s">
        <v>3135</v>
      </c>
      <c r="H56" s="614" t="s">
        <v>753</v>
      </c>
      <c r="I56" s="659" t="s">
        <v>3189</v>
      </c>
      <c r="J56" s="95" t="s">
        <v>3190</v>
      </c>
      <c r="K56" s="198"/>
      <c r="L56" s="580"/>
      <c r="M56" s="580"/>
      <c r="N56" s="580"/>
      <c r="O56" s="580"/>
      <c r="P56" s="571"/>
      <c r="Q56" s="82"/>
      <c r="R56" s="159"/>
      <c r="T56" s="42"/>
      <c r="U56" s="158"/>
      <c r="V56" s="207"/>
      <c r="W56" s="207"/>
    </row>
    <row r="57" ht="48.75" customHeight="1">
      <c r="A57" s="45"/>
      <c r="B57" s="210" t="s">
        <v>757</v>
      </c>
      <c r="C57" s="176"/>
      <c r="D57" s="177"/>
      <c r="E57" s="660">
        <v>7.74</v>
      </c>
      <c r="F57" s="215">
        <f>AVERAGE(F48:F51)</f>
        <v>7.585130736</v>
      </c>
      <c r="G57" s="661">
        <v>7.4</v>
      </c>
      <c r="H57" s="662" t="s">
        <v>719</v>
      </c>
      <c r="I57" s="663" t="s">
        <v>3191</v>
      </c>
      <c r="J57" s="664" t="s">
        <v>3192</v>
      </c>
      <c r="K57" s="665"/>
      <c r="L57" s="580"/>
      <c r="M57" s="589" t="s">
        <v>720</v>
      </c>
      <c r="N57" s="580">
        <v>7.58</v>
      </c>
      <c r="O57" s="580">
        <v>1.0</v>
      </c>
      <c r="P57" s="571"/>
      <c r="Q57" s="82"/>
      <c r="R57" s="210"/>
      <c r="S57" s="176"/>
      <c r="T57" s="177"/>
      <c r="U57" s="215"/>
      <c r="V57" s="216"/>
      <c r="W57" s="217"/>
    </row>
    <row r="58" ht="48.75" customHeight="1">
      <c r="A58" s="45"/>
      <c r="B58" s="218" t="s">
        <v>756</v>
      </c>
      <c r="C58" s="187"/>
      <c r="D58" s="188"/>
      <c r="E58" s="219">
        <v>8.17</v>
      </c>
      <c r="F58" s="666">
        <f>AVERAGE(F46:F49)</f>
        <v>7.683021997</v>
      </c>
      <c r="G58" s="60">
        <v>7.5</v>
      </c>
      <c r="H58" s="667" t="s">
        <v>719</v>
      </c>
      <c r="I58" s="668" t="s">
        <v>3193</v>
      </c>
      <c r="J58" s="669" t="s">
        <v>3194</v>
      </c>
      <c r="K58" s="665"/>
      <c r="L58" s="580"/>
      <c r="M58" s="589" t="s">
        <v>774</v>
      </c>
      <c r="N58" s="580">
        <v>7.5</v>
      </c>
      <c r="O58" s="580">
        <v>1.0</v>
      </c>
      <c r="P58" s="571"/>
      <c r="Q58" s="670"/>
      <c r="R58" s="218"/>
      <c r="S58" s="187"/>
      <c r="T58" s="188"/>
      <c r="U58" s="219"/>
      <c r="V58" s="221"/>
      <c r="W58" s="217"/>
    </row>
    <row r="59" ht="48.75" customHeight="1">
      <c r="A59" s="45"/>
      <c r="B59" s="218" t="s">
        <v>754</v>
      </c>
      <c r="C59" s="187"/>
      <c r="D59" s="188"/>
      <c r="E59" s="671">
        <v>8.66</v>
      </c>
      <c r="F59" s="672">
        <f>AVERAGE(F41:F44)</f>
        <v>8.324578639</v>
      </c>
      <c r="G59" s="673">
        <v>7.7</v>
      </c>
      <c r="H59" s="674" t="s">
        <v>719</v>
      </c>
      <c r="I59" s="675" t="s">
        <v>3195</v>
      </c>
      <c r="J59" s="676" t="s">
        <v>3196</v>
      </c>
      <c r="K59" s="665"/>
      <c r="L59" s="580"/>
      <c r="M59" s="580" t="s">
        <v>558</v>
      </c>
      <c r="N59" s="580">
        <v>7.5</v>
      </c>
      <c r="O59" s="580">
        <v>1.0</v>
      </c>
      <c r="P59" s="571"/>
      <c r="Q59" s="117"/>
      <c r="R59" s="218"/>
      <c r="S59" s="187"/>
      <c r="T59" s="188"/>
      <c r="U59" s="219"/>
      <c r="V59" s="221"/>
      <c r="W59" s="217"/>
    </row>
    <row r="60" ht="48.75" customHeight="1">
      <c r="A60" s="45"/>
      <c r="B60" s="224" t="s">
        <v>755</v>
      </c>
      <c r="C60" s="200"/>
      <c r="D60" s="201"/>
      <c r="E60" s="229">
        <v>8.201149425287356</v>
      </c>
      <c r="F60" s="229">
        <f>AVERAGE(F45:F48)</f>
        <v>7.719512353</v>
      </c>
      <c r="G60" s="677">
        <v>7.38</v>
      </c>
      <c r="H60" s="678" t="s">
        <v>719</v>
      </c>
      <c r="I60" s="679" t="s">
        <v>3197</v>
      </c>
      <c r="J60" s="680" t="s">
        <v>3198</v>
      </c>
      <c r="K60" s="665"/>
      <c r="L60" s="580"/>
      <c r="M60" s="580" t="s">
        <v>779</v>
      </c>
      <c r="N60" s="580">
        <v>7.25</v>
      </c>
      <c r="O60" s="580">
        <v>1.0</v>
      </c>
      <c r="P60" s="571"/>
      <c r="Q60" s="117"/>
      <c r="R60" s="224"/>
      <c r="S60" s="200"/>
      <c r="T60" s="201"/>
      <c r="U60" s="229"/>
      <c r="V60" s="230"/>
      <c r="W60" s="217"/>
    </row>
    <row r="61">
      <c r="A61" s="681"/>
      <c r="B61" s="682"/>
      <c r="C61" s="682"/>
      <c r="D61" s="682"/>
      <c r="E61" s="683"/>
      <c r="F61" s="683"/>
      <c r="G61" s="684"/>
      <c r="H61" s="684"/>
      <c r="I61" s="684"/>
      <c r="J61" s="684"/>
      <c r="K61" s="685"/>
      <c r="L61" s="686"/>
      <c r="P61" s="571"/>
      <c r="Q61" s="687"/>
      <c r="R61" s="78"/>
      <c r="S61" s="78"/>
      <c r="T61" s="78"/>
      <c r="U61" s="217"/>
      <c r="V61" s="217"/>
      <c r="W61" s="217"/>
    </row>
    <row r="62">
      <c r="A62" s="688"/>
      <c r="B62" s="689"/>
      <c r="C62" s="689"/>
      <c r="D62" s="689"/>
      <c r="E62" s="690"/>
      <c r="F62" s="690"/>
      <c r="G62" s="691"/>
      <c r="H62" s="691"/>
      <c r="I62" s="691"/>
      <c r="J62" s="691"/>
      <c r="K62" s="692"/>
      <c r="L62" s="566"/>
      <c r="M62" s="580" t="s">
        <v>1438</v>
      </c>
      <c r="N62" s="580">
        <v>5.83</v>
      </c>
      <c r="O62" s="580">
        <v>1.0</v>
      </c>
      <c r="P62" s="571"/>
      <c r="Q62" s="693"/>
      <c r="R62" s="78"/>
      <c r="S62" s="78"/>
      <c r="T62" s="78"/>
      <c r="U62" s="217"/>
      <c r="V62" s="217"/>
      <c r="W62" s="217"/>
    </row>
    <row r="63">
      <c r="A63" s="694"/>
      <c r="B63" s="695"/>
      <c r="C63" s="695"/>
      <c r="D63" s="695"/>
      <c r="E63" s="696"/>
      <c r="F63" s="696"/>
      <c r="G63" s="697"/>
      <c r="H63" s="697"/>
      <c r="I63" s="697"/>
      <c r="J63" s="697"/>
      <c r="K63" s="698"/>
      <c r="L63" s="566"/>
      <c r="M63" s="589" t="s">
        <v>914</v>
      </c>
      <c r="N63" s="580">
        <v>4.92</v>
      </c>
      <c r="O63" s="580">
        <v>1.0</v>
      </c>
      <c r="P63" s="571"/>
      <c r="Q63" s="693"/>
      <c r="R63" s="78"/>
      <c r="S63" s="78"/>
      <c r="T63" s="78"/>
      <c r="U63" s="217"/>
      <c r="V63" s="217"/>
      <c r="W63" s="217"/>
    </row>
    <row r="64">
      <c r="A64" s="686"/>
      <c r="B64" s="78"/>
      <c r="C64" s="78"/>
      <c r="D64" s="78"/>
      <c r="E64" s="217"/>
      <c r="F64" s="217"/>
      <c r="G64" s="297"/>
      <c r="H64" s="297"/>
      <c r="I64" s="297"/>
      <c r="J64" s="297"/>
      <c r="K64" s="699"/>
      <c r="L64" s="566"/>
      <c r="M64" s="580" t="s">
        <v>2471</v>
      </c>
      <c r="N64" s="580">
        <v>3.0</v>
      </c>
      <c r="O64" s="580">
        <v>1.0</v>
      </c>
      <c r="P64" s="571"/>
      <c r="Q64" s="693"/>
      <c r="R64" s="78"/>
      <c r="S64" s="78"/>
      <c r="T64" s="78"/>
      <c r="U64" s="217"/>
      <c r="V64" s="217"/>
      <c r="W64" s="217"/>
    </row>
  </sheetData>
  <autoFilter ref="$M$11:$Q$46">
    <sortState ref="M11:Q46">
      <sortCondition descending="1" ref="N11:N46"/>
    </sortState>
  </autoFilter>
  <mergeCells count="44">
    <mergeCell ref="S10:T10"/>
    <mergeCell ref="U10:V10"/>
    <mergeCell ref="B1:F1"/>
    <mergeCell ref="M3:P3"/>
    <mergeCell ref="M6:P6"/>
    <mergeCell ref="C10:D10"/>
    <mergeCell ref="E10:F10"/>
    <mergeCell ref="H10:H11"/>
    <mergeCell ref="M10:O10"/>
    <mergeCell ref="B38:D38"/>
    <mergeCell ref="B39:D39"/>
    <mergeCell ref="B40:D40"/>
    <mergeCell ref="B41:D41"/>
    <mergeCell ref="B42:D42"/>
    <mergeCell ref="B43:D43"/>
    <mergeCell ref="B44:D44"/>
    <mergeCell ref="B45:D45"/>
    <mergeCell ref="B46:D46"/>
    <mergeCell ref="R46:T46"/>
    <mergeCell ref="R47:T47"/>
    <mergeCell ref="R48:T48"/>
    <mergeCell ref="R49:T49"/>
    <mergeCell ref="R50:T50"/>
    <mergeCell ref="B54:D54"/>
    <mergeCell ref="B57:D57"/>
    <mergeCell ref="B58:D58"/>
    <mergeCell ref="B59:D59"/>
    <mergeCell ref="B60:D60"/>
    <mergeCell ref="B47:D47"/>
    <mergeCell ref="B48:D48"/>
    <mergeCell ref="B49:D49"/>
    <mergeCell ref="B50:D50"/>
    <mergeCell ref="B51:D51"/>
    <mergeCell ref="B52:D52"/>
    <mergeCell ref="B53:D53"/>
    <mergeCell ref="R59:T59"/>
    <mergeCell ref="R60:T60"/>
    <mergeCell ref="R51:T51"/>
    <mergeCell ref="R52:T52"/>
    <mergeCell ref="R53:T53"/>
    <mergeCell ref="R54:T54"/>
    <mergeCell ref="R56:T56"/>
    <mergeCell ref="R57:T57"/>
    <mergeCell ref="R58:T58"/>
  </mergeCells>
  <conditionalFormatting sqref="E12:E15 E20:E33">
    <cfRule type="cellIs" dxfId="2" priority="1" operator="greaterThanOrEqual">
      <formula>9.2</formula>
    </cfRule>
  </conditionalFormatting>
  <conditionalFormatting sqref="E12:E15 E20:E33">
    <cfRule type="cellIs" dxfId="3" priority="2" operator="between">
      <formula>8.31</formula>
      <formula>9.19</formula>
    </cfRule>
  </conditionalFormatting>
  <conditionalFormatting sqref="E12:E15 E20:E33">
    <cfRule type="cellIs" dxfId="4" priority="3" operator="between">
      <formula>7.48</formula>
      <formula>8.3</formula>
    </cfRule>
  </conditionalFormatting>
  <conditionalFormatting sqref="E12:E15 E20:E33">
    <cfRule type="cellIs" dxfId="0" priority="4" operator="between">
      <formula>6.4</formula>
      <formula>7.47</formula>
    </cfRule>
  </conditionalFormatting>
  <conditionalFormatting sqref="E12:E15 E20:E33">
    <cfRule type="cellIs" dxfId="5" priority="5" operator="between">
      <formula>6.4</formula>
      <formula>0.01</formula>
    </cfRule>
  </conditionalFormatting>
  <conditionalFormatting sqref="C12:C37">
    <cfRule type="cellIs" dxfId="5" priority="6" operator="between">
      <formula>6.5</formula>
      <formula>0.01</formula>
    </cfRule>
  </conditionalFormatting>
  <conditionalFormatting sqref="C12:C37">
    <cfRule type="cellIs" dxfId="0" priority="7" operator="between">
      <formula>6.4</formula>
      <formula>6.94</formula>
    </cfRule>
  </conditionalFormatting>
  <conditionalFormatting sqref="C12:C37">
    <cfRule type="cellIs" dxfId="4" priority="8" operator="between">
      <formula>6.95</formula>
      <formula>8.2</formula>
    </cfRule>
  </conditionalFormatting>
  <conditionalFormatting sqref="C12:C37">
    <cfRule type="cellIs" dxfId="3" priority="9" operator="between">
      <formula>8.1</formula>
      <formula>9.1</formula>
    </cfRule>
  </conditionalFormatting>
  <conditionalFormatting sqref="C12:C37">
    <cfRule type="cellIs" dxfId="2" priority="10" operator="greaterThanOrEqual">
      <formula>9.1</formula>
    </cfRule>
  </conditionalFormatting>
  <drawing r:id="rId1"/>
</worksheet>
</file>